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treas\OneDrive\Desktop\ALICE GOALS\ADVANCED DATA\FNB CASE STUDY\4. Data Presentation\"/>
    </mc:Choice>
  </mc:AlternateContent>
  <xr:revisionPtr revIDLastSave="0" documentId="13_ncr:1_{9BD3D93E-CE15-494E-9480-9F7ACC22CF8E}" xr6:coauthVersionLast="47" xr6:coauthVersionMax="47" xr10:uidLastSave="{00000000-0000-0000-0000-000000000000}"/>
  <bookViews>
    <workbookView xWindow="-108" yWindow="-108" windowWidth="23256" windowHeight="12456" xr2:uid="{00000000-000D-0000-FFFF-FFFF00000000}"/>
  </bookViews>
  <sheets>
    <sheet name="Dashboard1" sheetId="10" r:id="rId1"/>
    <sheet name="Pivot Monthly analysis" sheetId="8" r:id="rId2"/>
    <sheet name="pivot" sheetId="6" state="hidden" r:id="rId3"/>
    <sheet name="sales master pivot" sheetId="12" state="hidden" r:id="rId4"/>
    <sheet name="Sales Master" sheetId="1" r:id="rId5"/>
    <sheet name="Sheet1" sheetId="15" state="hidden" r:id="rId6"/>
    <sheet name="Pivot Daily Analysis" sheetId="7" state="hidden" r:id="rId7"/>
    <sheet name="Daily Sales Analysis pivot" sheetId="14" r:id="rId8"/>
    <sheet name="Daily Analysis" sheetId="2" r:id="rId9"/>
    <sheet name="Monthly Analysis" sheetId="3" r:id="rId10"/>
    <sheet name="Sheet4" sheetId="9" state="hidden" r:id="rId11"/>
    <sheet name="Price vs Quantity" sheetId="5" r:id="rId12"/>
  </sheets>
  <definedNames>
    <definedName name="Slicer_Average_Unit_Price">#N/A</definedName>
    <definedName name="Slicer_Cost_Of_Sales">#N/A</definedName>
    <definedName name="Slicer_Gross_Profit">#N/A</definedName>
    <definedName name="Slicer_Quantity_Sold">#N/A</definedName>
    <definedName name="Slicer_Sales">#N/A</definedName>
    <definedName name="Slicer_Total_Cost_Of_Sales">#N/A</definedName>
    <definedName name="Slicer_Total_Quantity_Sold">#N/A</definedName>
    <definedName name="Slicer_Total_Sales">#N/A</definedName>
    <definedName name="Slicer_Years__Date">#N/A</definedName>
    <definedName name="Slicer_Years__Month">#N/A</definedName>
  </definedNames>
  <calcPr calcId="191029"/>
  <pivotCaches>
    <pivotCache cacheId="0" r:id="rId13"/>
    <pivotCache cacheId="1" r:id="rId14"/>
    <pivotCache cacheId="8" r:id="rId15"/>
    <pivotCache cacheId="3" r:id="rId16"/>
    <pivotCache cacheId="4" r:id="rId17"/>
    <pivotCache cacheId="11" r:id="rId18"/>
  </pivotCaches>
  <extLst>
    <ext xmlns:x14="http://schemas.microsoft.com/office/spreadsheetml/2009/9/main" uri="{BBE1A952-AA13-448e-AADC-164F8A28A991}">
      <x14:slicerCaches>
        <x14:slicerCache r:id="rId19"/>
        <x14:slicerCache r:id="rId20"/>
        <x14:slicerCache r:id="rId21"/>
        <x14:slicerCache r:id="rId22"/>
        <x14:slicerCache r:id="rId23"/>
        <x14:slicerCache r:id="rId24"/>
        <x14:slicerCache r:id="rId25"/>
        <x14:slicerCache r:id="rId26"/>
        <x14:slicerCache r:id="rId27"/>
        <x14:slicerCache r:id="rId28"/>
      </x14:slicerCaches>
    </ext>
    <ext xmlns:x14="http://schemas.microsoft.com/office/spreadsheetml/2009/9/main" uri="{79F54976-1DA5-4618-B147-4CDE4B953A38}">
      <x14:workbookPr/>
    </ext>
  </extLst>
</workbook>
</file>

<file path=xl/calcChain.xml><?xml version="1.0" encoding="utf-8"?>
<calcChain xmlns="http://schemas.openxmlformats.org/spreadsheetml/2006/main">
  <c r="D10" i="15" l="1"/>
  <c r="D9" i="15"/>
  <c r="D8" i="15"/>
  <c r="D7" i="15"/>
  <c r="D6" i="15"/>
  <c r="D5" i="15"/>
  <c r="D4" i="15"/>
  <c r="D3" i="15"/>
  <c r="D2" i="15"/>
  <c r="D1055" i="1"/>
  <c r="C1058" i="1" s="1"/>
  <c r="E40" i="3"/>
  <c r="E39" i="3"/>
  <c r="F1061" i="2"/>
  <c r="G2" i="2"/>
  <c r="G1055" i="2"/>
  <c r="G1056" i="2"/>
  <c r="B1056" i="2"/>
  <c r="F1056" i="2"/>
  <c r="K5" i="10"/>
  <c r="C1055" i="1"/>
  <c r="B1055" i="1"/>
  <c r="E3" i="1"/>
  <c r="E2"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H5" i="10"/>
  <c r="E5" i="10"/>
  <c r="B5" i="10"/>
  <c r="B1054" i="5"/>
  <c r="B1053" i="5"/>
  <c r="B1052" i="5"/>
  <c r="B1051" i="5"/>
  <c r="B1050" i="5"/>
  <c r="B1049" i="5"/>
  <c r="B1048" i="5"/>
  <c r="B1047" i="5"/>
  <c r="B1046" i="5"/>
  <c r="B1045" i="5"/>
  <c r="B1044" i="5"/>
  <c r="B1043" i="5"/>
  <c r="B1042" i="5"/>
  <c r="B1041" i="5"/>
  <c r="B1040" i="5"/>
  <c r="B1039" i="5"/>
  <c r="B1038" i="5"/>
  <c r="B1037" i="5"/>
  <c r="B1036" i="5"/>
  <c r="B1035" i="5"/>
  <c r="B1034" i="5"/>
  <c r="B1033" i="5"/>
  <c r="B1032" i="5"/>
  <c r="B1031" i="5"/>
  <c r="B1030" i="5"/>
  <c r="B1029" i="5"/>
  <c r="B1028" i="5"/>
  <c r="B1027" i="5"/>
  <c r="B1026" i="5"/>
  <c r="B1025" i="5"/>
  <c r="B1024" i="5"/>
  <c r="B1023" i="5"/>
  <c r="B1022" i="5"/>
  <c r="B1021" i="5"/>
  <c r="B1020" i="5"/>
  <c r="B1019" i="5"/>
  <c r="B1018" i="5"/>
  <c r="B1017" i="5"/>
  <c r="B1016" i="5"/>
  <c r="B1015" i="5"/>
  <c r="B1014" i="5"/>
  <c r="B1013" i="5"/>
  <c r="B1012" i="5"/>
  <c r="B1011" i="5"/>
  <c r="B1010" i="5"/>
  <c r="B1009" i="5"/>
  <c r="B1008" i="5"/>
  <c r="B1007" i="5"/>
  <c r="B1006" i="5"/>
  <c r="B1005" i="5"/>
  <c r="B1004" i="5"/>
  <c r="B1003" i="5"/>
  <c r="B1002" i="5"/>
  <c r="B1001" i="5"/>
  <c r="B1000" i="5"/>
  <c r="B999" i="5"/>
  <c r="B998" i="5"/>
  <c r="B997" i="5"/>
  <c r="B996" i="5"/>
  <c r="B995" i="5"/>
  <c r="B994" i="5"/>
  <c r="B993" i="5"/>
  <c r="B992" i="5"/>
  <c r="B991" i="5"/>
  <c r="B990" i="5"/>
  <c r="B989" i="5"/>
  <c r="B988" i="5"/>
  <c r="B987" i="5"/>
  <c r="B986" i="5"/>
  <c r="B985" i="5"/>
  <c r="B984" i="5"/>
  <c r="B983" i="5"/>
  <c r="B982" i="5"/>
  <c r="B981" i="5"/>
  <c r="B980" i="5"/>
  <c r="B979" i="5"/>
  <c r="B978" i="5"/>
  <c r="B977" i="5"/>
  <c r="B976" i="5"/>
  <c r="B975" i="5"/>
  <c r="B974" i="5"/>
  <c r="B973" i="5"/>
  <c r="B972" i="5"/>
  <c r="B971" i="5"/>
  <c r="B970" i="5"/>
  <c r="B969" i="5"/>
  <c r="B968" i="5"/>
  <c r="B967" i="5"/>
  <c r="B966" i="5"/>
  <c r="B965" i="5"/>
  <c r="B964" i="5"/>
  <c r="B963" i="5"/>
  <c r="B962" i="5"/>
  <c r="B961" i="5"/>
  <c r="B960" i="5"/>
  <c r="B959" i="5"/>
  <c r="B958" i="5"/>
  <c r="B957" i="5"/>
  <c r="B956" i="5"/>
  <c r="B955" i="5"/>
  <c r="B954" i="5"/>
  <c r="B953" i="5"/>
  <c r="B952" i="5"/>
  <c r="B951" i="5"/>
  <c r="B950" i="5"/>
  <c r="B949" i="5"/>
  <c r="B948" i="5"/>
  <c r="B947" i="5"/>
  <c r="B946" i="5"/>
  <c r="B945" i="5"/>
  <c r="B944" i="5"/>
  <c r="B943" i="5"/>
  <c r="B942" i="5"/>
  <c r="B941" i="5"/>
  <c r="B940" i="5"/>
  <c r="B939" i="5"/>
  <c r="B938" i="5"/>
  <c r="B937" i="5"/>
  <c r="B936" i="5"/>
  <c r="B935" i="5"/>
  <c r="B934" i="5"/>
  <c r="B933" i="5"/>
  <c r="B932" i="5"/>
  <c r="B931" i="5"/>
  <c r="B930" i="5"/>
  <c r="B929" i="5"/>
  <c r="B928" i="5"/>
  <c r="B927" i="5"/>
  <c r="B926" i="5"/>
  <c r="B925" i="5"/>
  <c r="B924" i="5"/>
  <c r="B923" i="5"/>
  <c r="B922" i="5"/>
  <c r="B921" i="5"/>
  <c r="B920" i="5"/>
  <c r="B919" i="5"/>
  <c r="B918" i="5"/>
  <c r="B917" i="5"/>
  <c r="B916" i="5"/>
  <c r="B915" i="5"/>
  <c r="B914" i="5"/>
  <c r="B913" i="5"/>
  <c r="B912" i="5"/>
  <c r="B911" i="5"/>
  <c r="B910" i="5"/>
  <c r="B909" i="5"/>
  <c r="B908" i="5"/>
  <c r="B907" i="5"/>
  <c r="B906" i="5"/>
  <c r="B905" i="5"/>
  <c r="B904" i="5"/>
  <c r="B903" i="5"/>
  <c r="B902" i="5"/>
  <c r="B901" i="5"/>
  <c r="B900" i="5"/>
  <c r="B899" i="5"/>
  <c r="B898" i="5"/>
  <c r="B897" i="5"/>
  <c r="B896" i="5"/>
  <c r="B895" i="5"/>
  <c r="B894" i="5"/>
  <c r="B893" i="5"/>
  <c r="B892" i="5"/>
  <c r="B891" i="5"/>
  <c r="B890" i="5"/>
  <c r="B889" i="5"/>
  <c r="B888" i="5"/>
  <c r="B887" i="5"/>
  <c r="B886" i="5"/>
  <c r="B885" i="5"/>
  <c r="B884" i="5"/>
  <c r="B883" i="5"/>
  <c r="B882" i="5"/>
  <c r="B881" i="5"/>
  <c r="B880" i="5"/>
  <c r="B879" i="5"/>
  <c r="B878" i="5"/>
  <c r="B877" i="5"/>
  <c r="B876" i="5"/>
  <c r="B875" i="5"/>
  <c r="B874" i="5"/>
  <c r="B873" i="5"/>
  <c r="B872" i="5"/>
  <c r="B871" i="5"/>
  <c r="B870" i="5"/>
  <c r="B869" i="5"/>
  <c r="B868" i="5"/>
  <c r="B867" i="5"/>
  <c r="B866" i="5"/>
  <c r="B865" i="5"/>
  <c r="B864" i="5"/>
  <c r="B863" i="5"/>
  <c r="B862" i="5"/>
  <c r="B861" i="5"/>
  <c r="B860" i="5"/>
  <c r="B859" i="5"/>
  <c r="A859" i="5"/>
  <c r="B858" i="5"/>
  <c r="A858" i="5"/>
  <c r="B857" i="5"/>
  <c r="A857" i="5"/>
  <c r="B856" i="5"/>
  <c r="A856" i="5"/>
  <c r="B855" i="5"/>
  <c r="A855" i="5"/>
  <c r="B854" i="5"/>
  <c r="A854" i="5"/>
  <c r="B853" i="5"/>
  <c r="A853" i="5"/>
  <c r="B852" i="5"/>
  <c r="A852" i="5"/>
  <c r="B851" i="5"/>
  <c r="A851" i="5"/>
  <c r="B850" i="5"/>
  <c r="A850" i="5"/>
  <c r="B849" i="5"/>
  <c r="A849" i="5"/>
  <c r="B848" i="5"/>
  <c r="A848" i="5"/>
  <c r="B847" i="5"/>
  <c r="A847" i="5"/>
  <c r="B846" i="5"/>
  <c r="A846" i="5"/>
  <c r="B845" i="5"/>
  <c r="A845" i="5"/>
  <c r="B844" i="5"/>
  <c r="A844" i="5"/>
  <c r="B843" i="5"/>
  <c r="A843" i="5"/>
  <c r="B842" i="5"/>
  <c r="A842" i="5"/>
  <c r="B841" i="5"/>
  <c r="A841" i="5"/>
  <c r="B840" i="5"/>
  <c r="A840" i="5"/>
  <c r="B839" i="5"/>
  <c r="A839" i="5"/>
  <c r="B838" i="5"/>
  <c r="A838" i="5"/>
  <c r="B837" i="5"/>
  <c r="A837" i="5"/>
  <c r="B836" i="5"/>
  <c r="A836" i="5"/>
  <c r="B835" i="5"/>
  <c r="A835" i="5"/>
  <c r="B834" i="5"/>
  <c r="A834" i="5"/>
  <c r="B833" i="5"/>
  <c r="A833" i="5"/>
  <c r="B832" i="5"/>
  <c r="A832" i="5"/>
  <c r="B831" i="5"/>
  <c r="A831" i="5"/>
  <c r="B830" i="5"/>
  <c r="A830" i="5"/>
  <c r="B829" i="5"/>
  <c r="A829" i="5"/>
  <c r="B828" i="5"/>
  <c r="A828" i="5"/>
  <c r="B827" i="5"/>
  <c r="A827" i="5"/>
  <c r="B826" i="5"/>
  <c r="A826" i="5"/>
  <c r="B825" i="5"/>
  <c r="A825" i="5"/>
  <c r="B824" i="5"/>
  <c r="A824" i="5"/>
  <c r="B823" i="5"/>
  <c r="A823" i="5"/>
  <c r="B822" i="5"/>
  <c r="A822" i="5"/>
  <c r="B821" i="5"/>
  <c r="A821" i="5"/>
  <c r="B820" i="5"/>
  <c r="A820" i="5"/>
  <c r="B819" i="5"/>
  <c r="A819" i="5"/>
  <c r="B818" i="5"/>
  <c r="A818" i="5"/>
  <c r="B817" i="5"/>
  <c r="A817" i="5"/>
  <c r="B816" i="5"/>
  <c r="A816" i="5"/>
  <c r="B815" i="5"/>
  <c r="A815" i="5"/>
  <c r="B814" i="5"/>
  <c r="A814" i="5"/>
  <c r="B813" i="5"/>
  <c r="A813" i="5"/>
  <c r="B812" i="5"/>
  <c r="A812" i="5"/>
  <c r="B811" i="5"/>
  <c r="A811" i="5"/>
  <c r="B810" i="5"/>
  <c r="A810" i="5"/>
  <c r="B809" i="5"/>
  <c r="A809" i="5"/>
  <c r="B808" i="5"/>
  <c r="A808" i="5"/>
  <c r="B807" i="5"/>
  <c r="A807" i="5"/>
  <c r="B806" i="5"/>
  <c r="A806" i="5"/>
  <c r="B805" i="5"/>
  <c r="A805" i="5"/>
  <c r="B804" i="5"/>
  <c r="A804" i="5"/>
  <c r="B803" i="5"/>
  <c r="A803" i="5"/>
  <c r="B802" i="5"/>
  <c r="A802" i="5"/>
  <c r="B801" i="5"/>
  <c r="A801" i="5"/>
  <c r="B800" i="5"/>
  <c r="A800" i="5"/>
  <c r="B799" i="5"/>
  <c r="A799" i="5"/>
  <c r="B798" i="5"/>
  <c r="A798" i="5"/>
  <c r="B797" i="5"/>
  <c r="A797" i="5"/>
  <c r="B796" i="5"/>
  <c r="A796" i="5"/>
  <c r="B795" i="5"/>
  <c r="A795" i="5"/>
  <c r="B794" i="5"/>
  <c r="A794" i="5"/>
  <c r="B793" i="5"/>
  <c r="A793" i="5"/>
  <c r="B792" i="5"/>
  <c r="A792" i="5"/>
  <c r="B791" i="5"/>
  <c r="A791" i="5"/>
  <c r="B790" i="5"/>
  <c r="A790" i="5"/>
  <c r="B789" i="5"/>
  <c r="A789" i="5"/>
  <c r="B788" i="5"/>
  <c r="A788" i="5"/>
  <c r="B787" i="5"/>
  <c r="A787" i="5"/>
  <c r="B786" i="5"/>
  <c r="A786" i="5"/>
  <c r="B785" i="5"/>
  <c r="A785" i="5"/>
  <c r="B784" i="5"/>
  <c r="A784" i="5"/>
  <c r="B783" i="5"/>
  <c r="A783" i="5"/>
  <c r="B782" i="5"/>
  <c r="A782" i="5"/>
  <c r="B781" i="5"/>
  <c r="A781" i="5"/>
  <c r="B780" i="5"/>
  <c r="A780" i="5"/>
  <c r="B779" i="5"/>
  <c r="A779" i="5"/>
  <c r="B778" i="5"/>
  <c r="A778" i="5"/>
  <c r="B777" i="5"/>
  <c r="A777" i="5"/>
  <c r="B776" i="5"/>
  <c r="A776" i="5"/>
  <c r="B775" i="5"/>
  <c r="A775" i="5"/>
  <c r="B774" i="5"/>
  <c r="A774" i="5"/>
  <c r="B773" i="5"/>
  <c r="A773" i="5"/>
  <c r="B772" i="5"/>
  <c r="A772" i="5"/>
  <c r="B771" i="5"/>
  <c r="A771" i="5"/>
  <c r="B770" i="5"/>
  <c r="A770" i="5"/>
  <c r="B769" i="5"/>
  <c r="A769" i="5"/>
  <c r="B768" i="5"/>
  <c r="A768" i="5"/>
  <c r="B767" i="5"/>
  <c r="A767" i="5"/>
  <c r="B766" i="5"/>
  <c r="A766" i="5"/>
  <c r="B765" i="5"/>
  <c r="A765" i="5"/>
  <c r="B764" i="5"/>
  <c r="A764" i="5"/>
  <c r="B763" i="5"/>
  <c r="A763" i="5"/>
  <c r="B762" i="5"/>
  <c r="A762" i="5"/>
  <c r="B761" i="5"/>
  <c r="A761" i="5"/>
  <c r="B760" i="5"/>
  <c r="A760" i="5"/>
  <c r="B759" i="5"/>
  <c r="A759" i="5"/>
  <c r="B758" i="5"/>
  <c r="A758" i="5"/>
  <c r="B757" i="5"/>
  <c r="A757" i="5"/>
  <c r="B756" i="5"/>
  <c r="A756" i="5"/>
  <c r="B755" i="5"/>
  <c r="A755" i="5"/>
  <c r="B754" i="5"/>
  <c r="A754" i="5"/>
  <c r="B753" i="5"/>
  <c r="A753" i="5"/>
  <c r="B752" i="5"/>
  <c r="A752" i="5"/>
  <c r="B751" i="5"/>
  <c r="A751" i="5"/>
  <c r="B750" i="5"/>
  <c r="A750" i="5"/>
  <c r="B749" i="5"/>
  <c r="A749" i="5"/>
  <c r="B748" i="5"/>
  <c r="A748" i="5"/>
  <c r="B747" i="5"/>
  <c r="A747" i="5"/>
  <c r="B746" i="5"/>
  <c r="A746" i="5"/>
  <c r="B745" i="5"/>
  <c r="A745" i="5"/>
  <c r="B744" i="5"/>
  <c r="A744" i="5"/>
  <c r="B743" i="5"/>
  <c r="A743" i="5"/>
  <c r="B742" i="5"/>
  <c r="A742" i="5"/>
  <c r="B741" i="5"/>
  <c r="A741" i="5"/>
  <c r="B740" i="5"/>
  <c r="A740" i="5"/>
  <c r="B739" i="5"/>
  <c r="A739" i="5"/>
  <c r="B738" i="5"/>
  <c r="A738" i="5"/>
  <c r="B737" i="5"/>
  <c r="A737" i="5"/>
  <c r="B736" i="5"/>
  <c r="A736" i="5"/>
  <c r="B735" i="5"/>
  <c r="A735" i="5"/>
  <c r="B734" i="5"/>
  <c r="A734" i="5"/>
  <c r="B733" i="5"/>
  <c r="A733" i="5"/>
  <c r="B732" i="5"/>
  <c r="A732" i="5"/>
  <c r="B731" i="5"/>
  <c r="A731" i="5"/>
  <c r="B730" i="5"/>
  <c r="A730" i="5"/>
  <c r="B729" i="5"/>
  <c r="A729" i="5"/>
  <c r="B728" i="5"/>
  <c r="A728" i="5"/>
  <c r="B727" i="5"/>
  <c r="A727" i="5"/>
  <c r="B726" i="5"/>
  <c r="A726" i="5"/>
  <c r="B725" i="5"/>
  <c r="A725" i="5"/>
  <c r="B724" i="5"/>
  <c r="A724" i="5"/>
  <c r="B723" i="5"/>
  <c r="A723" i="5"/>
  <c r="B722" i="5"/>
  <c r="A722" i="5"/>
  <c r="B721" i="5"/>
  <c r="A721" i="5"/>
  <c r="B720" i="5"/>
  <c r="A720" i="5"/>
  <c r="B719" i="5"/>
  <c r="A719" i="5"/>
  <c r="B718" i="5"/>
  <c r="A718" i="5"/>
  <c r="B717" i="5"/>
  <c r="A717" i="5"/>
  <c r="B716" i="5"/>
  <c r="A716" i="5"/>
  <c r="B715" i="5"/>
  <c r="A715" i="5"/>
  <c r="B714" i="5"/>
  <c r="A714" i="5"/>
  <c r="B713" i="5"/>
  <c r="A713" i="5"/>
  <c r="B712" i="5"/>
  <c r="A712" i="5"/>
  <c r="B711" i="5"/>
  <c r="A711" i="5"/>
  <c r="B710" i="5"/>
  <c r="A710" i="5"/>
  <c r="B709" i="5"/>
  <c r="A709" i="5"/>
  <c r="B708" i="5"/>
  <c r="A708" i="5"/>
  <c r="B707" i="5"/>
  <c r="A707" i="5"/>
  <c r="B706" i="5"/>
  <c r="A706" i="5"/>
  <c r="B705" i="5"/>
  <c r="A705" i="5"/>
  <c r="B704" i="5"/>
  <c r="A704" i="5"/>
  <c r="B703" i="5"/>
  <c r="A703" i="5"/>
  <c r="B702" i="5"/>
  <c r="A702" i="5"/>
  <c r="B701" i="5"/>
  <c r="A701" i="5"/>
  <c r="B700" i="5"/>
  <c r="A700" i="5"/>
  <c r="B699" i="5"/>
  <c r="A699" i="5"/>
  <c r="B698" i="5"/>
  <c r="A698" i="5"/>
  <c r="B697" i="5"/>
  <c r="A697" i="5"/>
  <c r="B696" i="5"/>
  <c r="A696" i="5"/>
  <c r="B695" i="5"/>
  <c r="A695" i="5"/>
  <c r="B694" i="5"/>
  <c r="A694" i="5"/>
  <c r="B693" i="5"/>
  <c r="A693" i="5"/>
  <c r="B692" i="5"/>
  <c r="A692" i="5"/>
  <c r="B691" i="5"/>
  <c r="A691" i="5"/>
  <c r="B690" i="5"/>
  <c r="A690" i="5"/>
  <c r="B689" i="5"/>
  <c r="A689" i="5"/>
  <c r="B688" i="5"/>
  <c r="A688" i="5"/>
  <c r="B687" i="5"/>
  <c r="A687" i="5"/>
  <c r="B686" i="5"/>
  <c r="A686" i="5"/>
  <c r="B685" i="5"/>
  <c r="A685" i="5"/>
  <c r="B684" i="5"/>
  <c r="A684" i="5"/>
  <c r="B683" i="5"/>
  <c r="A683" i="5"/>
  <c r="B682" i="5"/>
  <c r="A682" i="5"/>
  <c r="B681" i="5"/>
  <c r="A681" i="5"/>
  <c r="B680" i="5"/>
  <c r="A680" i="5"/>
  <c r="B679" i="5"/>
  <c r="A679" i="5"/>
  <c r="B678" i="5"/>
  <c r="A678" i="5"/>
  <c r="B677" i="5"/>
  <c r="A677" i="5"/>
  <c r="B676" i="5"/>
  <c r="A676" i="5"/>
  <c r="B675" i="5"/>
  <c r="A675" i="5"/>
  <c r="B674" i="5"/>
  <c r="A674" i="5"/>
  <c r="B673" i="5"/>
  <c r="A673" i="5"/>
  <c r="B672" i="5"/>
  <c r="A672" i="5"/>
  <c r="B671" i="5"/>
  <c r="A671" i="5"/>
  <c r="B670" i="5"/>
  <c r="A670" i="5"/>
  <c r="B669" i="5"/>
  <c r="A669" i="5"/>
  <c r="B668" i="5"/>
  <c r="A668" i="5"/>
  <c r="B667" i="5"/>
  <c r="A667" i="5"/>
  <c r="B666" i="5"/>
  <c r="A666" i="5"/>
  <c r="B665" i="5"/>
  <c r="A665" i="5"/>
  <c r="B664" i="5"/>
  <c r="A664" i="5"/>
  <c r="B663" i="5"/>
  <c r="A663" i="5"/>
  <c r="B662" i="5"/>
  <c r="A662" i="5"/>
  <c r="B661" i="5"/>
  <c r="A661" i="5"/>
  <c r="B660" i="5"/>
  <c r="A660" i="5"/>
  <c r="B659" i="5"/>
  <c r="A659" i="5"/>
  <c r="B658" i="5"/>
  <c r="A658" i="5"/>
  <c r="B657" i="5"/>
  <c r="A657" i="5"/>
  <c r="B656" i="5"/>
  <c r="A656" i="5"/>
  <c r="B655" i="5"/>
  <c r="A655" i="5"/>
  <c r="B654" i="5"/>
  <c r="A654" i="5"/>
  <c r="B653" i="5"/>
  <c r="A653" i="5"/>
  <c r="B652" i="5"/>
  <c r="A652" i="5"/>
  <c r="B651" i="5"/>
  <c r="A651" i="5"/>
  <c r="B650" i="5"/>
  <c r="A650" i="5"/>
  <c r="B649" i="5"/>
  <c r="A649" i="5"/>
  <c r="B648" i="5"/>
  <c r="A648" i="5"/>
  <c r="B647" i="5"/>
  <c r="A647" i="5"/>
  <c r="B646" i="5"/>
  <c r="A646" i="5"/>
  <c r="B645" i="5"/>
  <c r="A645" i="5"/>
  <c r="B644" i="5"/>
  <c r="A644" i="5"/>
  <c r="B643" i="5"/>
  <c r="A643" i="5"/>
  <c r="B642" i="5"/>
  <c r="A642" i="5"/>
  <c r="B641" i="5"/>
  <c r="A641" i="5"/>
  <c r="B640" i="5"/>
  <c r="A640" i="5"/>
  <c r="B639" i="5"/>
  <c r="A639" i="5"/>
  <c r="B638" i="5"/>
  <c r="A638" i="5"/>
  <c r="B637" i="5"/>
  <c r="A637" i="5"/>
  <c r="B636" i="5"/>
  <c r="A636" i="5"/>
  <c r="B635" i="5"/>
  <c r="A635" i="5"/>
  <c r="B634" i="5"/>
  <c r="A634" i="5"/>
  <c r="B633" i="5"/>
  <c r="A633" i="5"/>
  <c r="B632" i="5"/>
  <c r="A632" i="5"/>
  <c r="B631" i="5"/>
  <c r="A631" i="5"/>
  <c r="B630" i="5"/>
  <c r="A630" i="5"/>
  <c r="B629" i="5"/>
  <c r="A629" i="5"/>
  <c r="B628" i="5"/>
  <c r="A628" i="5"/>
  <c r="B627" i="5"/>
  <c r="A627" i="5"/>
  <c r="B626" i="5"/>
  <c r="A626" i="5"/>
  <c r="B625" i="5"/>
  <c r="A625" i="5"/>
  <c r="B624" i="5"/>
  <c r="A624" i="5"/>
  <c r="B623" i="5"/>
  <c r="A623" i="5"/>
  <c r="B622" i="5"/>
  <c r="A622" i="5"/>
  <c r="B621" i="5"/>
  <c r="A621" i="5"/>
  <c r="B620" i="5"/>
  <c r="A620" i="5"/>
  <c r="B619" i="5"/>
  <c r="A619" i="5"/>
  <c r="B618" i="5"/>
  <c r="A618" i="5"/>
  <c r="B617" i="5"/>
  <c r="A617" i="5"/>
  <c r="B616" i="5"/>
  <c r="A616" i="5"/>
  <c r="B615" i="5"/>
  <c r="A615" i="5"/>
  <c r="B614" i="5"/>
  <c r="A614" i="5"/>
  <c r="B613" i="5"/>
  <c r="A613" i="5"/>
  <c r="B612" i="5"/>
  <c r="A612" i="5"/>
  <c r="B611" i="5"/>
  <c r="A611" i="5"/>
  <c r="B610" i="5"/>
  <c r="A610" i="5"/>
  <c r="B609" i="5"/>
  <c r="A609" i="5"/>
  <c r="B608" i="5"/>
  <c r="A608" i="5"/>
  <c r="B607" i="5"/>
  <c r="A607" i="5"/>
  <c r="B606" i="5"/>
  <c r="A606" i="5"/>
  <c r="B605" i="5"/>
  <c r="A605" i="5"/>
  <c r="B604" i="5"/>
  <c r="A604" i="5"/>
  <c r="B603" i="5"/>
  <c r="A603" i="5"/>
  <c r="B602" i="5"/>
  <c r="A602" i="5"/>
  <c r="B601" i="5"/>
  <c r="A601" i="5"/>
  <c r="B600" i="5"/>
  <c r="A600" i="5"/>
  <c r="B599" i="5"/>
  <c r="A599" i="5"/>
  <c r="B598" i="5"/>
  <c r="A598" i="5"/>
  <c r="B597" i="5"/>
  <c r="A597" i="5"/>
  <c r="B596" i="5"/>
  <c r="A596" i="5"/>
  <c r="B595" i="5"/>
  <c r="A595" i="5"/>
  <c r="B594" i="5"/>
  <c r="A594" i="5"/>
  <c r="B593" i="5"/>
  <c r="A593" i="5"/>
  <c r="B592" i="5"/>
  <c r="A592" i="5"/>
  <c r="B591" i="5"/>
  <c r="A591" i="5"/>
  <c r="B590" i="5"/>
  <c r="A590" i="5"/>
  <c r="B589" i="5"/>
  <c r="A589" i="5"/>
  <c r="B588" i="5"/>
  <c r="A588" i="5"/>
  <c r="B587" i="5"/>
  <c r="A587" i="5"/>
  <c r="B586" i="5"/>
  <c r="A586" i="5"/>
  <c r="B585" i="5"/>
  <c r="A585" i="5"/>
  <c r="B584" i="5"/>
  <c r="A584" i="5"/>
  <c r="B583" i="5"/>
  <c r="A583" i="5"/>
  <c r="B582" i="5"/>
  <c r="A582" i="5"/>
  <c r="B581" i="5"/>
  <c r="A581" i="5"/>
  <c r="B580" i="5"/>
  <c r="A580" i="5"/>
  <c r="B579" i="5"/>
  <c r="A579" i="5"/>
  <c r="B578" i="5"/>
  <c r="A578" i="5"/>
  <c r="B577" i="5"/>
  <c r="A577" i="5"/>
  <c r="B576" i="5"/>
  <c r="A576" i="5"/>
  <c r="B575" i="5"/>
  <c r="A575" i="5"/>
  <c r="B574" i="5"/>
  <c r="A574" i="5"/>
  <c r="B573" i="5"/>
  <c r="A573" i="5"/>
  <c r="B572" i="5"/>
  <c r="A572" i="5"/>
  <c r="B571" i="5"/>
  <c r="A571" i="5"/>
  <c r="B570" i="5"/>
  <c r="A570" i="5"/>
  <c r="B569" i="5"/>
  <c r="A569" i="5"/>
  <c r="B568" i="5"/>
  <c r="A568" i="5"/>
  <c r="B567" i="5"/>
  <c r="A567" i="5"/>
  <c r="B566" i="5"/>
  <c r="A566" i="5"/>
  <c r="B565" i="5"/>
  <c r="A565" i="5"/>
  <c r="B564" i="5"/>
  <c r="A564" i="5"/>
  <c r="B563" i="5"/>
  <c r="A563" i="5"/>
  <c r="B562" i="5"/>
  <c r="A562" i="5"/>
  <c r="B561" i="5"/>
  <c r="A561" i="5"/>
  <c r="B560" i="5"/>
  <c r="A560" i="5"/>
  <c r="B559" i="5"/>
  <c r="A559" i="5"/>
  <c r="B558" i="5"/>
  <c r="A558" i="5"/>
  <c r="B557" i="5"/>
  <c r="A557" i="5"/>
  <c r="B556" i="5"/>
  <c r="A556" i="5"/>
  <c r="B555" i="5"/>
  <c r="A555" i="5"/>
  <c r="B554" i="5"/>
  <c r="A554" i="5"/>
  <c r="B553" i="5"/>
  <c r="A553" i="5"/>
  <c r="B552" i="5"/>
  <c r="A552" i="5"/>
  <c r="B551" i="5"/>
  <c r="A551" i="5"/>
  <c r="B550" i="5"/>
  <c r="A550" i="5"/>
  <c r="B549" i="5"/>
  <c r="A549" i="5"/>
  <c r="B548" i="5"/>
  <c r="A548" i="5"/>
  <c r="B547" i="5"/>
  <c r="A547" i="5"/>
  <c r="B546" i="5"/>
  <c r="A546" i="5"/>
  <c r="B545" i="5"/>
  <c r="A545" i="5"/>
  <c r="B544" i="5"/>
  <c r="A544" i="5"/>
  <c r="B543" i="5"/>
  <c r="A543" i="5"/>
  <c r="B542" i="5"/>
  <c r="A542" i="5"/>
  <c r="B541" i="5"/>
  <c r="A541" i="5"/>
  <c r="B540" i="5"/>
  <c r="A540" i="5"/>
  <c r="B539" i="5"/>
  <c r="A539" i="5"/>
  <c r="B538" i="5"/>
  <c r="A538" i="5"/>
  <c r="B537" i="5"/>
  <c r="A537" i="5"/>
  <c r="B536" i="5"/>
  <c r="A536" i="5"/>
  <c r="B535" i="5"/>
  <c r="A535" i="5"/>
  <c r="B534" i="5"/>
  <c r="A534" i="5"/>
  <c r="B533" i="5"/>
  <c r="A533" i="5"/>
  <c r="B532" i="5"/>
  <c r="A532" i="5"/>
  <c r="B531" i="5"/>
  <c r="A531" i="5"/>
  <c r="B530" i="5"/>
  <c r="A530" i="5"/>
  <c r="B529" i="5"/>
  <c r="A529" i="5"/>
  <c r="B528" i="5"/>
  <c r="A528" i="5"/>
  <c r="B527" i="5"/>
  <c r="A527" i="5"/>
  <c r="B526" i="5"/>
  <c r="A526" i="5"/>
  <c r="B525" i="5"/>
  <c r="A525" i="5"/>
  <c r="B524" i="5"/>
  <c r="A524" i="5"/>
  <c r="B523" i="5"/>
  <c r="A523" i="5"/>
  <c r="B522" i="5"/>
  <c r="A522" i="5"/>
  <c r="B521" i="5"/>
  <c r="A521" i="5"/>
  <c r="B520" i="5"/>
  <c r="A520" i="5"/>
  <c r="B519" i="5"/>
  <c r="A519" i="5"/>
  <c r="B518" i="5"/>
  <c r="A518" i="5"/>
  <c r="B517" i="5"/>
  <c r="A517" i="5"/>
  <c r="B516" i="5"/>
  <c r="A516" i="5"/>
  <c r="B515" i="5"/>
  <c r="A515" i="5"/>
  <c r="B514" i="5"/>
  <c r="A514" i="5"/>
  <c r="B513" i="5"/>
  <c r="A513" i="5"/>
  <c r="B512" i="5"/>
  <c r="A512" i="5"/>
  <c r="B511" i="5"/>
  <c r="A511" i="5"/>
  <c r="B510" i="5"/>
  <c r="A510" i="5"/>
  <c r="B509" i="5"/>
  <c r="A509" i="5"/>
  <c r="B508" i="5"/>
  <c r="A508" i="5"/>
  <c r="B507" i="5"/>
  <c r="A507" i="5"/>
  <c r="B506" i="5"/>
  <c r="A506" i="5"/>
  <c r="B505" i="5"/>
  <c r="A505" i="5"/>
  <c r="B504" i="5"/>
  <c r="A504" i="5"/>
  <c r="B503" i="5"/>
  <c r="A503" i="5"/>
  <c r="B502" i="5"/>
  <c r="A502" i="5"/>
  <c r="B501" i="5"/>
  <c r="A501" i="5"/>
  <c r="B500" i="5"/>
  <c r="A500" i="5"/>
  <c r="B499" i="5"/>
  <c r="A499" i="5"/>
  <c r="B498" i="5"/>
  <c r="A498" i="5"/>
  <c r="B497" i="5"/>
  <c r="A497" i="5"/>
  <c r="B496" i="5"/>
  <c r="A496" i="5"/>
  <c r="B495" i="5"/>
  <c r="A495" i="5"/>
  <c r="B494" i="5"/>
  <c r="A494" i="5"/>
  <c r="B493" i="5"/>
  <c r="A493" i="5"/>
  <c r="B492" i="5"/>
  <c r="A492" i="5"/>
  <c r="B491" i="5"/>
  <c r="A491" i="5"/>
  <c r="B490" i="5"/>
  <c r="A490" i="5"/>
  <c r="B489" i="5"/>
  <c r="A489" i="5"/>
  <c r="B488" i="5"/>
  <c r="A488" i="5"/>
  <c r="B487" i="5"/>
  <c r="A487" i="5"/>
  <c r="B486" i="5"/>
  <c r="A486" i="5"/>
  <c r="B485" i="5"/>
  <c r="A485" i="5"/>
  <c r="B484" i="5"/>
  <c r="A484" i="5"/>
  <c r="B483" i="5"/>
  <c r="A483" i="5"/>
  <c r="B482" i="5"/>
  <c r="A482" i="5"/>
  <c r="B481" i="5"/>
  <c r="A481" i="5"/>
  <c r="B480" i="5"/>
  <c r="A480" i="5"/>
  <c r="B479" i="5"/>
  <c r="A479" i="5"/>
  <c r="B478" i="5"/>
  <c r="A478" i="5"/>
  <c r="B477" i="5"/>
  <c r="A477" i="5"/>
  <c r="B476" i="5"/>
  <c r="A476" i="5"/>
  <c r="B475" i="5"/>
  <c r="A475" i="5"/>
  <c r="B474" i="5"/>
  <c r="A474" i="5"/>
  <c r="B473" i="5"/>
  <c r="A473" i="5"/>
  <c r="B472" i="5"/>
  <c r="A472" i="5"/>
  <c r="B471" i="5"/>
  <c r="A471" i="5"/>
  <c r="B470" i="5"/>
  <c r="A470" i="5"/>
  <c r="B469" i="5"/>
  <c r="A469" i="5"/>
  <c r="B468" i="5"/>
  <c r="A468" i="5"/>
  <c r="B467" i="5"/>
  <c r="A467" i="5"/>
  <c r="B466" i="5"/>
  <c r="A466" i="5"/>
  <c r="B465" i="5"/>
  <c r="A465" i="5"/>
  <c r="B464" i="5"/>
  <c r="A464" i="5"/>
  <c r="B463" i="5"/>
  <c r="A463" i="5"/>
  <c r="B462" i="5"/>
  <c r="A462" i="5"/>
  <c r="B461" i="5"/>
  <c r="A461" i="5"/>
  <c r="B460" i="5"/>
  <c r="A460" i="5"/>
  <c r="B459" i="5"/>
  <c r="A459" i="5"/>
  <c r="B458" i="5"/>
  <c r="A458" i="5"/>
  <c r="B457" i="5"/>
  <c r="A457" i="5"/>
  <c r="B456" i="5"/>
  <c r="A456" i="5"/>
  <c r="B455" i="5"/>
  <c r="A455" i="5"/>
  <c r="B454" i="5"/>
  <c r="A454" i="5"/>
  <c r="B453" i="5"/>
  <c r="A453" i="5"/>
  <c r="B452" i="5"/>
  <c r="A452" i="5"/>
  <c r="B451" i="5"/>
  <c r="A451" i="5"/>
  <c r="B450" i="5"/>
  <c r="A450" i="5"/>
  <c r="B449" i="5"/>
  <c r="A449" i="5"/>
  <c r="B448" i="5"/>
  <c r="A448" i="5"/>
  <c r="B447" i="5"/>
  <c r="A447" i="5"/>
  <c r="B446" i="5"/>
  <c r="A446" i="5"/>
  <c r="B445" i="5"/>
  <c r="A445" i="5"/>
  <c r="B444" i="5"/>
  <c r="A444" i="5"/>
  <c r="B443" i="5"/>
  <c r="A443" i="5"/>
  <c r="B442" i="5"/>
  <c r="A442" i="5"/>
  <c r="B441" i="5"/>
  <c r="A441" i="5"/>
  <c r="B440" i="5"/>
  <c r="A440" i="5"/>
  <c r="B439" i="5"/>
  <c r="A439" i="5"/>
  <c r="B438" i="5"/>
  <c r="A438" i="5"/>
  <c r="B437" i="5"/>
  <c r="A437" i="5"/>
  <c r="B436" i="5"/>
  <c r="A436" i="5"/>
  <c r="B435" i="5"/>
  <c r="A435" i="5"/>
  <c r="B434" i="5"/>
  <c r="A434" i="5"/>
  <c r="B433" i="5"/>
  <c r="A433" i="5"/>
  <c r="B432" i="5"/>
  <c r="A432" i="5"/>
  <c r="B431" i="5"/>
  <c r="A431" i="5"/>
  <c r="B430" i="5"/>
  <c r="A430" i="5"/>
  <c r="B429" i="5"/>
  <c r="A429" i="5"/>
  <c r="B428" i="5"/>
  <c r="A428" i="5"/>
  <c r="B427" i="5"/>
  <c r="A427" i="5"/>
  <c r="B426" i="5"/>
  <c r="A426" i="5"/>
  <c r="B425" i="5"/>
  <c r="A425" i="5"/>
  <c r="B424" i="5"/>
  <c r="A424" i="5"/>
  <c r="B423" i="5"/>
  <c r="A423" i="5"/>
  <c r="B422" i="5"/>
  <c r="A422" i="5"/>
  <c r="B421" i="5"/>
  <c r="A421" i="5"/>
  <c r="B420" i="5"/>
  <c r="A420" i="5"/>
  <c r="B419" i="5"/>
  <c r="A419" i="5"/>
  <c r="B418" i="5"/>
  <c r="A418" i="5"/>
  <c r="B417" i="5"/>
  <c r="A417" i="5"/>
  <c r="B416" i="5"/>
  <c r="A416" i="5"/>
  <c r="B415" i="5"/>
  <c r="A415" i="5"/>
  <c r="B414" i="5"/>
  <c r="A414" i="5"/>
  <c r="B413" i="5"/>
  <c r="A413" i="5"/>
  <c r="B412" i="5"/>
  <c r="A412" i="5"/>
  <c r="B411" i="5"/>
  <c r="A411" i="5"/>
  <c r="B410" i="5"/>
  <c r="A410" i="5"/>
  <c r="B409" i="5"/>
  <c r="A409" i="5"/>
  <c r="B408" i="5"/>
  <c r="A408" i="5"/>
  <c r="B407" i="5"/>
  <c r="A407" i="5"/>
  <c r="B406" i="5"/>
  <c r="A406" i="5"/>
  <c r="B405" i="5"/>
  <c r="A405" i="5"/>
  <c r="B404" i="5"/>
  <c r="A404" i="5"/>
  <c r="B403" i="5"/>
  <c r="A403" i="5"/>
  <c r="B402" i="5"/>
  <c r="A402" i="5"/>
  <c r="B401" i="5"/>
  <c r="A401" i="5"/>
  <c r="B400" i="5"/>
  <c r="A400" i="5"/>
  <c r="B399" i="5"/>
  <c r="A399" i="5"/>
  <c r="B398" i="5"/>
  <c r="A398" i="5"/>
  <c r="B397" i="5"/>
  <c r="A397" i="5"/>
  <c r="B396" i="5"/>
  <c r="A396" i="5"/>
  <c r="B395" i="5"/>
  <c r="A395" i="5"/>
  <c r="B394" i="5"/>
  <c r="A394" i="5"/>
  <c r="B393" i="5"/>
  <c r="A393" i="5"/>
  <c r="B392" i="5"/>
  <c r="A392" i="5"/>
  <c r="B391" i="5"/>
  <c r="A391" i="5"/>
  <c r="B390" i="5"/>
  <c r="A390" i="5"/>
  <c r="B389" i="5"/>
  <c r="A389" i="5"/>
  <c r="B388" i="5"/>
  <c r="A388" i="5"/>
  <c r="B387" i="5"/>
  <c r="A387" i="5"/>
  <c r="B386" i="5"/>
  <c r="A386" i="5"/>
  <c r="B385" i="5"/>
  <c r="A385" i="5"/>
  <c r="B384" i="5"/>
  <c r="A384" i="5"/>
  <c r="B383" i="5"/>
  <c r="A383" i="5"/>
  <c r="B382" i="5"/>
  <c r="A382" i="5"/>
  <c r="B381" i="5"/>
  <c r="A381" i="5"/>
  <c r="B380" i="5"/>
  <c r="A380" i="5"/>
  <c r="B379" i="5"/>
  <c r="A379" i="5"/>
  <c r="B378" i="5"/>
  <c r="A378" i="5"/>
  <c r="B377" i="5"/>
  <c r="A377" i="5"/>
  <c r="B376" i="5"/>
  <c r="A376" i="5"/>
  <c r="B375" i="5"/>
  <c r="A375" i="5"/>
  <c r="B374" i="5"/>
  <c r="A374" i="5"/>
  <c r="B373" i="5"/>
  <c r="A373" i="5"/>
  <c r="B372" i="5"/>
  <c r="A372" i="5"/>
  <c r="B371" i="5"/>
  <c r="A371" i="5"/>
  <c r="B370" i="5"/>
  <c r="A370" i="5"/>
  <c r="B369" i="5"/>
  <c r="A369" i="5"/>
  <c r="B368" i="5"/>
  <c r="A368" i="5"/>
  <c r="B367" i="5"/>
  <c r="A367" i="5"/>
  <c r="B366" i="5"/>
  <c r="A366" i="5"/>
  <c r="B365" i="5"/>
  <c r="A365" i="5"/>
  <c r="B364" i="5"/>
  <c r="A364" i="5"/>
  <c r="B363" i="5"/>
  <c r="A363" i="5"/>
  <c r="B362" i="5"/>
  <c r="A362" i="5"/>
  <c r="B361" i="5"/>
  <c r="A361" i="5"/>
  <c r="B360" i="5"/>
  <c r="A360" i="5"/>
  <c r="B359" i="5"/>
  <c r="A359" i="5"/>
  <c r="B358" i="5"/>
  <c r="A358" i="5"/>
  <c r="B357" i="5"/>
  <c r="A357" i="5"/>
  <c r="B356" i="5"/>
  <c r="A356" i="5"/>
  <c r="B355" i="5"/>
  <c r="A355" i="5"/>
  <c r="B354" i="5"/>
  <c r="A354" i="5"/>
  <c r="B353" i="5"/>
  <c r="A353" i="5"/>
  <c r="B352" i="5"/>
  <c r="A352" i="5"/>
  <c r="B351" i="5"/>
  <c r="A351" i="5"/>
  <c r="B350" i="5"/>
  <c r="A350" i="5"/>
  <c r="B349" i="5"/>
  <c r="A349" i="5"/>
  <c r="B348" i="5"/>
  <c r="A348" i="5"/>
  <c r="B347" i="5"/>
  <c r="A347" i="5"/>
  <c r="B346" i="5"/>
  <c r="A346" i="5"/>
  <c r="B345" i="5"/>
  <c r="A345" i="5"/>
  <c r="B344" i="5"/>
  <c r="A344" i="5"/>
  <c r="B343" i="5"/>
  <c r="A343" i="5"/>
  <c r="B342" i="5"/>
  <c r="A342" i="5"/>
  <c r="B341" i="5"/>
  <c r="A341" i="5"/>
  <c r="B340" i="5"/>
  <c r="A340" i="5"/>
  <c r="B339" i="5"/>
  <c r="A339" i="5"/>
  <c r="B338" i="5"/>
  <c r="A338" i="5"/>
  <c r="B337" i="5"/>
  <c r="A337" i="5"/>
  <c r="B336" i="5"/>
  <c r="A336" i="5"/>
  <c r="B335" i="5"/>
  <c r="A335" i="5"/>
  <c r="B334" i="5"/>
  <c r="A334" i="5"/>
  <c r="B333" i="5"/>
  <c r="A333" i="5"/>
  <c r="B332" i="5"/>
  <c r="A332" i="5"/>
  <c r="B331" i="5"/>
  <c r="A331" i="5"/>
  <c r="B330" i="5"/>
  <c r="A330" i="5"/>
  <c r="B329" i="5"/>
  <c r="A329" i="5"/>
  <c r="B328" i="5"/>
  <c r="A328" i="5"/>
  <c r="B327" i="5"/>
  <c r="A327" i="5"/>
  <c r="B326" i="5"/>
  <c r="A326" i="5"/>
  <c r="B325" i="5"/>
  <c r="A325" i="5"/>
  <c r="B324" i="5"/>
  <c r="A324" i="5"/>
  <c r="B323" i="5"/>
  <c r="A323" i="5"/>
  <c r="B322" i="5"/>
  <c r="A322" i="5"/>
  <c r="B321" i="5"/>
  <c r="A321" i="5"/>
  <c r="B320" i="5"/>
  <c r="A320" i="5"/>
  <c r="B319" i="5"/>
  <c r="A319" i="5"/>
  <c r="B318" i="5"/>
  <c r="A318" i="5"/>
  <c r="B317" i="5"/>
  <c r="A317" i="5"/>
  <c r="B316" i="5"/>
  <c r="A316" i="5"/>
  <c r="B315" i="5"/>
  <c r="A315" i="5"/>
  <c r="B314" i="5"/>
  <c r="A314" i="5"/>
  <c r="B313" i="5"/>
  <c r="A313" i="5"/>
  <c r="B312" i="5"/>
  <c r="A312" i="5"/>
  <c r="B311" i="5"/>
  <c r="A311" i="5"/>
  <c r="B310" i="5"/>
  <c r="A310" i="5"/>
  <c r="B309" i="5"/>
  <c r="A309" i="5"/>
  <c r="B308" i="5"/>
  <c r="A308" i="5"/>
  <c r="B307" i="5"/>
  <c r="A307" i="5"/>
  <c r="B306" i="5"/>
  <c r="A306" i="5"/>
  <c r="B305" i="5"/>
  <c r="A305" i="5"/>
  <c r="B304" i="5"/>
  <c r="A304" i="5"/>
  <c r="B303" i="5"/>
  <c r="A303" i="5"/>
  <c r="B302" i="5"/>
  <c r="A302" i="5"/>
  <c r="B301" i="5"/>
  <c r="A301" i="5"/>
  <c r="B300" i="5"/>
  <c r="A300" i="5"/>
  <c r="B299" i="5"/>
  <c r="A299" i="5"/>
  <c r="B298" i="5"/>
  <c r="A298" i="5"/>
  <c r="B297" i="5"/>
  <c r="A297" i="5"/>
  <c r="B296" i="5"/>
  <c r="A296" i="5"/>
  <c r="B295" i="5"/>
  <c r="A295" i="5"/>
  <c r="B294" i="5"/>
  <c r="A294" i="5"/>
  <c r="B293" i="5"/>
  <c r="A293" i="5"/>
  <c r="B292" i="5"/>
  <c r="A292" i="5"/>
  <c r="B291" i="5"/>
  <c r="A291" i="5"/>
  <c r="B290" i="5"/>
  <c r="A290" i="5"/>
  <c r="B289" i="5"/>
  <c r="A289" i="5"/>
  <c r="B288" i="5"/>
  <c r="A288" i="5"/>
  <c r="B287" i="5"/>
  <c r="A287" i="5"/>
  <c r="B286" i="5"/>
  <c r="A286" i="5"/>
  <c r="B285" i="5"/>
  <c r="A285" i="5"/>
  <c r="B284" i="5"/>
  <c r="A284" i="5"/>
  <c r="B283" i="5"/>
  <c r="A283" i="5"/>
  <c r="B282" i="5"/>
  <c r="A282" i="5"/>
  <c r="B281" i="5"/>
  <c r="A281" i="5"/>
  <c r="B280" i="5"/>
  <c r="A280" i="5"/>
  <c r="B279" i="5"/>
  <c r="A279" i="5"/>
  <c r="B278" i="5"/>
  <c r="A278" i="5"/>
  <c r="B277" i="5"/>
  <c r="A277" i="5"/>
  <c r="B276" i="5"/>
  <c r="A276" i="5"/>
  <c r="B275" i="5"/>
  <c r="A275" i="5"/>
  <c r="B274" i="5"/>
  <c r="A274" i="5"/>
  <c r="B273" i="5"/>
  <c r="A273" i="5"/>
  <c r="B272" i="5"/>
  <c r="A272" i="5"/>
  <c r="B271" i="5"/>
  <c r="A271" i="5"/>
  <c r="B270" i="5"/>
  <c r="A270" i="5"/>
  <c r="B269" i="5"/>
  <c r="A269" i="5"/>
  <c r="B268" i="5"/>
  <c r="A268" i="5"/>
  <c r="B267" i="5"/>
  <c r="A267" i="5"/>
  <c r="B266" i="5"/>
  <c r="A266" i="5"/>
  <c r="B265" i="5"/>
  <c r="A265" i="5"/>
  <c r="B264" i="5"/>
  <c r="A264" i="5"/>
  <c r="B263" i="5"/>
  <c r="A263" i="5"/>
  <c r="B262" i="5"/>
  <c r="A262" i="5"/>
  <c r="B261" i="5"/>
  <c r="A261" i="5"/>
  <c r="B260" i="5"/>
  <c r="A260" i="5"/>
  <c r="B259" i="5"/>
  <c r="A259" i="5"/>
  <c r="B258" i="5"/>
  <c r="A258" i="5"/>
  <c r="B257" i="5"/>
  <c r="A257" i="5"/>
  <c r="B256" i="5"/>
  <c r="A256" i="5"/>
  <c r="B255" i="5"/>
  <c r="A255" i="5"/>
  <c r="B254" i="5"/>
  <c r="A254" i="5"/>
  <c r="B253" i="5"/>
  <c r="A253" i="5"/>
  <c r="B252" i="5"/>
  <c r="A252" i="5"/>
  <c r="B251" i="5"/>
  <c r="A251" i="5"/>
  <c r="B250" i="5"/>
  <c r="A250" i="5"/>
  <c r="B249" i="5"/>
  <c r="A249" i="5"/>
  <c r="B248" i="5"/>
  <c r="A248" i="5"/>
  <c r="B247" i="5"/>
  <c r="A247" i="5"/>
  <c r="B246" i="5"/>
  <c r="A246" i="5"/>
  <c r="B245" i="5"/>
  <c r="A245" i="5"/>
  <c r="B244" i="5"/>
  <c r="A244" i="5"/>
  <c r="B243" i="5"/>
  <c r="A243" i="5"/>
  <c r="B242" i="5"/>
  <c r="A242" i="5"/>
  <c r="B241" i="5"/>
  <c r="A241" i="5"/>
  <c r="B240" i="5"/>
  <c r="A240" i="5"/>
  <c r="B239" i="5"/>
  <c r="A239" i="5"/>
  <c r="B238" i="5"/>
  <c r="A238" i="5"/>
  <c r="B237" i="5"/>
  <c r="A237" i="5"/>
  <c r="B236" i="5"/>
  <c r="A236" i="5"/>
  <c r="B235" i="5"/>
  <c r="A235" i="5"/>
  <c r="B234" i="5"/>
  <c r="A234" i="5"/>
  <c r="B233" i="5"/>
  <c r="A233" i="5"/>
  <c r="B232" i="5"/>
  <c r="A232" i="5"/>
  <c r="B231" i="5"/>
  <c r="A231" i="5"/>
  <c r="B230" i="5"/>
  <c r="A230" i="5"/>
  <c r="B229" i="5"/>
  <c r="A229" i="5"/>
  <c r="B228" i="5"/>
  <c r="A228" i="5"/>
  <c r="B227" i="5"/>
  <c r="A227" i="5"/>
  <c r="B226" i="5"/>
  <c r="A226" i="5"/>
  <c r="B225" i="5"/>
  <c r="A225" i="5"/>
  <c r="B224" i="5"/>
  <c r="A224" i="5"/>
  <c r="B223" i="5"/>
  <c r="A223" i="5"/>
  <c r="B222" i="5"/>
  <c r="A222" i="5"/>
  <c r="B221" i="5"/>
  <c r="A221" i="5"/>
  <c r="B220" i="5"/>
  <c r="A220" i="5"/>
  <c r="B219" i="5"/>
  <c r="A219" i="5"/>
  <c r="B218" i="5"/>
  <c r="A218" i="5"/>
  <c r="B217" i="5"/>
  <c r="A217" i="5"/>
  <c r="B216" i="5"/>
  <c r="A216" i="5"/>
  <c r="B215" i="5"/>
  <c r="A215" i="5"/>
  <c r="B214" i="5"/>
  <c r="A214" i="5"/>
  <c r="B213" i="5"/>
  <c r="A213" i="5"/>
  <c r="B212" i="5"/>
  <c r="A212" i="5"/>
  <c r="B211" i="5"/>
  <c r="A211" i="5"/>
  <c r="B210" i="5"/>
  <c r="A210" i="5"/>
  <c r="B209" i="5"/>
  <c r="A209" i="5"/>
  <c r="B208" i="5"/>
  <c r="A208" i="5"/>
  <c r="B207" i="5"/>
  <c r="A207" i="5"/>
  <c r="B206" i="5"/>
  <c r="A206" i="5"/>
  <c r="B205" i="5"/>
  <c r="A205" i="5"/>
  <c r="B204" i="5"/>
  <c r="A204" i="5"/>
  <c r="B203" i="5"/>
  <c r="A203" i="5"/>
  <c r="B202" i="5"/>
  <c r="A202" i="5"/>
  <c r="B201" i="5"/>
  <c r="A201" i="5"/>
  <c r="B200" i="5"/>
  <c r="A200" i="5"/>
  <c r="B199" i="5"/>
  <c r="A199" i="5"/>
  <c r="B198" i="5"/>
  <c r="A198" i="5"/>
  <c r="B197" i="5"/>
  <c r="A197" i="5"/>
  <c r="B196" i="5"/>
  <c r="A196" i="5"/>
  <c r="B195" i="5"/>
  <c r="A195" i="5"/>
  <c r="B194" i="5"/>
  <c r="A194" i="5"/>
  <c r="B193" i="5"/>
  <c r="A193" i="5"/>
  <c r="B192" i="5"/>
  <c r="A192" i="5"/>
  <c r="B191" i="5"/>
  <c r="A191" i="5"/>
  <c r="B190" i="5"/>
  <c r="A190" i="5"/>
  <c r="B189" i="5"/>
  <c r="A189" i="5"/>
  <c r="B188" i="5"/>
  <c r="A188" i="5"/>
  <c r="B187" i="5"/>
  <c r="A187" i="5"/>
  <c r="B186" i="5"/>
  <c r="A186" i="5"/>
  <c r="B185" i="5"/>
  <c r="A185" i="5"/>
  <c r="B184" i="5"/>
  <c r="A184" i="5"/>
  <c r="B183" i="5"/>
  <c r="A183" i="5"/>
  <c r="B182" i="5"/>
  <c r="A182" i="5"/>
  <c r="B181" i="5"/>
  <c r="A181" i="5"/>
  <c r="B180" i="5"/>
  <c r="A180" i="5"/>
  <c r="B179" i="5"/>
  <c r="A179" i="5"/>
  <c r="B178" i="5"/>
  <c r="A178" i="5"/>
  <c r="B177" i="5"/>
  <c r="A177" i="5"/>
  <c r="B176" i="5"/>
  <c r="A176" i="5"/>
  <c r="B175" i="5"/>
  <c r="A175" i="5"/>
  <c r="B174" i="5"/>
  <c r="A174" i="5"/>
  <c r="B173" i="5"/>
  <c r="A173" i="5"/>
  <c r="B172" i="5"/>
  <c r="A172" i="5"/>
  <c r="B171" i="5"/>
  <c r="A171" i="5"/>
  <c r="B170" i="5"/>
  <c r="A170" i="5"/>
  <c r="B169" i="5"/>
  <c r="A169" i="5"/>
  <c r="B168" i="5"/>
  <c r="A168" i="5"/>
  <c r="B167" i="5"/>
  <c r="A167" i="5"/>
  <c r="B166" i="5"/>
  <c r="A166" i="5"/>
  <c r="B165" i="5"/>
  <c r="A165" i="5"/>
  <c r="B164" i="5"/>
  <c r="A164" i="5"/>
  <c r="B163" i="5"/>
  <c r="A163" i="5"/>
  <c r="B162" i="5"/>
  <c r="A162" i="5"/>
  <c r="B161" i="5"/>
  <c r="A161" i="5"/>
  <c r="B160" i="5"/>
  <c r="A160" i="5"/>
  <c r="B159" i="5"/>
  <c r="A159" i="5"/>
  <c r="B158" i="5"/>
  <c r="A158" i="5"/>
  <c r="B157" i="5"/>
  <c r="A157" i="5"/>
  <c r="B156" i="5"/>
  <c r="A156" i="5"/>
  <c r="B155" i="5"/>
  <c r="A155" i="5"/>
  <c r="B154" i="5"/>
  <c r="A154" i="5"/>
  <c r="B153" i="5"/>
  <c r="A153" i="5"/>
  <c r="B152" i="5"/>
  <c r="A152" i="5"/>
  <c r="B151" i="5"/>
  <c r="A151" i="5"/>
  <c r="B150" i="5"/>
  <c r="A150" i="5"/>
  <c r="B149" i="5"/>
  <c r="A149" i="5"/>
  <c r="B148" i="5"/>
  <c r="A148" i="5"/>
  <c r="B147" i="5"/>
  <c r="A147" i="5"/>
  <c r="B146" i="5"/>
  <c r="A146" i="5"/>
  <c r="B145" i="5"/>
  <c r="A145" i="5"/>
  <c r="B144" i="5"/>
  <c r="A144" i="5"/>
  <c r="B143" i="5"/>
  <c r="A143" i="5"/>
  <c r="B142" i="5"/>
  <c r="A142" i="5"/>
  <c r="B141" i="5"/>
  <c r="A141" i="5"/>
  <c r="B140" i="5"/>
  <c r="A140" i="5"/>
  <c r="B139" i="5"/>
  <c r="A139" i="5"/>
  <c r="B138" i="5"/>
  <c r="A138" i="5"/>
  <c r="B137" i="5"/>
  <c r="A137" i="5"/>
  <c r="B136" i="5"/>
  <c r="B135" i="5"/>
  <c r="B134" i="5"/>
  <c r="B133" i="5"/>
  <c r="B132" i="5"/>
  <c r="B131" i="5"/>
  <c r="B130" i="5"/>
  <c r="B129" i="5"/>
  <c r="B128" i="5"/>
  <c r="B127" i="5"/>
  <c r="B126" i="5"/>
  <c r="B125" i="5"/>
  <c r="B124" i="5"/>
  <c r="B123" i="5"/>
  <c r="B122" i="5"/>
  <c r="B121" i="5"/>
  <c r="B120" i="5"/>
  <c r="B119" i="5"/>
  <c r="B118" i="5"/>
  <c r="B117" i="5"/>
  <c r="B116" i="5"/>
  <c r="B115" i="5"/>
  <c r="B114" i="5"/>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B63" i="5"/>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B12" i="5"/>
  <c r="B11" i="5"/>
  <c r="B10" i="5"/>
  <c r="B9" i="5"/>
  <c r="B8" i="5"/>
  <c r="B7" i="5"/>
  <c r="B6" i="5"/>
  <c r="B5" i="5"/>
  <c r="B4" i="5"/>
  <c r="B3" i="5"/>
  <c r="B2" i="5"/>
  <c r="F37" i="3"/>
  <c r="G37" i="3" s="1"/>
  <c r="E37" i="3"/>
  <c r="F36" i="3"/>
  <c r="G36" i="3" s="1"/>
  <c r="E36" i="3"/>
  <c r="F35" i="3"/>
  <c r="G35" i="3" s="1"/>
  <c r="E35" i="3"/>
  <c r="F34" i="3"/>
  <c r="G34" i="3" s="1"/>
  <c r="E34" i="3"/>
  <c r="F33" i="3"/>
  <c r="G33" i="3" s="1"/>
  <c r="E33" i="3"/>
  <c r="F32" i="3"/>
  <c r="G32" i="3" s="1"/>
  <c r="E32" i="3"/>
  <c r="F31" i="3"/>
  <c r="G31" i="3" s="1"/>
  <c r="E31" i="3"/>
  <c r="F30" i="3"/>
  <c r="G30" i="3" s="1"/>
  <c r="E30" i="3"/>
  <c r="F29" i="3"/>
  <c r="G29" i="3" s="1"/>
  <c r="E29" i="3"/>
  <c r="F28" i="3"/>
  <c r="G28" i="3" s="1"/>
  <c r="E28" i="3"/>
  <c r="F27" i="3"/>
  <c r="G27" i="3" s="1"/>
  <c r="E27" i="3"/>
  <c r="F26" i="3"/>
  <c r="G26" i="3" s="1"/>
  <c r="E26" i="3"/>
  <c r="F25" i="3"/>
  <c r="G25" i="3" s="1"/>
  <c r="E25" i="3"/>
  <c r="F24" i="3"/>
  <c r="G24" i="3" s="1"/>
  <c r="E24" i="3"/>
  <c r="F23" i="3"/>
  <c r="G23" i="3" s="1"/>
  <c r="E23" i="3"/>
  <c r="F22" i="3"/>
  <c r="G22" i="3" s="1"/>
  <c r="E22" i="3"/>
  <c r="F21" i="3"/>
  <c r="G21" i="3" s="1"/>
  <c r="E21" i="3"/>
  <c r="F20" i="3"/>
  <c r="G20" i="3" s="1"/>
  <c r="E20" i="3"/>
  <c r="F19" i="3"/>
  <c r="G19" i="3" s="1"/>
  <c r="E19" i="3"/>
  <c r="F18" i="3"/>
  <c r="G18" i="3" s="1"/>
  <c r="E18" i="3"/>
  <c r="F17" i="3"/>
  <c r="G17" i="3" s="1"/>
  <c r="E17" i="3"/>
  <c r="F16" i="3"/>
  <c r="G16" i="3" s="1"/>
  <c r="E16" i="3"/>
  <c r="F15" i="3"/>
  <c r="G15" i="3" s="1"/>
  <c r="E15" i="3"/>
  <c r="F14" i="3"/>
  <c r="G14" i="3" s="1"/>
  <c r="E14" i="3"/>
  <c r="F13" i="3"/>
  <c r="G13" i="3" s="1"/>
  <c r="E13" i="3"/>
  <c r="F12" i="3"/>
  <c r="G12" i="3" s="1"/>
  <c r="E12" i="3"/>
  <c r="F11" i="3"/>
  <c r="G11" i="3" s="1"/>
  <c r="E11" i="3"/>
  <c r="F10" i="3"/>
  <c r="G10" i="3" s="1"/>
  <c r="E10" i="3"/>
  <c r="F9" i="3"/>
  <c r="G9" i="3" s="1"/>
  <c r="E9" i="3"/>
  <c r="F8" i="3"/>
  <c r="G8" i="3" s="1"/>
  <c r="E8" i="3"/>
  <c r="F7" i="3"/>
  <c r="G7" i="3" s="1"/>
  <c r="E7" i="3"/>
  <c r="F6" i="3"/>
  <c r="G6" i="3" s="1"/>
  <c r="E6" i="3"/>
  <c r="F5" i="3"/>
  <c r="G5" i="3" s="1"/>
  <c r="E5" i="3"/>
  <c r="F4" i="3"/>
  <c r="G4" i="3" s="1"/>
  <c r="E4" i="3"/>
  <c r="F3" i="3"/>
  <c r="G3" i="3" s="1"/>
  <c r="E3" i="3"/>
  <c r="F2" i="3"/>
  <c r="G2" i="3" s="1"/>
  <c r="E2" i="3"/>
  <c r="F1054" i="2"/>
  <c r="E1054" i="2"/>
  <c r="A1054" i="5" s="1"/>
  <c r="F1053" i="2"/>
  <c r="E1053" i="2"/>
  <c r="A1053" i="5" s="1"/>
  <c r="F1052" i="2"/>
  <c r="E1052" i="2"/>
  <c r="A1052" i="5" s="1"/>
  <c r="F1051" i="2"/>
  <c r="E1051" i="2"/>
  <c r="A1051" i="5" s="1"/>
  <c r="F1050" i="2"/>
  <c r="E1050" i="2"/>
  <c r="A1050" i="5" s="1"/>
  <c r="F1049" i="2"/>
  <c r="E1049" i="2"/>
  <c r="A1049" i="5" s="1"/>
  <c r="F1048" i="2"/>
  <c r="E1048" i="2"/>
  <c r="A1048" i="5" s="1"/>
  <c r="F1047" i="2"/>
  <c r="E1047" i="2"/>
  <c r="A1047" i="5" s="1"/>
  <c r="F1046" i="2"/>
  <c r="E1046" i="2"/>
  <c r="A1046" i="5" s="1"/>
  <c r="F1045" i="2"/>
  <c r="E1045" i="2"/>
  <c r="A1045" i="5" s="1"/>
  <c r="F1044" i="2"/>
  <c r="E1044" i="2"/>
  <c r="A1044" i="5" s="1"/>
  <c r="F1043" i="2"/>
  <c r="E1043" i="2"/>
  <c r="A1043" i="5" s="1"/>
  <c r="F1042" i="2"/>
  <c r="E1042" i="2"/>
  <c r="A1042" i="5" s="1"/>
  <c r="F1041" i="2"/>
  <c r="E1041" i="2"/>
  <c r="A1041" i="5" s="1"/>
  <c r="F1040" i="2"/>
  <c r="E1040" i="2"/>
  <c r="A1040" i="5" s="1"/>
  <c r="F1039" i="2"/>
  <c r="E1039" i="2"/>
  <c r="A1039" i="5" s="1"/>
  <c r="F1038" i="2"/>
  <c r="E1038" i="2"/>
  <c r="A1038" i="5" s="1"/>
  <c r="F1037" i="2"/>
  <c r="E1037" i="2"/>
  <c r="A1037" i="5" s="1"/>
  <c r="F1036" i="2"/>
  <c r="E1036" i="2"/>
  <c r="A1036" i="5" s="1"/>
  <c r="F1035" i="2"/>
  <c r="E1035" i="2"/>
  <c r="A1035" i="5" s="1"/>
  <c r="F1034" i="2"/>
  <c r="E1034" i="2"/>
  <c r="A1034" i="5" s="1"/>
  <c r="F1033" i="2"/>
  <c r="E1033" i="2"/>
  <c r="A1033" i="5" s="1"/>
  <c r="F1032" i="2"/>
  <c r="E1032" i="2"/>
  <c r="A1032" i="5" s="1"/>
  <c r="F1031" i="2"/>
  <c r="E1031" i="2"/>
  <c r="A1031" i="5" s="1"/>
  <c r="F1030" i="2"/>
  <c r="E1030" i="2"/>
  <c r="A1030" i="5" s="1"/>
  <c r="F1029" i="2"/>
  <c r="E1029" i="2"/>
  <c r="A1029" i="5" s="1"/>
  <c r="F1028" i="2"/>
  <c r="E1028" i="2"/>
  <c r="A1028" i="5" s="1"/>
  <c r="F1027" i="2"/>
  <c r="E1027" i="2"/>
  <c r="A1027" i="5" s="1"/>
  <c r="F1026" i="2"/>
  <c r="E1026" i="2"/>
  <c r="A1026" i="5" s="1"/>
  <c r="F1025" i="2"/>
  <c r="E1025" i="2"/>
  <c r="A1025" i="5" s="1"/>
  <c r="F1024" i="2"/>
  <c r="E1024" i="2"/>
  <c r="A1024" i="5" s="1"/>
  <c r="F1023" i="2"/>
  <c r="E1023" i="2"/>
  <c r="A1023" i="5" s="1"/>
  <c r="F1022" i="2"/>
  <c r="E1022" i="2"/>
  <c r="A1022" i="5" s="1"/>
  <c r="F1021" i="2"/>
  <c r="E1021" i="2"/>
  <c r="A1021" i="5" s="1"/>
  <c r="F1020" i="2"/>
  <c r="E1020" i="2"/>
  <c r="A1020" i="5" s="1"/>
  <c r="F1019" i="2"/>
  <c r="E1019" i="2"/>
  <c r="A1019" i="5" s="1"/>
  <c r="F1018" i="2"/>
  <c r="E1018" i="2"/>
  <c r="A1018" i="5" s="1"/>
  <c r="F1017" i="2"/>
  <c r="E1017" i="2"/>
  <c r="A1017" i="5" s="1"/>
  <c r="F1016" i="2"/>
  <c r="E1016" i="2"/>
  <c r="A1016" i="5" s="1"/>
  <c r="F1015" i="2"/>
  <c r="E1015" i="2"/>
  <c r="A1015" i="5" s="1"/>
  <c r="F1014" i="2"/>
  <c r="E1014" i="2"/>
  <c r="A1014" i="5" s="1"/>
  <c r="F1013" i="2"/>
  <c r="E1013" i="2"/>
  <c r="A1013" i="5" s="1"/>
  <c r="F1012" i="2"/>
  <c r="E1012" i="2"/>
  <c r="A1012" i="5" s="1"/>
  <c r="F1011" i="2"/>
  <c r="E1011" i="2"/>
  <c r="A1011" i="5" s="1"/>
  <c r="F1010" i="2"/>
  <c r="E1010" i="2"/>
  <c r="A1010" i="5" s="1"/>
  <c r="F1009" i="2"/>
  <c r="E1009" i="2"/>
  <c r="A1009" i="5" s="1"/>
  <c r="F1008" i="2"/>
  <c r="E1008" i="2"/>
  <c r="A1008" i="5" s="1"/>
  <c r="F1007" i="2"/>
  <c r="E1007" i="2"/>
  <c r="A1007" i="5" s="1"/>
  <c r="F1006" i="2"/>
  <c r="E1006" i="2"/>
  <c r="A1006" i="5" s="1"/>
  <c r="F1005" i="2"/>
  <c r="E1005" i="2"/>
  <c r="A1005" i="5" s="1"/>
  <c r="F1004" i="2"/>
  <c r="E1004" i="2"/>
  <c r="A1004" i="5" s="1"/>
  <c r="F1003" i="2"/>
  <c r="E1003" i="2"/>
  <c r="A1003" i="5" s="1"/>
  <c r="F1002" i="2"/>
  <c r="E1002" i="2"/>
  <c r="A1002" i="5" s="1"/>
  <c r="F1001" i="2"/>
  <c r="E1001" i="2"/>
  <c r="A1001" i="5" s="1"/>
  <c r="F1000" i="2"/>
  <c r="E1000" i="2"/>
  <c r="A1000" i="5" s="1"/>
  <c r="F999" i="2"/>
  <c r="E999" i="2"/>
  <c r="A999" i="5" s="1"/>
  <c r="F998" i="2"/>
  <c r="E998" i="2"/>
  <c r="A998" i="5" s="1"/>
  <c r="F997" i="2"/>
  <c r="E997" i="2"/>
  <c r="A997" i="5" s="1"/>
  <c r="F996" i="2"/>
  <c r="E996" i="2"/>
  <c r="A996" i="5" s="1"/>
  <c r="F995" i="2"/>
  <c r="E995" i="2"/>
  <c r="A995" i="5" s="1"/>
  <c r="F994" i="2"/>
  <c r="E994" i="2"/>
  <c r="A994" i="5" s="1"/>
  <c r="F993" i="2"/>
  <c r="E993" i="2"/>
  <c r="A993" i="5" s="1"/>
  <c r="F992" i="2"/>
  <c r="E992" i="2"/>
  <c r="A992" i="5" s="1"/>
  <c r="F991" i="2"/>
  <c r="E991" i="2"/>
  <c r="A991" i="5" s="1"/>
  <c r="F990" i="2"/>
  <c r="E990" i="2"/>
  <c r="A990" i="5" s="1"/>
  <c r="F989" i="2"/>
  <c r="E989" i="2"/>
  <c r="A989" i="5" s="1"/>
  <c r="F988" i="2"/>
  <c r="E988" i="2"/>
  <c r="A988" i="5" s="1"/>
  <c r="F987" i="2"/>
  <c r="E987" i="2"/>
  <c r="A987" i="5" s="1"/>
  <c r="F986" i="2"/>
  <c r="E986" i="2"/>
  <c r="A986" i="5" s="1"/>
  <c r="F985" i="2"/>
  <c r="E985" i="2"/>
  <c r="A985" i="5" s="1"/>
  <c r="F984" i="2"/>
  <c r="E984" i="2"/>
  <c r="A984" i="5" s="1"/>
  <c r="F983" i="2"/>
  <c r="E983" i="2"/>
  <c r="A983" i="5" s="1"/>
  <c r="F982" i="2"/>
  <c r="E982" i="2"/>
  <c r="A982" i="5" s="1"/>
  <c r="F981" i="2"/>
  <c r="E981" i="2"/>
  <c r="A981" i="5" s="1"/>
  <c r="F980" i="2"/>
  <c r="E980" i="2"/>
  <c r="A980" i="5" s="1"/>
  <c r="F979" i="2"/>
  <c r="E979" i="2"/>
  <c r="A979" i="5" s="1"/>
  <c r="F978" i="2"/>
  <c r="E978" i="2"/>
  <c r="A978" i="5" s="1"/>
  <c r="F977" i="2"/>
  <c r="E977" i="2"/>
  <c r="A977" i="5" s="1"/>
  <c r="F976" i="2"/>
  <c r="E976" i="2"/>
  <c r="A976" i="5" s="1"/>
  <c r="F975" i="2"/>
  <c r="E975" i="2"/>
  <c r="A975" i="5" s="1"/>
  <c r="F974" i="2"/>
  <c r="E974" i="2"/>
  <c r="A974" i="5" s="1"/>
  <c r="F973" i="2"/>
  <c r="E973" i="2"/>
  <c r="A973" i="5" s="1"/>
  <c r="F972" i="2"/>
  <c r="E972" i="2"/>
  <c r="A972" i="5" s="1"/>
  <c r="F971" i="2"/>
  <c r="E971" i="2"/>
  <c r="A971" i="5" s="1"/>
  <c r="F970" i="2"/>
  <c r="E970" i="2"/>
  <c r="A970" i="5" s="1"/>
  <c r="F969" i="2"/>
  <c r="E969" i="2"/>
  <c r="A969" i="5" s="1"/>
  <c r="F968" i="2"/>
  <c r="E968" i="2"/>
  <c r="A968" i="5" s="1"/>
  <c r="F967" i="2"/>
  <c r="E967" i="2"/>
  <c r="A967" i="5" s="1"/>
  <c r="F966" i="2"/>
  <c r="E966" i="2"/>
  <c r="A966" i="5" s="1"/>
  <c r="F965" i="2"/>
  <c r="E965" i="2"/>
  <c r="A965" i="5" s="1"/>
  <c r="F964" i="2"/>
  <c r="E964" i="2"/>
  <c r="A964" i="5" s="1"/>
  <c r="F963" i="2"/>
  <c r="E963" i="2"/>
  <c r="A963" i="5" s="1"/>
  <c r="F962" i="2"/>
  <c r="E962" i="2"/>
  <c r="A962" i="5" s="1"/>
  <c r="F961" i="2"/>
  <c r="E961" i="2"/>
  <c r="A961" i="5" s="1"/>
  <c r="F960" i="2"/>
  <c r="E960" i="2"/>
  <c r="A960" i="5" s="1"/>
  <c r="F959" i="2"/>
  <c r="E959" i="2"/>
  <c r="A959" i="5" s="1"/>
  <c r="F958" i="2"/>
  <c r="E958" i="2"/>
  <c r="A958" i="5" s="1"/>
  <c r="F957" i="2"/>
  <c r="E957" i="2"/>
  <c r="A957" i="5" s="1"/>
  <c r="F956" i="2"/>
  <c r="E956" i="2"/>
  <c r="A956" i="5" s="1"/>
  <c r="F955" i="2"/>
  <c r="E955" i="2"/>
  <c r="A955" i="5" s="1"/>
  <c r="F954" i="2"/>
  <c r="E954" i="2"/>
  <c r="A954" i="5" s="1"/>
  <c r="F953" i="2"/>
  <c r="E953" i="2"/>
  <c r="A953" i="5" s="1"/>
  <c r="F952" i="2"/>
  <c r="E952" i="2"/>
  <c r="A952" i="5" s="1"/>
  <c r="F951" i="2"/>
  <c r="E951" i="2"/>
  <c r="A951" i="5" s="1"/>
  <c r="F950" i="2"/>
  <c r="E950" i="2"/>
  <c r="A950" i="5" s="1"/>
  <c r="F949" i="2"/>
  <c r="E949" i="2"/>
  <c r="A949" i="5" s="1"/>
  <c r="F948" i="2"/>
  <c r="E948" i="2"/>
  <c r="A948" i="5" s="1"/>
  <c r="F947" i="2"/>
  <c r="E947" i="2"/>
  <c r="A947" i="5" s="1"/>
  <c r="F946" i="2"/>
  <c r="E946" i="2"/>
  <c r="A946" i="5" s="1"/>
  <c r="F945" i="2"/>
  <c r="E945" i="2"/>
  <c r="A945" i="5" s="1"/>
  <c r="F944" i="2"/>
  <c r="E944" i="2"/>
  <c r="A944" i="5" s="1"/>
  <c r="F943" i="2"/>
  <c r="E943" i="2"/>
  <c r="A943" i="5" s="1"/>
  <c r="F942" i="2"/>
  <c r="E942" i="2"/>
  <c r="A942" i="5" s="1"/>
  <c r="F941" i="2"/>
  <c r="E941" i="2"/>
  <c r="A941" i="5" s="1"/>
  <c r="F940" i="2"/>
  <c r="E940" i="2"/>
  <c r="A940" i="5" s="1"/>
  <c r="F939" i="2"/>
  <c r="E939" i="2"/>
  <c r="A939" i="5" s="1"/>
  <c r="F938" i="2"/>
  <c r="E938" i="2"/>
  <c r="A938" i="5" s="1"/>
  <c r="F937" i="2"/>
  <c r="E937" i="2"/>
  <c r="A937" i="5" s="1"/>
  <c r="F936" i="2"/>
  <c r="E936" i="2"/>
  <c r="A936" i="5" s="1"/>
  <c r="F935" i="2"/>
  <c r="E935" i="2"/>
  <c r="A935" i="5" s="1"/>
  <c r="F934" i="2"/>
  <c r="E934" i="2"/>
  <c r="A934" i="5" s="1"/>
  <c r="F933" i="2"/>
  <c r="E933" i="2"/>
  <c r="A933" i="5" s="1"/>
  <c r="F932" i="2"/>
  <c r="E932" i="2"/>
  <c r="A932" i="5" s="1"/>
  <c r="F931" i="2"/>
  <c r="E931" i="2"/>
  <c r="A931" i="5" s="1"/>
  <c r="F930" i="2"/>
  <c r="E930" i="2"/>
  <c r="A930" i="5" s="1"/>
  <c r="F929" i="2"/>
  <c r="E929" i="2"/>
  <c r="A929" i="5" s="1"/>
  <c r="F928" i="2"/>
  <c r="E928" i="2"/>
  <c r="A928" i="5" s="1"/>
  <c r="F927" i="2"/>
  <c r="E927" i="2"/>
  <c r="A927" i="5" s="1"/>
  <c r="F926" i="2"/>
  <c r="E926" i="2"/>
  <c r="A926" i="5" s="1"/>
  <c r="F925" i="2"/>
  <c r="E925" i="2"/>
  <c r="A925" i="5" s="1"/>
  <c r="F924" i="2"/>
  <c r="E924" i="2"/>
  <c r="A924" i="5" s="1"/>
  <c r="F923" i="2"/>
  <c r="E923" i="2"/>
  <c r="A923" i="5" s="1"/>
  <c r="F922" i="2"/>
  <c r="E922" i="2"/>
  <c r="A922" i="5" s="1"/>
  <c r="F921" i="2"/>
  <c r="E921" i="2"/>
  <c r="A921" i="5" s="1"/>
  <c r="F920" i="2"/>
  <c r="E920" i="2"/>
  <c r="A920" i="5" s="1"/>
  <c r="F919" i="2"/>
  <c r="E919" i="2"/>
  <c r="A919" i="5" s="1"/>
  <c r="F918" i="2"/>
  <c r="E918" i="2"/>
  <c r="A918" i="5" s="1"/>
  <c r="F917" i="2"/>
  <c r="E917" i="2"/>
  <c r="A917" i="5" s="1"/>
  <c r="F916" i="2"/>
  <c r="E916" i="2"/>
  <c r="A916" i="5" s="1"/>
  <c r="F915" i="2"/>
  <c r="E915" i="2"/>
  <c r="A915" i="5" s="1"/>
  <c r="F914" i="2"/>
  <c r="E914" i="2"/>
  <c r="A914" i="5" s="1"/>
  <c r="F913" i="2"/>
  <c r="E913" i="2"/>
  <c r="A913" i="5" s="1"/>
  <c r="F912" i="2"/>
  <c r="E912" i="2"/>
  <c r="A912" i="5" s="1"/>
  <c r="F911" i="2"/>
  <c r="E911" i="2"/>
  <c r="A911" i="5" s="1"/>
  <c r="F910" i="2"/>
  <c r="E910" i="2"/>
  <c r="A910" i="5" s="1"/>
  <c r="F909" i="2"/>
  <c r="E909" i="2"/>
  <c r="A909" i="5" s="1"/>
  <c r="F908" i="2"/>
  <c r="E908" i="2"/>
  <c r="A908" i="5" s="1"/>
  <c r="F907" i="2"/>
  <c r="E907" i="2"/>
  <c r="A907" i="5" s="1"/>
  <c r="F906" i="2"/>
  <c r="E906" i="2"/>
  <c r="A906" i="5" s="1"/>
  <c r="F905" i="2"/>
  <c r="E905" i="2"/>
  <c r="A905" i="5" s="1"/>
  <c r="F904" i="2"/>
  <c r="E904" i="2"/>
  <c r="A904" i="5" s="1"/>
  <c r="F903" i="2"/>
  <c r="E903" i="2"/>
  <c r="A903" i="5" s="1"/>
  <c r="F902" i="2"/>
  <c r="E902" i="2"/>
  <c r="A902" i="5" s="1"/>
  <c r="F901" i="2"/>
  <c r="E901" i="2"/>
  <c r="A901" i="5" s="1"/>
  <c r="F900" i="2"/>
  <c r="E900" i="2"/>
  <c r="A900" i="5" s="1"/>
  <c r="F899" i="2"/>
  <c r="E899" i="2"/>
  <c r="A899" i="5" s="1"/>
  <c r="F898" i="2"/>
  <c r="E898" i="2"/>
  <c r="A898" i="5" s="1"/>
  <c r="F897" i="2"/>
  <c r="E897" i="2"/>
  <c r="A897" i="5" s="1"/>
  <c r="F896" i="2"/>
  <c r="E896" i="2"/>
  <c r="A896" i="5" s="1"/>
  <c r="F895" i="2"/>
  <c r="E895" i="2"/>
  <c r="A895" i="5" s="1"/>
  <c r="F894" i="2"/>
  <c r="E894" i="2"/>
  <c r="A894" i="5" s="1"/>
  <c r="F893" i="2"/>
  <c r="E893" i="2"/>
  <c r="A893" i="5" s="1"/>
  <c r="F892" i="2"/>
  <c r="E892" i="2"/>
  <c r="A892" i="5" s="1"/>
  <c r="F891" i="2"/>
  <c r="E891" i="2"/>
  <c r="A891" i="5" s="1"/>
  <c r="F890" i="2"/>
  <c r="E890" i="2"/>
  <c r="A890" i="5" s="1"/>
  <c r="F889" i="2"/>
  <c r="E889" i="2"/>
  <c r="A889" i="5" s="1"/>
  <c r="F888" i="2"/>
  <c r="E888" i="2"/>
  <c r="A888" i="5" s="1"/>
  <c r="F887" i="2"/>
  <c r="E887" i="2"/>
  <c r="A887" i="5" s="1"/>
  <c r="F886" i="2"/>
  <c r="E886" i="2"/>
  <c r="A886" i="5" s="1"/>
  <c r="F885" i="2"/>
  <c r="E885" i="2"/>
  <c r="A885" i="5" s="1"/>
  <c r="F884" i="2"/>
  <c r="E884" i="2"/>
  <c r="A884" i="5" s="1"/>
  <c r="F883" i="2"/>
  <c r="E883" i="2"/>
  <c r="A883" i="5" s="1"/>
  <c r="F882" i="2"/>
  <c r="E882" i="2"/>
  <c r="A882" i="5" s="1"/>
  <c r="F881" i="2"/>
  <c r="E881" i="2"/>
  <c r="A881" i="5" s="1"/>
  <c r="F880" i="2"/>
  <c r="E880" i="2"/>
  <c r="A880" i="5" s="1"/>
  <c r="F879" i="2"/>
  <c r="E879" i="2"/>
  <c r="A879" i="5" s="1"/>
  <c r="F878" i="2"/>
  <c r="E878" i="2"/>
  <c r="A878" i="5" s="1"/>
  <c r="F877" i="2"/>
  <c r="E877" i="2"/>
  <c r="A877" i="5" s="1"/>
  <c r="F876" i="2"/>
  <c r="E876" i="2"/>
  <c r="A876" i="5" s="1"/>
  <c r="F875" i="2"/>
  <c r="E875" i="2"/>
  <c r="A875" i="5" s="1"/>
  <c r="F874" i="2"/>
  <c r="E874" i="2"/>
  <c r="A874" i="5" s="1"/>
  <c r="F873" i="2"/>
  <c r="E873" i="2"/>
  <c r="A873" i="5" s="1"/>
  <c r="F872" i="2"/>
  <c r="E872" i="2"/>
  <c r="A872" i="5" s="1"/>
  <c r="F871" i="2"/>
  <c r="E871" i="2"/>
  <c r="A871" i="5" s="1"/>
  <c r="F870" i="2"/>
  <c r="E870" i="2"/>
  <c r="A870" i="5" s="1"/>
  <c r="F869" i="2"/>
  <c r="E869" i="2"/>
  <c r="A869" i="5" s="1"/>
  <c r="F868" i="2"/>
  <c r="E868" i="2"/>
  <c r="A868" i="5" s="1"/>
  <c r="F867" i="2"/>
  <c r="E867" i="2"/>
  <c r="A867" i="5" s="1"/>
  <c r="F866" i="2"/>
  <c r="E866" i="2"/>
  <c r="A866" i="5" s="1"/>
  <c r="F865" i="2"/>
  <c r="E865" i="2"/>
  <c r="A865" i="5" s="1"/>
  <c r="F864" i="2"/>
  <c r="E864" i="2"/>
  <c r="A864" i="5" s="1"/>
  <c r="F863" i="2"/>
  <c r="E863" i="2"/>
  <c r="A863" i="5" s="1"/>
  <c r="F862" i="2"/>
  <c r="E862" i="2"/>
  <c r="A862" i="5" s="1"/>
  <c r="F861" i="2"/>
  <c r="E861" i="2"/>
  <c r="A861" i="5" s="1"/>
  <c r="F860" i="2"/>
  <c r="E860" i="2"/>
  <c r="A860" i="5" s="1"/>
  <c r="F859" i="2"/>
  <c r="E859" i="2"/>
  <c r="F858" i="2"/>
  <c r="E858" i="2"/>
  <c r="F857" i="2"/>
  <c r="E857" i="2"/>
  <c r="F856" i="2"/>
  <c r="E856" i="2"/>
  <c r="F855" i="2"/>
  <c r="E855" i="2"/>
  <c r="F854" i="2"/>
  <c r="E854" i="2"/>
  <c r="F853" i="2"/>
  <c r="E853" i="2"/>
  <c r="F852" i="2"/>
  <c r="E852" i="2"/>
  <c r="F851" i="2"/>
  <c r="E851" i="2"/>
  <c r="F850" i="2"/>
  <c r="E850" i="2"/>
  <c r="F849" i="2"/>
  <c r="E849" i="2"/>
  <c r="F848" i="2"/>
  <c r="E848" i="2"/>
  <c r="F847" i="2"/>
  <c r="E847" i="2"/>
  <c r="F846" i="2"/>
  <c r="E846" i="2"/>
  <c r="F845" i="2"/>
  <c r="E845" i="2"/>
  <c r="F844" i="2"/>
  <c r="E844" i="2"/>
  <c r="F843" i="2"/>
  <c r="E843" i="2"/>
  <c r="F842" i="2"/>
  <c r="E842" i="2"/>
  <c r="F841" i="2"/>
  <c r="E841" i="2"/>
  <c r="F840" i="2"/>
  <c r="E840" i="2"/>
  <c r="F839" i="2"/>
  <c r="E839" i="2"/>
  <c r="F838" i="2"/>
  <c r="E838" i="2"/>
  <c r="F837" i="2"/>
  <c r="E837" i="2"/>
  <c r="F836" i="2"/>
  <c r="E836" i="2"/>
  <c r="F835" i="2"/>
  <c r="E835" i="2"/>
  <c r="F834" i="2"/>
  <c r="E834" i="2"/>
  <c r="F833" i="2"/>
  <c r="E833" i="2"/>
  <c r="F832" i="2"/>
  <c r="E832" i="2"/>
  <c r="F831" i="2"/>
  <c r="E831" i="2"/>
  <c r="F830" i="2"/>
  <c r="E830" i="2"/>
  <c r="F829" i="2"/>
  <c r="E829" i="2"/>
  <c r="F828" i="2"/>
  <c r="E828" i="2"/>
  <c r="F827" i="2"/>
  <c r="E827" i="2"/>
  <c r="F826" i="2"/>
  <c r="E826" i="2"/>
  <c r="F825" i="2"/>
  <c r="E825" i="2"/>
  <c r="F824" i="2"/>
  <c r="E824" i="2"/>
  <c r="F823" i="2"/>
  <c r="E823" i="2"/>
  <c r="F822" i="2"/>
  <c r="E822" i="2"/>
  <c r="F821" i="2"/>
  <c r="E821" i="2"/>
  <c r="F820" i="2"/>
  <c r="E820" i="2"/>
  <c r="F819" i="2"/>
  <c r="E819" i="2"/>
  <c r="F818" i="2"/>
  <c r="E818" i="2"/>
  <c r="F817" i="2"/>
  <c r="E817" i="2"/>
  <c r="F816" i="2"/>
  <c r="E816" i="2"/>
  <c r="F815" i="2"/>
  <c r="E815" i="2"/>
  <c r="F814" i="2"/>
  <c r="E814" i="2"/>
  <c r="F813" i="2"/>
  <c r="E813" i="2"/>
  <c r="F812" i="2"/>
  <c r="E812" i="2"/>
  <c r="F811" i="2"/>
  <c r="E811" i="2"/>
  <c r="F810" i="2"/>
  <c r="E810" i="2"/>
  <c r="F809" i="2"/>
  <c r="E809" i="2"/>
  <c r="F808" i="2"/>
  <c r="E808" i="2"/>
  <c r="F807" i="2"/>
  <c r="E807" i="2"/>
  <c r="F806" i="2"/>
  <c r="E806" i="2"/>
  <c r="F805" i="2"/>
  <c r="E805" i="2"/>
  <c r="F804" i="2"/>
  <c r="E804" i="2"/>
  <c r="F803" i="2"/>
  <c r="E803" i="2"/>
  <c r="F802" i="2"/>
  <c r="E802" i="2"/>
  <c r="F801" i="2"/>
  <c r="E801" i="2"/>
  <c r="F800" i="2"/>
  <c r="E800" i="2"/>
  <c r="F799" i="2"/>
  <c r="E799" i="2"/>
  <c r="F798" i="2"/>
  <c r="E798" i="2"/>
  <c r="F797" i="2"/>
  <c r="E797" i="2"/>
  <c r="F796" i="2"/>
  <c r="E796" i="2"/>
  <c r="F795" i="2"/>
  <c r="E795" i="2"/>
  <c r="F794" i="2"/>
  <c r="E794" i="2"/>
  <c r="F793" i="2"/>
  <c r="E793" i="2"/>
  <c r="F792" i="2"/>
  <c r="E792" i="2"/>
  <c r="F791" i="2"/>
  <c r="E791" i="2"/>
  <c r="F790" i="2"/>
  <c r="E790" i="2"/>
  <c r="F789" i="2"/>
  <c r="E789" i="2"/>
  <c r="F788" i="2"/>
  <c r="E788" i="2"/>
  <c r="F787" i="2"/>
  <c r="E787" i="2"/>
  <c r="F786" i="2"/>
  <c r="E786" i="2"/>
  <c r="F785" i="2"/>
  <c r="E785" i="2"/>
  <c r="F784" i="2"/>
  <c r="E784" i="2"/>
  <c r="F783" i="2"/>
  <c r="E783" i="2"/>
  <c r="F782" i="2"/>
  <c r="E782" i="2"/>
  <c r="F781" i="2"/>
  <c r="E781" i="2"/>
  <c r="F780" i="2"/>
  <c r="E780" i="2"/>
  <c r="F779" i="2"/>
  <c r="E779" i="2"/>
  <c r="F778" i="2"/>
  <c r="E778" i="2"/>
  <c r="F777" i="2"/>
  <c r="E777" i="2"/>
  <c r="F776" i="2"/>
  <c r="E776" i="2"/>
  <c r="F775" i="2"/>
  <c r="E775" i="2"/>
  <c r="F774" i="2"/>
  <c r="E774" i="2"/>
  <c r="F773" i="2"/>
  <c r="E773" i="2"/>
  <c r="F772" i="2"/>
  <c r="E772" i="2"/>
  <c r="F771" i="2"/>
  <c r="E771" i="2"/>
  <c r="F770" i="2"/>
  <c r="E770" i="2"/>
  <c r="F769" i="2"/>
  <c r="E769" i="2"/>
  <c r="F768" i="2"/>
  <c r="E768" i="2"/>
  <c r="F767" i="2"/>
  <c r="E767" i="2"/>
  <c r="F766" i="2"/>
  <c r="E766" i="2"/>
  <c r="F765" i="2"/>
  <c r="E765" i="2"/>
  <c r="F764" i="2"/>
  <c r="E764" i="2"/>
  <c r="F763" i="2"/>
  <c r="E763" i="2"/>
  <c r="F762" i="2"/>
  <c r="E762" i="2"/>
  <c r="F761" i="2"/>
  <c r="E761" i="2"/>
  <c r="F760" i="2"/>
  <c r="E760" i="2"/>
  <c r="F759" i="2"/>
  <c r="E759" i="2"/>
  <c r="F758" i="2"/>
  <c r="E758" i="2"/>
  <c r="F757" i="2"/>
  <c r="E757" i="2"/>
  <c r="F756" i="2"/>
  <c r="E756" i="2"/>
  <c r="F755" i="2"/>
  <c r="E755" i="2"/>
  <c r="F754" i="2"/>
  <c r="E754" i="2"/>
  <c r="F753" i="2"/>
  <c r="E753" i="2"/>
  <c r="F752" i="2"/>
  <c r="E752" i="2"/>
  <c r="F751" i="2"/>
  <c r="E751" i="2"/>
  <c r="F750" i="2"/>
  <c r="E750" i="2"/>
  <c r="F749" i="2"/>
  <c r="E749" i="2"/>
  <c r="F748" i="2"/>
  <c r="E748" i="2"/>
  <c r="F747" i="2"/>
  <c r="E747" i="2"/>
  <c r="F746" i="2"/>
  <c r="E746" i="2"/>
  <c r="F745" i="2"/>
  <c r="E745" i="2"/>
  <c r="F744" i="2"/>
  <c r="E744" i="2"/>
  <c r="F743" i="2"/>
  <c r="E743" i="2"/>
  <c r="F742" i="2"/>
  <c r="E742" i="2"/>
  <c r="F741" i="2"/>
  <c r="E741" i="2"/>
  <c r="F740" i="2"/>
  <c r="E740" i="2"/>
  <c r="F739" i="2"/>
  <c r="E739" i="2"/>
  <c r="F738" i="2"/>
  <c r="E738" i="2"/>
  <c r="F737" i="2"/>
  <c r="E737" i="2"/>
  <c r="F736" i="2"/>
  <c r="E736" i="2"/>
  <c r="F735" i="2"/>
  <c r="E735" i="2"/>
  <c r="F734" i="2"/>
  <c r="E734" i="2"/>
  <c r="F733" i="2"/>
  <c r="E733" i="2"/>
  <c r="F732" i="2"/>
  <c r="E732" i="2"/>
  <c r="F731" i="2"/>
  <c r="E731" i="2"/>
  <c r="F730" i="2"/>
  <c r="E730" i="2"/>
  <c r="F729" i="2"/>
  <c r="E729" i="2"/>
  <c r="F728" i="2"/>
  <c r="E728" i="2"/>
  <c r="F727" i="2"/>
  <c r="E727" i="2"/>
  <c r="F726" i="2"/>
  <c r="E726" i="2"/>
  <c r="F725" i="2"/>
  <c r="E725" i="2"/>
  <c r="F724" i="2"/>
  <c r="E724" i="2"/>
  <c r="F723" i="2"/>
  <c r="E723" i="2"/>
  <c r="F722" i="2"/>
  <c r="E722" i="2"/>
  <c r="F721" i="2"/>
  <c r="E721" i="2"/>
  <c r="F720" i="2"/>
  <c r="E720" i="2"/>
  <c r="F719" i="2"/>
  <c r="E719" i="2"/>
  <c r="F718" i="2"/>
  <c r="E718" i="2"/>
  <c r="F717" i="2"/>
  <c r="E717" i="2"/>
  <c r="F716" i="2"/>
  <c r="E716" i="2"/>
  <c r="F715" i="2"/>
  <c r="E715" i="2"/>
  <c r="F714" i="2"/>
  <c r="E714" i="2"/>
  <c r="F713" i="2"/>
  <c r="E713" i="2"/>
  <c r="F712" i="2"/>
  <c r="E712" i="2"/>
  <c r="F711" i="2"/>
  <c r="E711" i="2"/>
  <c r="F710" i="2"/>
  <c r="E710" i="2"/>
  <c r="F709" i="2"/>
  <c r="E709" i="2"/>
  <c r="F708" i="2"/>
  <c r="E708" i="2"/>
  <c r="F707" i="2"/>
  <c r="E707" i="2"/>
  <c r="F706" i="2"/>
  <c r="E706" i="2"/>
  <c r="F705" i="2"/>
  <c r="E705" i="2"/>
  <c r="F704" i="2"/>
  <c r="E704" i="2"/>
  <c r="F703" i="2"/>
  <c r="E703" i="2"/>
  <c r="F702" i="2"/>
  <c r="E702" i="2"/>
  <c r="F701" i="2"/>
  <c r="E701" i="2"/>
  <c r="F700" i="2"/>
  <c r="E700" i="2"/>
  <c r="F699" i="2"/>
  <c r="E699" i="2"/>
  <c r="F698" i="2"/>
  <c r="E698" i="2"/>
  <c r="F697" i="2"/>
  <c r="E697" i="2"/>
  <c r="F696" i="2"/>
  <c r="E696" i="2"/>
  <c r="F695" i="2"/>
  <c r="E695" i="2"/>
  <c r="F694" i="2"/>
  <c r="E694" i="2"/>
  <c r="F693" i="2"/>
  <c r="E693" i="2"/>
  <c r="F692" i="2"/>
  <c r="E692" i="2"/>
  <c r="F691" i="2"/>
  <c r="E691" i="2"/>
  <c r="F690" i="2"/>
  <c r="E690" i="2"/>
  <c r="F689" i="2"/>
  <c r="E689" i="2"/>
  <c r="F688" i="2"/>
  <c r="E688" i="2"/>
  <c r="F687" i="2"/>
  <c r="E687" i="2"/>
  <c r="F686" i="2"/>
  <c r="E686" i="2"/>
  <c r="F685" i="2"/>
  <c r="E685" i="2"/>
  <c r="F684" i="2"/>
  <c r="E684" i="2"/>
  <c r="F683" i="2"/>
  <c r="E683" i="2"/>
  <c r="F682" i="2"/>
  <c r="E682" i="2"/>
  <c r="F681" i="2"/>
  <c r="E681" i="2"/>
  <c r="F680" i="2"/>
  <c r="E680" i="2"/>
  <c r="F679" i="2"/>
  <c r="E679" i="2"/>
  <c r="F678" i="2"/>
  <c r="E678" i="2"/>
  <c r="F677" i="2"/>
  <c r="E677" i="2"/>
  <c r="F676" i="2"/>
  <c r="E676" i="2"/>
  <c r="F675" i="2"/>
  <c r="E675" i="2"/>
  <c r="F674" i="2"/>
  <c r="E674" i="2"/>
  <c r="G673" i="2"/>
  <c r="F673" i="2"/>
  <c r="H673" i="2" s="1"/>
  <c r="E673" i="2"/>
  <c r="F672" i="2"/>
  <c r="E672" i="2"/>
  <c r="F671" i="2"/>
  <c r="E671" i="2"/>
  <c r="F670" i="2"/>
  <c r="E670" i="2"/>
  <c r="F669" i="2"/>
  <c r="E669" i="2"/>
  <c r="F668" i="2"/>
  <c r="E668" i="2"/>
  <c r="F667" i="2"/>
  <c r="E667" i="2"/>
  <c r="F666" i="2"/>
  <c r="E666" i="2"/>
  <c r="F665" i="2"/>
  <c r="E665" i="2"/>
  <c r="F664" i="2"/>
  <c r="E664" i="2"/>
  <c r="F663" i="2"/>
  <c r="E663" i="2"/>
  <c r="F662" i="2"/>
  <c r="E662" i="2"/>
  <c r="F661" i="2"/>
  <c r="E661" i="2"/>
  <c r="F660" i="2"/>
  <c r="E660" i="2"/>
  <c r="F659" i="2"/>
  <c r="E659" i="2"/>
  <c r="F658" i="2"/>
  <c r="E658" i="2"/>
  <c r="F657" i="2"/>
  <c r="E657" i="2"/>
  <c r="F656" i="2"/>
  <c r="E656" i="2"/>
  <c r="F655" i="2"/>
  <c r="E655" i="2"/>
  <c r="F654" i="2"/>
  <c r="E654" i="2"/>
  <c r="F653" i="2"/>
  <c r="E653" i="2"/>
  <c r="F652" i="2"/>
  <c r="E652" i="2"/>
  <c r="F651" i="2"/>
  <c r="E651" i="2"/>
  <c r="F650" i="2"/>
  <c r="E650" i="2"/>
  <c r="F649" i="2"/>
  <c r="E649" i="2"/>
  <c r="F648" i="2"/>
  <c r="E648" i="2"/>
  <c r="F647" i="2"/>
  <c r="E647" i="2"/>
  <c r="F646" i="2"/>
  <c r="E646" i="2"/>
  <c r="F645" i="2"/>
  <c r="E645" i="2"/>
  <c r="F644" i="2"/>
  <c r="E644" i="2"/>
  <c r="F643" i="2"/>
  <c r="E643" i="2"/>
  <c r="F642" i="2"/>
  <c r="E642" i="2"/>
  <c r="F641" i="2"/>
  <c r="E641" i="2"/>
  <c r="F640" i="2"/>
  <c r="E640" i="2"/>
  <c r="F639" i="2"/>
  <c r="E639" i="2"/>
  <c r="F638" i="2"/>
  <c r="E638" i="2"/>
  <c r="F637" i="2"/>
  <c r="E637" i="2"/>
  <c r="F636" i="2"/>
  <c r="E636" i="2"/>
  <c r="F635" i="2"/>
  <c r="E635" i="2"/>
  <c r="F634" i="2"/>
  <c r="E634" i="2"/>
  <c r="F633" i="2"/>
  <c r="E633" i="2"/>
  <c r="F632" i="2"/>
  <c r="E632" i="2"/>
  <c r="F631" i="2"/>
  <c r="E631" i="2"/>
  <c r="F630" i="2"/>
  <c r="E630" i="2"/>
  <c r="F629" i="2"/>
  <c r="E629" i="2"/>
  <c r="F628" i="2"/>
  <c r="E628" i="2"/>
  <c r="F627" i="2"/>
  <c r="E627" i="2"/>
  <c r="F626" i="2"/>
  <c r="E626" i="2"/>
  <c r="F625" i="2"/>
  <c r="E625" i="2"/>
  <c r="F624" i="2"/>
  <c r="E624" i="2"/>
  <c r="F623" i="2"/>
  <c r="E623" i="2"/>
  <c r="F622" i="2"/>
  <c r="E622" i="2"/>
  <c r="F621" i="2"/>
  <c r="E621" i="2"/>
  <c r="F620" i="2"/>
  <c r="E620" i="2"/>
  <c r="F619" i="2"/>
  <c r="E619" i="2"/>
  <c r="F618" i="2"/>
  <c r="E618" i="2"/>
  <c r="F617" i="2"/>
  <c r="E617" i="2"/>
  <c r="F616" i="2"/>
  <c r="E616" i="2"/>
  <c r="F615" i="2"/>
  <c r="E615" i="2"/>
  <c r="F614" i="2"/>
  <c r="E614" i="2"/>
  <c r="F613" i="2"/>
  <c r="E613" i="2"/>
  <c r="F612" i="2"/>
  <c r="E612" i="2"/>
  <c r="F611" i="2"/>
  <c r="E611" i="2"/>
  <c r="F610" i="2"/>
  <c r="E610" i="2"/>
  <c r="F609" i="2"/>
  <c r="E609" i="2"/>
  <c r="F608" i="2"/>
  <c r="E608" i="2"/>
  <c r="F607" i="2"/>
  <c r="E607" i="2"/>
  <c r="F606" i="2"/>
  <c r="E606" i="2"/>
  <c r="F605" i="2"/>
  <c r="E605" i="2"/>
  <c r="F604" i="2"/>
  <c r="E604" i="2"/>
  <c r="F603" i="2"/>
  <c r="E603" i="2"/>
  <c r="F602" i="2"/>
  <c r="E602" i="2"/>
  <c r="F601" i="2"/>
  <c r="E601" i="2"/>
  <c r="F600" i="2"/>
  <c r="E600" i="2"/>
  <c r="F599" i="2"/>
  <c r="E599" i="2"/>
  <c r="F598" i="2"/>
  <c r="E598" i="2"/>
  <c r="F597" i="2"/>
  <c r="E597" i="2"/>
  <c r="F596" i="2"/>
  <c r="E596" i="2"/>
  <c r="F595" i="2"/>
  <c r="E595" i="2"/>
  <c r="F594" i="2"/>
  <c r="E594" i="2"/>
  <c r="F593" i="2"/>
  <c r="E593" i="2"/>
  <c r="F592" i="2"/>
  <c r="E592" i="2"/>
  <c r="F591" i="2"/>
  <c r="E591" i="2"/>
  <c r="F590" i="2"/>
  <c r="E590" i="2"/>
  <c r="F589" i="2"/>
  <c r="E589" i="2"/>
  <c r="F588" i="2"/>
  <c r="E588" i="2"/>
  <c r="F587" i="2"/>
  <c r="E587" i="2"/>
  <c r="F586" i="2"/>
  <c r="E586" i="2"/>
  <c r="F585" i="2"/>
  <c r="E585" i="2"/>
  <c r="F584" i="2"/>
  <c r="E584" i="2"/>
  <c r="F583" i="2"/>
  <c r="E583" i="2"/>
  <c r="F582" i="2"/>
  <c r="E582" i="2"/>
  <c r="F581" i="2"/>
  <c r="E581" i="2"/>
  <c r="F580" i="2"/>
  <c r="E580" i="2"/>
  <c r="F579" i="2"/>
  <c r="E579" i="2"/>
  <c r="F578" i="2"/>
  <c r="E578" i="2"/>
  <c r="F577" i="2"/>
  <c r="E577" i="2"/>
  <c r="F576" i="2"/>
  <c r="E576" i="2"/>
  <c r="F575" i="2"/>
  <c r="E575" i="2"/>
  <c r="F574" i="2"/>
  <c r="E574" i="2"/>
  <c r="F573" i="2"/>
  <c r="E573" i="2"/>
  <c r="F572" i="2"/>
  <c r="E572" i="2"/>
  <c r="F571" i="2"/>
  <c r="E571" i="2"/>
  <c r="F570" i="2"/>
  <c r="E570" i="2"/>
  <c r="F569" i="2"/>
  <c r="E569" i="2"/>
  <c r="F568" i="2"/>
  <c r="E568" i="2"/>
  <c r="F567" i="2"/>
  <c r="E567" i="2"/>
  <c r="F566" i="2"/>
  <c r="E566" i="2"/>
  <c r="F565" i="2"/>
  <c r="E565" i="2"/>
  <c r="F564" i="2"/>
  <c r="E564" i="2"/>
  <c r="F563" i="2"/>
  <c r="E563" i="2"/>
  <c r="F562" i="2"/>
  <c r="E562" i="2"/>
  <c r="F561" i="2"/>
  <c r="E561" i="2"/>
  <c r="F560" i="2"/>
  <c r="E560" i="2"/>
  <c r="F559" i="2"/>
  <c r="E559" i="2"/>
  <c r="F558" i="2"/>
  <c r="E558" i="2"/>
  <c r="F557" i="2"/>
  <c r="E557" i="2"/>
  <c r="F556" i="2"/>
  <c r="E556" i="2"/>
  <c r="F555" i="2"/>
  <c r="E555" i="2"/>
  <c r="F554" i="2"/>
  <c r="E554" i="2"/>
  <c r="F553" i="2"/>
  <c r="E553" i="2"/>
  <c r="F552" i="2"/>
  <c r="E552" i="2"/>
  <c r="F551" i="2"/>
  <c r="E551" i="2"/>
  <c r="F550" i="2"/>
  <c r="E550" i="2"/>
  <c r="F549" i="2"/>
  <c r="E549" i="2"/>
  <c r="F548" i="2"/>
  <c r="E548" i="2"/>
  <c r="F547" i="2"/>
  <c r="E547" i="2"/>
  <c r="F546" i="2"/>
  <c r="E546" i="2"/>
  <c r="F545" i="2"/>
  <c r="E545" i="2"/>
  <c r="F544" i="2"/>
  <c r="E544" i="2"/>
  <c r="F543" i="2"/>
  <c r="E543" i="2"/>
  <c r="F542" i="2"/>
  <c r="E542" i="2"/>
  <c r="F541" i="2"/>
  <c r="E541" i="2"/>
  <c r="F540" i="2"/>
  <c r="E540" i="2"/>
  <c r="F539" i="2"/>
  <c r="E539" i="2"/>
  <c r="F538" i="2"/>
  <c r="E538" i="2"/>
  <c r="F537" i="2"/>
  <c r="E537" i="2"/>
  <c r="F536" i="2"/>
  <c r="E536" i="2"/>
  <c r="F535" i="2"/>
  <c r="E535" i="2"/>
  <c r="F534" i="2"/>
  <c r="E534" i="2"/>
  <c r="F533" i="2"/>
  <c r="E533" i="2"/>
  <c r="F532" i="2"/>
  <c r="E532" i="2"/>
  <c r="F531" i="2"/>
  <c r="E531" i="2"/>
  <c r="F530" i="2"/>
  <c r="E530" i="2"/>
  <c r="F529" i="2"/>
  <c r="E529" i="2"/>
  <c r="F528" i="2"/>
  <c r="E528" i="2"/>
  <c r="F527" i="2"/>
  <c r="E527" i="2"/>
  <c r="F526" i="2"/>
  <c r="E526" i="2"/>
  <c r="F525" i="2"/>
  <c r="E525" i="2"/>
  <c r="F524" i="2"/>
  <c r="E524" i="2"/>
  <c r="F523" i="2"/>
  <c r="E523" i="2"/>
  <c r="F522" i="2"/>
  <c r="E522" i="2"/>
  <c r="F521" i="2"/>
  <c r="E521" i="2"/>
  <c r="F520" i="2"/>
  <c r="E520" i="2"/>
  <c r="F519" i="2"/>
  <c r="E519" i="2"/>
  <c r="F518" i="2"/>
  <c r="E518" i="2"/>
  <c r="F517" i="2"/>
  <c r="E517" i="2"/>
  <c r="F516" i="2"/>
  <c r="E516" i="2"/>
  <c r="F515" i="2"/>
  <c r="E515" i="2"/>
  <c r="F514" i="2"/>
  <c r="E514" i="2"/>
  <c r="F513" i="2"/>
  <c r="E513" i="2"/>
  <c r="F512" i="2"/>
  <c r="E512" i="2"/>
  <c r="F511" i="2"/>
  <c r="E511" i="2"/>
  <c r="F510" i="2"/>
  <c r="E510" i="2"/>
  <c r="F509" i="2"/>
  <c r="E509" i="2"/>
  <c r="F508" i="2"/>
  <c r="E508" i="2"/>
  <c r="F507" i="2"/>
  <c r="E507" i="2"/>
  <c r="F506" i="2"/>
  <c r="E506" i="2"/>
  <c r="F505" i="2"/>
  <c r="E505" i="2"/>
  <c r="F504" i="2"/>
  <c r="E504" i="2"/>
  <c r="F503" i="2"/>
  <c r="E503" i="2"/>
  <c r="F502" i="2"/>
  <c r="E502" i="2"/>
  <c r="F501" i="2"/>
  <c r="E501" i="2"/>
  <c r="F500" i="2"/>
  <c r="E500" i="2"/>
  <c r="F499" i="2"/>
  <c r="E499" i="2"/>
  <c r="F498" i="2"/>
  <c r="E498" i="2"/>
  <c r="F497" i="2"/>
  <c r="E497" i="2"/>
  <c r="F496" i="2"/>
  <c r="E496" i="2"/>
  <c r="F495" i="2"/>
  <c r="E495" i="2"/>
  <c r="F494" i="2"/>
  <c r="E494" i="2"/>
  <c r="F493" i="2"/>
  <c r="E493" i="2"/>
  <c r="F492" i="2"/>
  <c r="E492" i="2"/>
  <c r="F491" i="2"/>
  <c r="E491" i="2"/>
  <c r="F490" i="2"/>
  <c r="E490" i="2"/>
  <c r="F489" i="2"/>
  <c r="E489" i="2"/>
  <c r="F488" i="2"/>
  <c r="E488" i="2"/>
  <c r="F487" i="2"/>
  <c r="E487" i="2"/>
  <c r="F486" i="2"/>
  <c r="E486" i="2"/>
  <c r="F485" i="2"/>
  <c r="E485" i="2"/>
  <c r="F484" i="2"/>
  <c r="E484" i="2"/>
  <c r="F483" i="2"/>
  <c r="E483" i="2"/>
  <c r="F482" i="2"/>
  <c r="E482" i="2"/>
  <c r="F481" i="2"/>
  <c r="E481" i="2"/>
  <c r="F480" i="2"/>
  <c r="E480" i="2"/>
  <c r="F479" i="2"/>
  <c r="E479" i="2"/>
  <c r="F478" i="2"/>
  <c r="E478" i="2"/>
  <c r="F477" i="2"/>
  <c r="E477" i="2"/>
  <c r="F476" i="2"/>
  <c r="E476" i="2"/>
  <c r="F475" i="2"/>
  <c r="E475" i="2"/>
  <c r="F474" i="2"/>
  <c r="E474" i="2"/>
  <c r="F473" i="2"/>
  <c r="E473" i="2"/>
  <c r="F472" i="2"/>
  <c r="E472" i="2"/>
  <c r="F471" i="2"/>
  <c r="E471" i="2"/>
  <c r="F470" i="2"/>
  <c r="E470" i="2"/>
  <c r="F469" i="2"/>
  <c r="E469" i="2"/>
  <c r="F468" i="2"/>
  <c r="E468" i="2"/>
  <c r="F467" i="2"/>
  <c r="E467" i="2"/>
  <c r="F466" i="2"/>
  <c r="E466" i="2"/>
  <c r="F465" i="2"/>
  <c r="E465" i="2"/>
  <c r="F464" i="2"/>
  <c r="E464" i="2"/>
  <c r="F463" i="2"/>
  <c r="E463" i="2"/>
  <c r="F462" i="2"/>
  <c r="E462" i="2"/>
  <c r="F461" i="2"/>
  <c r="E461" i="2"/>
  <c r="F460" i="2"/>
  <c r="E460" i="2"/>
  <c r="F459" i="2"/>
  <c r="E459" i="2"/>
  <c r="F458" i="2"/>
  <c r="E458" i="2"/>
  <c r="F457" i="2"/>
  <c r="E457" i="2"/>
  <c r="F456" i="2"/>
  <c r="E456" i="2"/>
  <c r="F455" i="2"/>
  <c r="E455" i="2"/>
  <c r="F454" i="2"/>
  <c r="E454" i="2"/>
  <c r="F453" i="2"/>
  <c r="E453" i="2"/>
  <c r="F452" i="2"/>
  <c r="E452" i="2"/>
  <c r="F451" i="2"/>
  <c r="E451" i="2"/>
  <c r="F450" i="2"/>
  <c r="E450" i="2"/>
  <c r="F449" i="2"/>
  <c r="E449" i="2"/>
  <c r="F448" i="2"/>
  <c r="E448" i="2"/>
  <c r="F447" i="2"/>
  <c r="E447" i="2"/>
  <c r="F446" i="2"/>
  <c r="E446" i="2"/>
  <c r="F445" i="2"/>
  <c r="E445" i="2"/>
  <c r="F444" i="2"/>
  <c r="E444" i="2"/>
  <c r="F443" i="2"/>
  <c r="E443" i="2"/>
  <c r="F442" i="2"/>
  <c r="E442" i="2"/>
  <c r="F441" i="2"/>
  <c r="E441" i="2"/>
  <c r="F440" i="2"/>
  <c r="E440" i="2"/>
  <c r="F439" i="2"/>
  <c r="E439" i="2"/>
  <c r="F438" i="2"/>
  <c r="E438" i="2"/>
  <c r="F437" i="2"/>
  <c r="E437" i="2"/>
  <c r="F436" i="2"/>
  <c r="E436" i="2"/>
  <c r="F435" i="2"/>
  <c r="E435" i="2"/>
  <c r="F434" i="2"/>
  <c r="E434" i="2"/>
  <c r="F433" i="2"/>
  <c r="E433" i="2"/>
  <c r="F432" i="2"/>
  <c r="E432" i="2"/>
  <c r="F431" i="2"/>
  <c r="E431" i="2"/>
  <c r="F430" i="2"/>
  <c r="E430" i="2"/>
  <c r="F429" i="2"/>
  <c r="E429" i="2"/>
  <c r="F428" i="2"/>
  <c r="E428" i="2"/>
  <c r="F427" i="2"/>
  <c r="E427" i="2"/>
  <c r="F426" i="2"/>
  <c r="E426" i="2"/>
  <c r="F425" i="2"/>
  <c r="E425" i="2"/>
  <c r="F424" i="2"/>
  <c r="E424" i="2"/>
  <c r="F423" i="2"/>
  <c r="E423" i="2"/>
  <c r="F422" i="2"/>
  <c r="E422" i="2"/>
  <c r="F421" i="2"/>
  <c r="E421" i="2"/>
  <c r="F420" i="2"/>
  <c r="E420" i="2"/>
  <c r="F419" i="2"/>
  <c r="E419" i="2"/>
  <c r="F418" i="2"/>
  <c r="E418" i="2"/>
  <c r="F417" i="2"/>
  <c r="E417" i="2"/>
  <c r="F416" i="2"/>
  <c r="E416" i="2"/>
  <c r="F415" i="2"/>
  <c r="E415" i="2"/>
  <c r="F414" i="2"/>
  <c r="E414" i="2"/>
  <c r="F413" i="2"/>
  <c r="E413" i="2"/>
  <c r="F412" i="2"/>
  <c r="E412" i="2"/>
  <c r="F411" i="2"/>
  <c r="E411" i="2"/>
  <c r="F410" i="2"/>
  <c r="E410" i="2"/>
  <c r="F409" i="2"/>
  <c r="E409" i="2"/>
  <c r="F408" i="2"/>
  <c r="E408" i="2"/>
  <c r="F407" i="2"/>
  <c r="E407" i="2"/>
  <c r="F406" i="2"/>
  <c r="E406" i="2"/>
  <c r="F405" i="2"/>
  <c r="E405" i="2"/>
  <c r="F404" i="2"/>
  <c r="E404" i="2"/>
  <c r="F403" i="2"/>
  <c r="E403" i="2"/>
  <c r="F402" i="2"/>
  <c r="E402" i="2"/>
  <c r="F401" i="2"/>
  <c r="E401" i="2"/>
  <c r="F400" i="2"/>
  <c r="E400" i="2"/>
  <c r="F399" i="2"/>
  <c r="E399" i="2"/>
  <c r="F398" i="2"/>
  <c r="E398" i="2"/>
  <c r="F397" i="2"/>
  <c r="E397" i="2"/>
  <c r="F396" i="2"/>
  <c r="E396" i="2"/>
  <c r="F395" i="2"/>
  <c r="E395" i="2"/>
  <c r="F394" i="2"/>
  <c r="E394" i="2"/>
  <c r="F393" i="2"/>
  <c r="E393" i="2"/>
  <c r="F392" i="2"/>
  <c r="E392" i="2"/>
  <c r="F391" i="2"/>
  <c r="E391" i="2"/>
  <c r="F390" i="2"/>
  <c r="E390" i="2"/>
  <c r="F389" i="2"/>
  <c r="E389" i="2"/>
  <c r="F388" i="2"/>
  <c r="E388" i="2"/>
  <c r="F387" i="2"/>
  <c r="E387" i="2"/>
  <c r="F386" i="2"/>
  <c r="E386" i="2"/>
  <c r="F385" i="2"/>
  <c r="E385" i="2"/>
  <c r="F384" i="2"/>
  <c r="E384" i="2"/>
  <c r="F383" i="2"/>
  <c r="E383" i="2"/>
  <c r="F382" i="2"/>
  <c r="E382" i="2"/>
  <c r="F381" i="2"/>
  <c r="E381" i="2"/>
  <c r="F380" i="2"/>
  <c r="E380" i="2"/>
  <c r="F379" i="2"/>
  <c r="E379" i="2"/>
  <c r="F378" i="2"/>
  <c r="E378" i="2"/>
  <c r="F377" i="2"/>
  <c r="E377" i="2"/>
  <c r="F376" i="2"/>
  <c r="E376" i="2"/>
  <c r="F375" i="2"/>
  <c r="E375" i="2"/>
  <c r="F374" i="2"/>
  <c r="E374" i="2"/>
  <c r="F373" i="2"/>
  <c r="E373" i="2"/>
  <c r="F372" i="2"/>
  <c r="E372" i="2"/>
  <c r="F371" i="2"/>
  <c r="E371" i="2"/>
  <c r="F370" i="2"/>
  <c r="E370" i="2"/>
  <c r="F369" i="2"/>
  <c r="E369" i="2"/>
  <c r="F368" i="2"/>
  <c r="E368" i="2"/>
  <c r="F367" i="2"/>
  <c r="E367" i="2"/>
  <c r="F366" i="2"/>
  <c r="E366" i="2"/>
  <c r="F365" i="2"/>
  <c r="E365" i="2"/>
  <c r="F364" i="2"/>
  <c r="E364" i="2"/>
  <c r="F363" i="2"/>
  <c r="E363" i="2"/>
  <c r="F362" i="2"/>
  <c r="E362" i="2"/>
  <c r="F361" i="2"/>
  <c r="E361" i="2"/>
  <c r="F360" i="2"/>
  <c r="E360" i="2"/>
  <c r="F359" i="2"/>
  <c r="E359" i="2"/>
  <c r="F358" i="2"/>
  <c r="E358" i="2"/>
  <c r="F357" i="2"/>
  <c r="E357" i="2"/>
  <c r="F356" i="2"/>
  <c r="E356" i="2"/>
  <c r="F355" i="2"/>
  <c r="E355" i="2"/>
  <c r="F354" i="2"/>
  <c r="E354" i="2"/>
  <c r="F353" i="2"/>
  <c r="E353" i="2"/>
  <c r="F352" i="2"/>
  <c r="E352" i="2"/>
  <c r="F351" i="2"/>
  <c r="E351" i="2"/>
  <c r="F350" i="2"/>
  <c r="E350" i="2"/>
  <c r="F349" i="2"/>
  <c r="E349" i="2"/>
  <c r="F348" i="2"/>
  <c r="E348" i="2"/>
  <c r="F347" i="2"/>
  <c r="E347" i="2"/>
  <c r="F346" i="2"/>
  <c r="E346" i="2"/>
  <c r="F345" i="2"/>
  <c r="E345" i="2"/>
  <c r="F344" i="2"/>
  <c r="E344" i="2"/>
  <c r="F343" i="2"/>
  <c r="E343" i="2"/>
  <c r="F342" i="2"/>
  <c r="E342" i="2"/>
  <c r="F341" i="2"/>
  <c r="E341" i="2"/>
  <c r="F340" i="2"/>
  <c r="E340" i="2"/>
  <c r="F339" i="2"/>
  <c r="E339" i="2"/>
  <c r="F338" i="2"/>
  <c r="E338" i="2"/>
  <c r="F337" i="2"/>
  <c r="E337" i="2"/>
  <c r="F336" i="2"/>
  <c r="E336" i="2"/>
  <c r="F335" i="2"/>
  <c r="E335" i="2"/>
  <c r="F334" i="2"/>
  <c r="E334" i="2"/>
  <c r="F333" i="2"/>
  <c r="E333" i="2"/>
  <c r="F332" i="2"/>
  <c r="E332" i="2"/>
  <c r="F331" i="2"/>
  <c r="E331" i="2"/>
  <c r="F330" i="2"/>
  <c r="E330" i="2"/>
  <c r="F329" i="2"/>
  <c r="E329" i="2"/>
  <c r="F328" i="2"/>
  <c r="E328" i="2"/>
  <c r="F327" i="2"/>
  <c r="E327" i="2"/>
  <c r="F326" i="2"/>
  <c r="E326" i="2"/>
  <c r="F325" i="2"/>
  <c r="E325" i="2"/>
  <c r="F324" i="2"/>
  <c r="E324" i="2"/>
  <c r="F323" i="2"/>
  <c r="E323" i="2"/>
  <c r="F322" i="2"/>
  <c r="E322" i="2"/>
  <c r="F321" i="2"/>
  <c r="E321" i="2"/>
  <c r="F320" i="2"/>
  <c r="E320" i="2"/>
  <c r="F319" i="2"/>
  <c r="E319" i="2"/>
  <c r="F318" i="2"/>
  <c r="E318" i="2"/>
  <c r="F317" i="2"/>
  <c r="E317" i="2"/>
  <c r="F316" i="2"/>
  <c r="E316" i="2"/>
  <c r="F315" i="2"/>
  <c r="E315" i="2"/>
  <c r="F314" i="2"/>
  <c r="E314" i="2"/>
  <c r="F313" i="2"/>
  <c r="E313" i="2"/>
  <c r="F312" i="2"/>
  <c r="E312" i="2"/>
  <c r="F311" i="2"/>
  <c r="E311" i="2"/>
  <c r="F310" i="2"/>
  <c r="E310" i="2"/>
  <c r="F309" i="2"/>
  <c r="E309" i="2"/>
  <c r="F308" i="2"/>
  <c r="E308" i="2"/>
  <c r="F307" i="2"/>
  <c r="E307" i="2"/>
  <c r="F306" i="2"/>
  <c r="E306" i="2"/>
  <c r="F305" i="2"/>
  <c r="E305" i="2"/>
  <c r="F304" i="2"/>
  <c r="E304" i="2"/>
  <c r="F303" i="2"/>
  <c r="E303" i="2"/>
  <c r="F302" i="2"/>
  <c r="E302" i="2"/>
  <c r="F301" i="2"/>
  <c r="E301" i="2"/>
  <c r="F300" i="2"/>
  <c r="E300" i="2"/>
  <c r="F299" i="2"/>
  <c r="E299" i="2"/>
  <c r="F298" i="2"/>
  <c r="E298" i="2"/>
  <c r="F297" i="2"/>
  <c r="E297" i="2"/>
  <c r="F296" i="2"/>
  <c r="E296" i="2"/>
  <c r="F295" i="2"/>
  <c r="E295" i="2"/>
  <c r="F294" i="2"/>
  <c r="E294" i="2"/>
  <c r="F293" i="2"/>
  <c r="E293" i="2"/>
  <c r="F292" i="2"/>
  <c r="E292" i="2"/>
  <c r="F291" i="2"/>
  <c r="E291" i="2"/>
  <c r="F290" i="2"/>
  <c r="E290" i="2"/>
  <c r="F289" i="2"/>
  <c r="E289" i="2"/>
  <c r="F288" i="2"/>
  <c r="E288" i="2"/>
  <c r="F287" i="2"/>
  <c r="E287" i="2"/>
  <c r="F286" i="2"/>
  <c r="E286" i="2"/>
  <c r="F285" i="2"/>
  <c r="E285" i="2"/>
  <c r="F284" i="2"/>
  <c r="E284" i="2"/>
  <c r="F283" i="2"/>
  <c r="E283" i="2"/>
  <c r="F282" i="2"/>
  <c r="E282" i="2"/>
  <c r="F281" i="2"/>
  <c r="E281" i="2"/>
  <c r="F280" i="2"/>
  <c r="E280" i="2"/>
  <c r="F279" i="2"/>
  <c r="E279" i="2"/>
  <c r="F278" i="2"/>
  <c r="E278" i="2"/>
  <c r="F277" i="2"/>
  <c r="E277" i="2"/>
  <c r="F276" i="2"/>
  <c r="E276" i="2"/>
  <c r="G275" i="2"/>
  <c r="F275" i="2"/>
  <c r="H275" i="2" s="1"/>
  <c r="E275" i="2"/>
  <c r="F274" i="2"/>
  <c r="E274" i="2"/>
  <c r="F273" i="2"/>
  <c r="E273" i="2"/>
  <c r="F272" i="2"/>
  <c r="E272" i="2"/>
  <c r="F271" i="2"/>
  <c r="E271" i="2"/>
  <c r="F270" i="2"/>
  <c r="E270" i="2"/>
  <c r="F269" i="2"/>
  <c r="E269" i="2"/>
  <c r="F268" i="2"/>
  <c r="E268" i="2"/>
  <c r="F267" i="2"/>
  <c r="E267" i="2"/>
  <c r="F266" i="2"/>
  <c r="E266" i="2"/>
  <c r="F265" i="2"/>
  <c r="E265" i="2"/>
  <c r="F264" i="2"/>
  <c r="E264" i="2"/>
  <c r="F263" i="2"/>
  <c r="E263" i="2"/>
  <c r="F262" i="2"/>
  <c r="E262" i="2"/>
  <c r="F261" i="2"/>
  <c r="E261" i="2"/>
  <c r="F260" i="2"/>
  <c r="E260" i="2"/>
  <c r="F259" i="2"/>
  <c r="E259" i="2"/>
  <c r="F258" i="2"/>
  <c r="E258" i="2"/>
  <c r="F257" i="2"/>
  <c r="E257" i="2"/>
  <c r="F256" i="2"/>
  <c r="E256" i="2"/>
  <c r="F255" i="2"/>
  <c r="E255" i="2"/>
  <c r="F254" i="2"/>
  <c r="E254" i="2"/>
  <c r="F253" i="2"/>
  <c r="E253" i="2"/>
  <c r="F252" i="2"/>
  <c r="E252" i="2"/>
  <c r="F251" i="2"/>
  <c r="E251" i="2"/>
  <c r="F250" i="2"/>
  <c r="E250" i="2"/>
  <c r="F249" i="2"/>
  <c r="E249" i="2"/>
  <c r="F248" i="2"/>
  <c r="E248" i="2"/>
  <c r="F247" i="2"/>
  <c r="E247" i="2"/>
  <c r="F246" i="2"/>
  <c r="E246" i="2"/>
  <c r="F245" i="2"/>
  <c r="E245" i="2"/>
  <c r="F244" i="2"/>
  <c r="E244" i="2"/>
  <c r="F243" i="2"/>
  <c r="E243" i="2"/>
  <c r="F242" i="2"/>
  <c r="E242" i="2"/>
  <c r="F241" i="2"/>
  <c r="E241" i="2"/>
  <c r="F240" i="2"/>
  <c r="E240" i="2"/>
  <c r="F239" i="2"/>
  <c r="E239" i="2"/>
  <c r="F238" i="2"/>
  <c r="E238" i="2"/>
  <c r="F237" i="2"/>
  <c r="E237" i="2"/>
  <c r="F236" i="2"/>
  <c r="E236" i="2"/>
  <c r="F235" i="2"/>
  <c r="E235" i="2"/>
  <c r="F234" i="2"/>
  <c r="E234" i="2"/>
  <c r="F233" i="2"/>
  <c r="E233" i="2"/>
  <c r="F232" i="2"/>
  <c r="E232" i="2"/>
  <c r="F231" i="2"/>
  <c r="E231" i="2"/>
  <c r="F230" i="2"/>
  <c r="E230" i="2"/>
  <c r="F229" i="2"/>
  <c r="E229" i="2"/>
  <c r="F228" i="2"/>
  <c r="E228" i="2"/>
  <c r="F227" i="2"/>
  <c r="E227" i="2"/>
  <c r="F226" i="2"/>
  <c r="E226" i="2"/>
  <c r="F225" i="2"/>
  <c r="E225" i="2"/>
  <c r="F224" i="2"/>
  <c r="E224" i="2"/>
  <c r="F223" i="2"/>
  <c r="E223" i="2"/>
  <c r="F222" i="2"/>
  <c r="E222" i="2"/>
  <c r="F221" i="2"/>
  <c r="E221" i="2"/>
  <c r="F220" i="2"/>
  <c r="E220" i="2"/>
  <c r="F219" i="2"/>
  <c r="E219" i="2"/>
  <c r="F218" i="2"/>
  <c r="E218" i="2"/>
  <c r="F217" i="2"/>
  <c r="E217" i="2"/>
  <c r="F216" i="2"/>
  <c r="E216" i="2"/>
  <c r="F215" i="2"/>
  <c r="E215" i="2"/>
  <c r="F214" i="2"/>
  <c r="E214" i="2"/>
  <c r="F213" i="2"/>
  <c r="E213" i="2"/>
  <c r="F212" i="2"/>
  <c r="E212" i="2"/>
  <c r="F211" i="2"/>
  <c r="E211" i="2"/>
  <c r="F210" i="2"/>
  <c r="E210" i="2"/>
  <c r="F209" i="2"/>
  <c r="E209" i="2"/>
  <c r="F208" i="2"/>
  <c r="E208" i="2"/>
  <c r="F207" i="2"/>
  <c r="E207" i="2"/>
  <c r="F206" i="2"/>
  <c r="E206" i="2"/>
  <c r="F205" i="2"/>
  <c r="E205" i="2"/>
  <c r="F204" i="2"/>
  <c r="E204" i="2"/>
  <c r="F203" i="2"/>
  <c r="E203" i="2"/>
  <c r="F202" i="2"/>
  <c r="E202" i="2"/>
  <c r="F201" i="2"/>
  <c r="E201" i="2"/>
  <c r="F200" i="2"/>
  <c r="E200" i="2"/>
  <c r="F199" i="2"/>
  <c r="E199" i="2"/>
  <c r="F198" i="2"/>
  <c r="E198" i="2"/>
  <c r="F197" i="2"/>
  <c r="E197" i="2"/>
  <c r="F196" i="2"/>
  <c r="E196" i="2"/>
  <c r="F195" i="2"/>
  <c r="E195" i="2"/>
  <c r="F194" i="2"/>
  <c r="E194" i="2"/>
  <c r="F193" i="2"/>
  <c r="E193" i="2"/>
  <c r="F192" i="2"/>
  <c r="E192" i="2"/>
  <c r="F191" i="2"/>
  <c r="E191" i="2"/>
  <c r="F190" i="2"/>
  <c r="E190" i="2"/>
  <c r="F189" i="2"/>
  <c r="E189" i="2"/>
  <c r="F188" i="2"/>
  <c r="E188" i="2"/>
  <c r="F187" i="2"/>
  <c r="E187" i="2"/>
  <c r="F186" i="2"/>
  <c r="E186" i="2"/>
  <c r="F185" i="2"/>
  <c r="E185" i="2"/>
  <c r="F184" i="2"/>
  <c r="E184" i="2"/>
  <c r="F183" i="2"/>
  <c r="E183" i="2"/>
  <c r="F182" i="2"/>
  <c r="E182" i="2"/>
  <c r="F181" i="2"/>
  <c r="E181" i="2"/>
  <c r="F180" i="2"/>
  <c r="E180" i="2"/>
  <c r="F179" i="2"/>
  <c r="E179" i="2"/>
  <c r="F178" i="2"/>
  <c r="E178" i="2"/>
  <c r="F177" i="2"/>
  <c r="E177" i="2"/>
  <c r="F176" i="2"/>
  <c r="E176" i="2"/>
  <c r="F175" i="2"/>
  <c r="E175" i="2"/>
  <c r="F174" i="2"/>
  <c r="E174" i="2"/>
  <c r="F173" i="2"/>
  <c r="E173" i="2"/>
  <c r="F172" i="2"/>
  <c r="E172" i="2"/>
  <c r="F171" i="2"/>
  <c r="E171" i="2"/>
  <c r="F170" i="2"/>
  <c r="E170" i="2"/>
  <c r="F169" i="2"/>
  <c r="E169" i="2"/>
  <c r="F168" i="2"/>
  <c r="E168" i="2"/>
  <c r="F167" i="2"/>
  <c r="E167" i="2"/>
  <c r="F166" i="2"/>
  <c r="E166" i="2"/>
  <c r="F165" i="2"/>
  <c r="E165" i="2"/>
  <c r="F164" i="2"/>
  <c r="E164" i="2"/>
  <c r="F163" i="2"/>
  <c r="E163" i="2"/>
  <c r="F162" i="2"/>
  <c r="E162" i="2"/>
  <c r="F161" i="2"/>
  <c r="E161" i="2"/>
  <c r="F160" i="2"/>
  <c r="E160" i="2"/>
  <c r="F159" i="2"/>
  <c r="E159" i="2"/>
  <c r="F158" i="2"/>
  <c r="E158" i="2"/>
  <c r="F157" i="2"/>
  <c r="E157" i="2"/>
  <c r="F156" i="2"/>
  <c r="E156" i="2"/>
  <c r="F155" i="2"/>
  <c r="E155" i="2"/>
  <c r="F154" i="2"/>
  <c r="E154" i="2"/>
  <c r="F153" i="2"/>
  <c r="E153" i="2"/>
  <c r="F152" i="2"/>
  <c r="E152" i="2"/>
  <c r="F151" i="2"/>
  <c r="E151" i="2"/>
  <c r="F150" i="2"/>
  <c r="E150" i="2"/>
  <c r="F149" i="2"/>
  <c r="E149" i="2"/>
  <c r="F148" i="2"/>
  <c r="E148" i="2"/>
  <c r="F147" i="2"/>
  <c r="E147" i="2"/>
  <c r="F146" i="2"/>
  <c r="E146" i="2"/>
  <c r="F145" i="2"/>
  <c r="E145" i="2"/>
  <c r="F144" i="2"/>
  <c r="E144" i="2"/>
  <c r="F143" i="2"/>
  <c r="E143" i="2"/>
  <c r="F142" i="2"/>
  <c r="E142" i="2"/>
  <c r="F141" i="2"/>
  <c r="E141" i="2"/>
  <c r="F140" i="2"/>
  <c r="E140" i="2"/>
  <c r="F139" i="2"/>
  <c r="E139" i="2"/>
  <c r="F138" i="2"/>
  <c r="E138" i="2"/>
  <c r="F137" i="2"/>
  <c r="E137" i="2"/>
  <c r="F136" i="2"/>
  <c r="E136" i="2"/>
  <c r="A136" i="5" s="1"/>
  <c r="F135" i="2"/>
  <c r="E135" i="2"/>
  <c r="A135" i="5" s="1"/>
  <c r="F134" i="2"/>
  <c r="E134" i="2"/>
  <c r="A134" i="5" s="1"/>
  <c r="F133" i="2"/>
  <c r="E133" i="2"/>
  <c r="A133" i="5" s="1"/>
  <c r="F132" i="2"/>
  <c r="E132" i="2"/>
  <c r="A132" i="5" s="1"/>
  <c r="F131" i="2"/>
  <c r="E131" i="2"/>
  <c r="A131" i="5" s="1"/>
  <c r="F130" i="2"/>
  <c r="E130" i="2"/>
  <c r="A130" i="5" s="1"/>
  <c r="F129" i="2"/>
  <c r="E129" i="2"/>
  <c r="A129" i="5" s="1"/>
  <c r="F128" i="2"/>
  <c r="E128" i="2"/>
  <c r="A128" i="5" s="1"/>
  <c r="F127" i="2"/>
  <c r="E127" i="2"/>
  <c r="A127" i="5" s="1"/>
  <c r="F126" i="2"/>
  <c r="E126" i="2"/>
  <c r="A126" i="5" s="1"/>
  <c r="F125" i="2"/>
  <c r="E125" i="2"/>
  <c r="A125" i="5" s="1"/>
  <c r="F124" i="2"/>
  <c r="E124" i="2"/>
  <c r="A124" i="5" s="1"/>
  <c r="F123" i="2"/>
  <c r="E123" i="2"/>
  <c r="A123" i="5" s="1"/>
  <c r="F122" i="2"/>
  <c r="E122" i="2"/>
  <c r="A122" i="5" s="1"/>
  <c r="F121" i="2"/>
  <c r="E121" i="2"/>
  <c r="A121" i="5" s="1"/>
  <c r="F120" i="2"/>
  <c r="E120" i="2"/>
  <c r="A120" i="5" s="1"/>
  <c r="F119" i="2"/>
  <c r="E119" i="2"/>
  <c r="A119" i="5" s="1"/>
  <c r="F118" i="2"/>
  <c r="E118" i="2"/>
  <c r="A118" i="5" s="1"/>
  <c r="F117" i="2"/>
  <c r="E117" i="2"/>
  <c r="A117" i="5" s="1"/>
  <c r="F116" i="2"/>
  <c r="E116" i="2"/>
  <c r="A116" i="5" s="1"/>
  <c r="F115" i="2"/>
  <c r="E115" i="2"/>
  <c r="A115" i="5" s="1"/>
  <c r="F114" i="2"/>
  <c r="E114" i="2"/>
  <c r="A114" i="5" s="1"/>
  <c r="F113" i="2"/>
  <c r="E113" i="2"/>
  <c r="A113" i="5" s="1"/>
  <c r="F112" i="2"/>
  <c r="E112" i="2"/>
  <c r="A112" i="5" s="1"/>
  <c r="F111" i="2"/>
  <c r="E111" i="2"/>
  <c r="A111" i="5" s="1"/>
  <c r="F110" i="2"/>
  <c r="E110" i="2"/>
  <c r="A110" i="5" s="1"/>
  <c r="F109" i="2"/>
  <c r="E109" i="2"/>
  <c r="A109" i="5" s="1"/>
  <c r="F108" i="2"/>
  <c r="E108" i="2"/>
  <c r="A108" i="5" s="1"/>
  <c r="F107" i="2"/>
  <c r="E107" i="2"/>
  <c r="A107" i="5" s="1"/>
  <c r="F106" i="2"/>
  <c r="E106" i="2"/>
  <c r="A106" i="5" s="1"/>
  <c r="F105" i="2"/>
  <c r="E105" i="2"/>
  <c r="A105" i="5" s="1"/>
  <c r="F104" i="2"/>
  <c r="E104" i="2"/>
  <c r="A104" i="5" s="1"/>
  <c r="F103" i="2"/>
  <c r="E103" i="2"/>
  <c r="A103" i="5" s="1"/>
  <c r="F102" i="2"/>
  <c r="E102" i="2"/>
  <c r="A102" i="5" s="1"/>
  <c r="F101" i="2"/>
  <c r="E101" i="2"/>
  <c r="A101" i="5" s="1"/>
  <c r="F100" i="2"/>
  <c r="E100" i="2"/>
  <c r="A100" i="5" s="1"/>
  <c r="F99" i="2"/>
  <c r="E99" i="2"/>
  <c r="A99" i="5" s="1"/>
  <c r="F98" i="2"/>
  <c r="E98" i="2"/>
  <c r="A98" i="5" s="1"/>
  <c r="F97" i="2"/>
  <c r="E97" i="2"/>
  <c r="A97" i="5" s="1"/>
  <c r="F96" i="2"/>
  <c r="E96" i="2"/>
  <c r="A96" i="5" s="1"/>
  <c r="F95" i="2"/>
  <c r="E95" i="2"/>
  <c r="A95" i="5" s="1"/>
  <c r="F94" i="2"/>
  <c r="E94" i="2"/>
  <c r="A94" i="5" s="1"/>
  <c r="F93" i="2"/>
  <c r="E93" i="2"/>
  <c r="A93" i="5" s="1"/>
  <c r="F92" i="2"/>
  <c r="E92" i="2"/>
  <c r="A92" i="5" s="1"/>
  <c r="F91" i="2"/>
  <c r="E91" i="2"/>
  <c r="A91" i="5" s="1"/>
  <c r="F90" i="2"/>
  <c r="E90" i="2"/>
  <c r="A90" i="5" s="1"/>
  <c r="F89" i="2"/>
  <c r="E89" i="2"/>
  <c r="A89" i="5" s="1"/>
  <c r="F88" i="2"/>
  <c r="E88" i="2"/>
  <c r="A88" i="5" s="1"/>
  <c r="F87" i="2"/>
  <c r="E87" i="2"/>
  <c r="A87" i="5" s="1"/>
  <c r="F86" i="2"/>
  <c r="E86" i="2"/>
  <c r="A86" i="5" s="1"/>
  <c r="F85" i="2"/>
  <c r="E85" i="2"/>
  <c r="A85" i="5" s="1"/>
  <c r="F84" i="2"/>
  <c r="E84" i="2"/>
  <c r="A84" i="5" s="1"/>
  <c r="F83" i="2"/>
  <c r="E83" i="2"/>
  <c r="A83" i="5" s="1"/>
  <c r="F82" i="2"/>
  <c r="E82" i="2"/>
  <c r="A82" i="5" s="1"/>
  <c r="F81" i="2"/>
  <c r="E81" i="2"/>
  <c r="A81" i="5" s="1"/>
  <c r="F80" i="2"/>
  <c r="E80" i="2"/>
  <c r="A80" i="5" s="1"/>
  <c r="F79" i="2"/>
  <c r="E79" i="2"/>
  <c r="A79" i="5" s="1"/>
  <c r="F78" i="2"/>
  <c r="E78" i="2"/>
  <c r="A78" i="5" s="1"/>
  <c r="F77" i="2"/>
  <c r="E77" i="2"/>
  <c r="A77" i="5" s="1"/>
  <c r="F76" i="2"/>
  <c r="E76" i="2"/>
  <c r="A76" i="5" s="1"/>
  <c r="F75" i="2"/>
  <c r="E75" i="2"/>
  <c r="A75" i="5" s="1"/>
  <c r="F74" i="2"/>
  <c r="E74" i="2"/>
  <c r="A74" i="5" s="1"/>
  <c r="F73" i="2"/>
  <c r="E73" i="2"/>
  <c r="A73" i="5" s="1"/>
  <c r="F72" i="2"/>
  <c r="E72" i="2"/>
  <c r="A72" i="5" s="1"/>
  <c r="F71" i="2"/>
  <c r="E71" i="2"/>
  <c r="A71" i="5" s="1"/>
  <c r="F70" i="2"/>
  <c r="E70" i="2"/>
  <c r="A70" i="5" s="1"/>
  <c r="F69" i="2"/>
  <c r="E69" i="2"/>
  <c r="A69" i="5" s="1"/>
  <c r="F68" i="2"/>
  <c r="E68" i="2"/>
  <c r="A68" i="5" s="1"/>
  <c r="F67" i="2"/>
  <c r="E67" i="2"/>
  <c r="A67" i="5" s="1"/>
  <c r="F66" i="2"/>
  <c r="E66" i="2"/>
  <c r="A66" i="5" s="1"/>
  <c r="F65" i="2"/>
  <c r="E65" i="2"/>
  <c r="A65" i="5" s="1"/>
  <c r="F64" i="2"/>
  <c r="E64" i="2"/>
  <c r="A64" i="5" s="1"/>
  <c r="F63" i="2"/>
  <c r="E63" i="2"/>
  <c r="A63" i="5" s="1"/>
  <c r="F62" i="2"/>
  <c r="E62" i="2"/>
  <c r="A62" i="5" s="1"/>
  <c r="F61" i="2"/>
  <c r="E61" i="2"/>
  <c r="A61" i="5" s="1"/>
  <c r="F60" i="2"/>
  <c r="E60" i="2"/>
  <c r="A60" i="5" s="1"/>
  <c r="F59" i="2"/>
  <c r="E59" i="2"/>
  <c r="A59" i="5" s="1"/>
  <c r="F58" i="2"/>
  <c r="E58" i="2"/>
  <c r="A58" i="5" s="1"/>
  <c r="F57" i="2"/>
  <c r="E57" i="2"/>
  <c r="A57" i="5" s="1"/>
  <c r="F56" i="2"/>
  <c r="E56" i="2"/>
  <c r="A56" i="5" s="1"/>
  <c r="F55" i="2"/>
  <c r="E55" i="2"/>
  <c r="A55" i="5" s="1"/>
  <c r="F54" i="2"/>
  <c r="E54" i="2"/>
  <c r="A54" i="5" s="1"/>
  <c r="F53" i="2"/>
  <c r="E53" i="2"/>
  <c r="A53" i="5" s="1"/>
  <c r="F52" i="2"/>
  <c r="E52" i="2"/>
  <c r="A52" i="5" s="1"/>
  <c r="F51" i="2"/>
  <c r="E51" i="2"/>
  <c r="A51" i="5" s="1"/>
  <c r="F50" i="2"/>
  <c r="E50" i="2"/>
  <c r="A50" i="5" s="1"/>
  <c r="F49" i="2"/>
  <c r="E49" i="2"/>
  <c r="A49" i="5" s="1"/>
  <c r="F48" i="2"/>
  <c r="E48" i="2"/>
  <c r="A48" i="5" s="1"/>
  <c r="F47" i="2"/>
  <c r="E47" i="2"/>
  <c r="A47" i="5" s="1"/>
  <c r="F46" i="2"/>
  <c r="E46" i="2"/>
  <c r="A46" i="5" s="1"/>
  <c r="F45" i="2"/>
  <c r="E45" i="2"/>
  <c r="A45" i="5" s="1"/>
  <c r="F44" i="2"/>
  <c r="E44" i="2"/>
  <c r="A44" i="5" s="1"/>
  <c r="F43" i="2"/>
  <c r="E43" i="2"/>
  <c r="A43" i="5" s="1"/>
  <c r="F42" i="2"/>
  <c r="E42" i="2"/>
  <c r="A42" i="5" s="1"/>
  <c r="F41" i="2"/>
  <c r="E41" i="2"/>
  <c r="A41" i="5" s="1"/>
  <c r="F40" i="2"/>
  <c r="E40" i="2"/>
  <c r="A40" i="5" s="1"/>
  <c r="F39" i="2"/>
  <c r="E39" i="2"/>
  <c r="A39" i="5" s="1"/>
  <c r="F38" i="2"/>
  <c r="E38" i="2"/>
  <c r="A38" i="5" s="1"/>
  <c r="F37" i="2"/>
  <c r="E37" i="2"/>
  <c r="A37" i="5" s="1"/>
  <c r="F36" i="2"/>
  <c r="E36" i="2"/>
  <c r="A36" i="5" s="1"/>
  <c r="F35" i="2"/>
  <c r="E35" i="2"/>
  <c r="A35" i="5" s="1"/>
  <c r="F34" i="2"/>
  <c r="E34" i="2"/>
  <c r="A34" i="5" s="1"/>
  <c r="F33" i="2"/>
  <c r="E33" i="2"/>
  <c r="A33" i="5" s="1"/>
  <c r="F32" i="2"/>
  <c r="E32" i="2"/>
  <c r="A32" i="5" s="1"/>
  <c r="F31" i="2"/>
  <c r="E31" i="2"/>
  <c r="A31" i="5" s="1"/>
  <c r="F30" i="2"/>
  <c r="E30" i="2"/>
  <c r="A30" i="5" s="1"/>
  <c r="F29" i="2"/>
  <c r="E29" i="2"/>
  <c r="A29" i="5" s="1"/>
  <c r="F28" i="2"/>
  <c r="E28" i="2"/>
  <c r="A28" i="5" s="1"/>
  <c r="F27" i="2"/>
  <c r="E27" i="2"/>
  <c r="A27" i="5" s="1"/>
  <c r="F26" i="2"/>
  <c r="E26" i="2"/>
  <c r="A26" i="5" s="1"/>
  <c r="F25" i="2"/>
  <c r="E25" i="2"/>
  <c r="A25" i="5" s="1"/>
  <c r="F24" i="2"/>
  <c r="E24" i="2"/>
  <c r="A24" i="5" s="1"/>
  <c r="F23" i="2"/>
  <c r="E23" i="2"/>
  <c r="A23" i="5" s="1"/>
  <c r="F22" i="2"/>
  <c r="E22" i="2"/>
  <c r="A22" i="5" s="1"/>
  <c r="F21" i="2"/>
  <c r="E21" i="2"/>
  <c r="A21" i="5" s="1"/>
  <c r="F20" i="2"/>
  <c r="E20" i="2"/>
  <c r="A20" i="5" s="1"/>
  <c r="F19" i="2"/>
  <c r="E19" i="2"/>
  <c r="A19" i="5" s="1"/>
  <c r="F18" i="2"/>
  <c r="E18" i="2"/>
  <c r="A18" i="5" s="1"/>
  <c r="F17" i="2"/>
  <c r="E17" i="2"/>
  <c r="A17" i="5" s="1"/>
  <c r="F16" i="2"/>
  <c r="E16" i="2"/>
  <c r="A16" i="5" s="1"/>
  <c r="F15" i="2"/>
  <c r="E15" i="2"/>
  <c r="A15" i="5" s="1"/>
  <c r="F14" i="2"/>
  <c r="E14" i="2"/>
  <c r="A14" i="5" s="1"/>
  <c r="F13" i="2"/>
  <c r="E13" i="2"/>
  <c r="A13" i="5" s="1"/>
  <c r="F12" i="2"/>
  <c r="E12" i="2"/>
  <c r="A12" i="5" s="1"/>
  <c r="F11" i="2"/>
  <c r="E11" i="2"/>
  <c r="A11" i="5" s="1"/>
  <c r="F10" i="2"/>
  <c r="E10" i="2"/>
  <c r="A10" i="5" s="1"/>
  <c r="F9" i="2"/>
  <c r="E9" i="2"/>
  <c r="A9" i="5" s="1"/>
  <c r="F8" i="2"/>
  <c r="E8" i="2"/>
  <c r="A8" i="5" s="1"/>
  <c r="F7" i="2"/>
  <c r="E7" i="2"/>
  <c r="A7" i="5" s="1"/>
  <c r="F6" i="2"/>
  <c r="E6" i="2"/>
  <c r="A6" i="5" s="1"/>
  <c r="F5" i="2"/>
  <c r="E5" i="2"/>
  <c r="A5" i="5" s="1"/>
  <c r="F4" i="2"/>
  <c r="E4" i="2"/>
  <c r="A4" i="5" s="1"/>
  <c r="F3" i="2"/>
  <c r="E3" i="2"/>
  <c r="A3" i="5" s="1"/>
  <c r="F2" i="2"/>
  <c r="E2" i="2"/>
  <c r="A2" i="5" s="1"/>
  <c r="C1061" i="1" l="1"/>
  <c r="B1061" i="1"/>
  <c r="B1058" i="1" s="1"/>
  <c r="D1058" i="1" s="1"/>
  <c r="N5" i="10" s="1"/>
  <c r="E1055" i="1"/>
  <c r="D1061" i="1" s="1"/>
  <c r="G1054" i="2"/>
  <c r="H1054" i="2"/>
  <c r="H1053" i="2"/>
  <c r="G1053" i="2"/>
  <c r="H1052" i="2"/>
  <c r="G1052" i="2"/>
  <c r="H1051" i="2"/>
  <c r="G1051" i="2"/>
  <c r="G1050" i="2"/>
  <c r="H1050" i="2"/>
  <c r="H1049" i="2"/>
  <c r="G1049" i="2"/>
  <c r="H1048" i="2"/>
  <c r="G1048" i="2"/>
  <c r="H1047" i="2"/>
  <c r="G1047" i="2"/>
  <c r="H1046" i="2"/>
  <c r="G1046" i="2"/>
  <c r="G1045" i="2"/>
  <c r="H1045" i="2"/>
  <c r="G1044" i="2"/>
  <c r="H1044" i="2"/>
  <c r="G1043" i="2"/>
  <c r="H1043" i="2"/>
  <c r="G1042" i="2"/>
  <c r="H1042" i="2"/>
  <c r="G1041" i="2"/>
  <c r="H1041" i="2"/>
  <c r="G1040" i="2"/>
  <c r="H1040" i="2"/>
  <c r="G1039" i="2"/>
  <c r="H1039" i="2"/>
  <c r="H1038" i="2"/>
  <c r="G1038" i="2"/>
  <c r="G1037" i="2"/>
  <c r="H1037" i="2"/>
  <c r="G1036" i="2"/>
  <c r="H1036" i="2"/>
  <c r="H1035" i="2"/>
  <c r="G1035" i="2"/>
  <c r="G1034" i="2"/>
  <c r="H1034" i="2"/>
  <c r="H1033" i="2"/>
  <c r="G1033" i="2"/>
  <c r="G1032" i="2"/>
  <c r="H1032" i="2"/>
  <c r="H1031" i="2"/>
  <c r="G1031" i="2"/>
  <c r="H1030" i="2"/>
  <c r="G1030" i="2"/>
  <c r="H1029" i="2"/>
  <c r="G1029" i="2"/>
  <c r="H1028" i="2"/>
  <c r="G1028" i="2"/>
  <c r="H1027" i="2"/>
  <c r="G1027" i="2"/>
  <c r="H1026" i="2"/>
  <c r="G1026" i="2"/>
  <c r="G1025" i="2"/>
  <c r="H1025" i="2"/>
  <c r="H1024" i="2"/>
  <c r="G1024" i="2"/>
  <c r="H1023" i="2"/>
  <c r="G1023" i="2"/>
  <c r="H1022" i="2"/>
  <c r="G1022" i="2"/>
  <c r="H1021" i="2"/>
  <c r="G1021" i="2"/>
  <c r="H1020" i="2"/>
  <c r="G1020" i="2"/>
  <c r="G1019" i="2"/>
  <c r="H1019" i="2"/>
  <c r="G1018" i="2"/>
  <c r="H1018" i="2"/>
  <c r="G1017" i="2"/>
  <c r="H1017" i="2"/>
  <c r="G1016" i="2"/>
  <c r="H1016" i="2"/>
  <c r="G1015" i="2"/>
  <c r="H1015" i="2"/>
  <c r="H1014" i="2"/>
  <c r="G1014" i="2"/>
  <c r="H1013" i="2"/>
  <c r="G1013" i="2"/>
  <c r="H1012" i="2"/>
  <c r="G1012" i="2"/>
  <c r="H1011" i="2"/>
  <c r="G1011" i="2"/>
  <c r="H1010" i="2"/>
  <c r="G1010" i="2"/>
  <c r="H1009" i="2"/>
  <c r="G1009" i="2"/>
  <c r="H1008" i="2"/>
  <c r="G1008" i="2"/>
  <c r="H1007" i="2"/>
  <c r="G1007" i="2"/>
  <c r="G1006" i="2"/>
  <c r="H1006" i="2"/>
  <c r="H1005" i="2"/>
  <c r="G1005" i="2"/>
  <c r="G1004" i="2"/>
  <c r="H1004" i="2"/>
  <c r="G1003" i="2"/>
  <c r="H1003" i="2"/>
  <c r="H1002" i="2"/>
  <c r="G1002" i="2"/>
  <c r="G1001" i="2"/>
  <c r="H1001" i="2"/>
  <c r="H1000" i="2"/>
  <c r="G1000" i="2"/>
  <c r="H999" i="2"/>
  <c r="G999" i="2"/>
  <c r="H998" i="2"/>
  <c r="G998" i="2"/>
  <c r="G997" i="2"/>
  <c r="H997" i="2"/>
  <c r="G996" i="2"/>
  <c r="H996" i="2"/>
  <c r="G995" i="2"/>
  <c r="H995" i="2"/>
  <c r="H994" i="2"/>
  <c r="G994" i="2"/>
  <c r="H993" i="2"/>
  <c r="G993" i="2"/>
  <c r="G992" i="2"/>
  <c r="H992" i="2"/>
  <c r="H991" i="2"/>
  <c r="G991" i="2"/>
  <c r="H990" i="2"/>
  <c r="G990" i="2"/>
  <c r="H989" i="2"/>
  <c r="G989" i="2"/>
  <c r="G988" i="2"/>
  <c r="H988" i="2"/>
  <c r="H987" i="2"/>
  <c r="G987" i="2"/>
  <c r="H986" i="2"/>
  <c r="G986" i="2"/>
  <c r="H985" i="2"/>
  <c r="G985" i="2"/>
  <c r="G984" i="2"/>
  <c r="H984" i="2"/>
  <c r="H983" i="2"/>
  <c r="G983" i="2"/>
  <c r="H982" i="2"/>
  <c r="G982" i="2"/>
  <c r="G981" i="2"/>
  <c r="H981" i="2"/>
  <c r="H980" i="2"/>
  <c r="G980" i="2"/>
  <c r="H979" i="2"/>
  <c r="G979" i="2"/>
  <c r="G978" i="2"/>
  <c r="H978" i="2"/>
  <c r="H977" i="2"/>
  <c r="G977" i="2"/>
  <c r="H976" i="2"/>
  <c r="G976" i="2"/>
  <c r="H975" i="2"/>
  <c r="G975" i="2"/>
  <c r="G974" i="2"/>
  <c r="H974" i="2"/>
  <c r="G973" i="2"/>
  <c r="H973" i="2"/>
  <c r="G972" i="2"/>
  <c r="H972" i="2"/>
  <c r="H971" i="2"/>
  <c r="G971" i="2"/>
  <c r="H970" i="2"/>
  <c r="G970" i="2"/>
  <c r="H969" i="2"/>
  <c r="G969" i="2"/>
  <c r="H968" i="2"/>
  <c r="G968" i="2"/>
  <c r="H967" i="2"/>
  <c r="G967" i="2"/>
  <c r="H966" i="2"/>
  <c r="G966" i="2"/>
  <c r="G965" i="2"/>
  <c r="H965" i="2"/>
  <c r="G964" i="2"/>
  <c r="H964" i="2"/>
  <c r="G963" i="2"/>
  <c r="H963" i="2"/>
  <c r="H962" i="2"/>
  <c r="G962" i="2"/>
  <c r="G961" i="2"/>
  <c r="H961" i="2"/>
  <c r="H960" i="2"/>
  <c r="G960" i="2"/>
  <c r="H959" i="2"/>
  <c r="G959" i="2"/>
  <c r="G958" i="2"/>
  <c r="H958" i="2"/>
  <c r="G957" i="2"/>
  <c r="H957" i="2"/>
  <c r="H956" i="2"/>
  <c r="G956" i="2"/>
  <c r="H955" i="2"/>
  <c r="G955" i="2"/>
  <c r="H954" i="2"/>
  <c r="G954" i="2"/>
  <c r="H953" i="2"/>
  <c r="G953" i="2"/>
  <c r="H952" i="2"/>
  <c r="G952" i="2"/>
  <c r="H951" i="2"/>
  <c r="G951" i="2"/>
  <c r="H950" i="2"/>
  <c r="G950" i="2"/>
  <c r="H949" i="2"/>
  <c r="G949" i="2"/>
  <c r="G948" i="2"/>
  <c r="H948" i="2"/>
  <c r="H947" i="2"/>
  <c r="G947" i="2"/>
  <c r="H946" i="2"/>
  <c r="G946" i="2"/>
  <c r="H945" i="2"/>
  <c r="G945" i="2"/>
  <c r="G944" i="2"/>
  <c r="H944" i="2"/>
  <c r="G943" i="2"/>
  <c r="H943" i="2"/>
  <c r="G942" i="2"/>
  <c r="H942" i="2"/>
  <c r="H941" i="2"/>
  <c r="G941" i="2"/>
  <c r="H940" i="2"/>
  <c r="G940" i="2"/>
  <c r="H939" i="2"/>
  <c r="G939" i="2"/>
  <c r="H938" i="2"/>
  <c r="G938" i="2"/>
  <c r="H937" i="2"/>
  <c r="G937" i="2"/>
  <c r="H936" i="2"/>
  <c r="G936" i="2"/>
  <c r="H935" i="2"/>
  <c r="G935" i="2"/>
  <c r="G934" i="2"/>
  <c r="H934" i="2"/>
  <c r="H933" i="2"/>
  <c r="G933" i="2"/>
  <c r="H932" i="2"/>
  <c r="G932" i="2"/>
  <c r="H931" i="2"/>
  <c r="G931" i="2"/>
  <c r="H930" i="2"/>
  <c r="G930" i="2"/>
  <c r="H929" i="2"/>
  <c r="G929" i="2"/>
  <c r="G928" i="2"/>
  <c r="H928" i="2"/>
  <c r="H927" i="2"/>
  <c r="G927" i="2"/>
  <c r="H926" i="2"/>
  <c r="G926" i="2"/>
  <c r="H925" i="2"/>
  <c r="G925" i="2"/>
  <c r="G924" i="2"/>
  <c r="H924" i="2"/>
  <c r="G923" i="2"/>
  <c r="H923" i="2"/>
  <c r="G922" i="2"/>
  <c r="H922" i="2"/>
  <c r="G921" i="2"/>
  <c r="H921" i="2"/>
  <c r="H920" i="2"/>
  <c r="G920" i="2"/>
  <c r="G919" i="2"/>
  <c r="H919" i="2"/>
  <c r="G918" i="2"/>
  <c r="H918" i="2"/>
  <c r="H917" i="2"/>
  <c r="G917" i="2"/>
  <c r="G916" i="2"/>
  <c r="H916" i="2"/>
  <c r="H915" i="2"/>
  <c r="G915" i="2"/>
  <c r="G914" i="2"/>
  <c r="H914" i="2"/>
  <c r="G913" i="2"/>
  <c r="H913" i="2"/>
  <c r="G912" i="2"/>
  <c r="H912" i="2"/>
  <c r="H911" i="2"/>
  <c r="G911" i="2"/>
  <c r="G910" i="2"/>
  <c r="H910" i="2"/>
  <c r="H909" i="2"/>
  <c r="G909" i="2"/>
  <c r="H908" i="2"/>
  <c r="G908" i="2"/>
  <c r="H907" i="2"/>
  <c r="G907" i="2"/>
  <c r="H906" i="2"/>
  <c r="G906" i="2"/>
  <c r="G905" i="2"/>
  <c r="H905" i="2"/>
  <c r="G904" i="2"/>
  <c r="H904" i="2"/>
  <c r="H903" i="2"/>
  <c r="G903" i="2"/>
  <c r="G902" i="2"/>
  <c r="H902" i="2"/>
  <c r="H901" i="2"/>
  <c r="G901" i="2"/>
  <c r="H900" i="2"/>
  <c r="G900" i="2"/>
  <c r="H899" i="2"/>
  <c r="G899" i="2"/>
  <c r="H898" i="2"/>
  <c r="G898" i="2"/>
  <c r="H897" i="2"/>
  <c r="G897" i="2"/>
  <c r="H896" i="2"/>
  <c r="G896" i="2"/>
  <c r="H895" i="2"/>
  <c r="G895" i="2"/>
  <c r="H894" i="2"/>
  <c r="G894" i="2"/>
  <c r="H893" i="2"/>
  <c r="G893" i="2"/>
  <c r="G892" i="2"/>
  <c r="H892" i="2"/>
  <c r="G891" i="2"/>
  <c r="H891" i="2"/>
  <c r="G890" i="2"/>
  <c r="H890" i="2"/>
  <c r="G889" i="2"/>
  <c r="H889" i="2"/>
  <c r="H888" i="2"/>
  <c r="G888" i="2"/>
  <c r="H887" i="2"/>
  <c r="G887" i="2"/>
  <c r="G886" i="2"/>
  <c r="H886" i="2"/>
  <c r="G885" i="2"/>
  <c r="H885" i="2"/>
  <c r="H884" i="2"/>
  <c r="G884" i="2"/>
  <c r="G883" i="2"/>
  <c r="H883" i="2"/>
  <c r="H882" i="2"/>
  <c r="G882" i="2"/>
  <c r="G881" i="2"/>
  <c r="H881" i="2"/>
  <c r="H880" i="2"/>
  <c r="G880" i="2"/>
  <c r="H879" i="2"/>
  <c r="G879" i="2"/>
  <c r="G878" i="2"/>
  <c r="H878" i="2"/>
  <c r="G877" i="2"/>
  <c r="H877" i="2"/>
  <c r="G876" i="2"/>
  <c r="H876" i="2"/>
  <c r="G875" i="2"/>
  <c r="H875" i="2"/>
  <c r="H874" i="2"/>
  <c r="G874" i="2"/>
  <c r="G873" i="2"/>
  <c r="H873" i="2"/>
  <c r="G872" i="2"/>
  <c r="H872" i="2"/>
  <c r="G871" i="2"/>
  <c r="H871" i="2"/>
  <c r="G870" i="2"/>
  <c r="H870" i="2"/>
  <c r="H869" i="2"/>
  <c r="G869" i="2"/>
  <c r="H868" i="2"/>
  <c r="G868" i="2"/>
  <c r="G867" i="2"/>
  <c r="H867" i="2"/>
  <c r="G866" i="2"/>
  <c r="H866" i="2"/>
  <c r="H865" i="2"/>
  <c r="G865" i="2"/>
  <c r="H864" i="2"/>
  <c r="G864" i="2"/>
  <c r="H863" i="2"/>
  <c r="G863" i="2"/>
  <c r="H862" i="2"/>
  <c r="G862" i="2"/>
  <c r="H861" i="2"/>
  <c r="G861" i="2"/>
  <c r="H860" i="2"/>
  <c r="G860" i="2"/>
  <c r="G859" i="2"/>
  <c r="H859" i="2"/>
  <c r="H858" i="2"/>
  <c r="G858" i="2"/>
  <c r="H857" i="2"/>
  <c r="G857" i="2"/>
  <c r="H856" i="2"/>
  <c r="G856" i="2"/>
  <c r="G855" i="2"/>
  <c r="H855" i="2"/>
  <c r="H854" i="2"/>
  <c r="G854" i="2"/>
  <c r="G853" i="2"/>
  <c r="H853" i="2"/>
  <c r="H852" i="2"/>
  <c r="G852" i="2"/>
  <c r="G851" i="2"/>
  <c r="H851" i="2"/>
  <c r="G850" i="2"/>
  <c r="H850" i="2"/>
  <c r="G849" i="2"/>
  <c r="H849" i="2"/>
  <c r="G848" i="2"/>
  <c r="H848" i="2"/>
  <c r="H847" i="2"/>
  <c r="G847" i="2"/>
  <c r="G846" i="2"/>
  <c r="H846" i="2"/>
  <c r="G845" i="2"/>
  <c r="H845" i="2"/>
  <c r="H844" i="2"/>
  <c r="G844" i="2"/>
  <c r="G843" i="2"/>
  <c r="H843" i="2"/>
  <c r="G842" i="2"/>
  <c r="H842" i="2"/>
  <c r="G841" i="2"/>
  <c r="H841" i="2"/>
  <c r="G840" i="2"/>
  <c r="H840" i="2"/>
  <c r="G839" i="2"/>
  <c r="H839" i="2"/>
  <c r="G838" i="2"/>
  <c r="H838" i="2"/>
  <c r="H837" i="2"/>
  <c r="G837" i="2"/>
  <c r="G836" i="2"/>
  <c r="H836" i="2"/>
  <c r="H835" i="2"/>
  <c r="G835" i="2"/>
  <c r="H834" i="2"/>
  <c r="G834" i="2"/>
  <c r="H833" i="2"/>
  <c r="G833" i="2"/>
  <c r="H832" i="2"/>
  <c r="G832" i="2"/>
  <c r="H831" i="2"/>
  <c r="G831" i="2"/>
  <c r="G830" i="2"/>
  <c r="H830" i="2"/>
  <c r="G829" i="2"/>
  <c r="H829" i="2"/>
  <c r="H828" i="2"/>
  <c r="G828" i="2"/>
  <c r="H827" i="2"/>
  <c r="G827" i="2"/>
  <c r="H826" i="2"/>
  <c r="G826" i="2"/>
  <c r="H825" i="2"/>
  <c r="G825" i="2"/>
  <c r="G824" i="2"/>
  <c r="H824" i="2"/>
  <c r="G823" i="2"/>
  <c r="H823" i="2"/>
  <c r="G822" i="2"/>
  <c r="H822" i="2"/>
  <c r="H821" i="2"/>
  <c r="G821" i="2"/>
  <c r="G820" i="2"/>
  <c r="H820" i="2"/>
  <c r="H819" i="2"/>
  <c r="G819" i="2"/>
  <c r="G818" i="2"/>
  <c r="H818" i="2"/>
  <c r="G817" i="2"/>
  <c r="H817" i="2"/>
  <c r="H816" i="2"/>
  <c r="G816" i="2"/>
  <c r="H815" i="2"/>
  <c r="G815" i="2"/>
  <c r="H814" i="2"/>
  <c r="G814" i="2"/>
  <c r="H813" i="2"/>
  <c r="G813" i="2"/>
  <c r="H812" i="2"/>
  <c r="G812" i="2"/>
  <c r="G811" i="2"/>
  <c r="H811" i="2"/>
  <c r="H810" i="2"/>
  <c r="G810" i="2"/>
  <c r="H809" i="2"/>
  <c r="G809" i="2"/>
  <c r="H808" i="2"/>
  <c r="G808" i="2"/>
  <c r="H807" i="2"/>
  <c r="G807" i="2"/>
  <c r="G806" i="2"/>
  <c r="H806" i="2"/>
  <c r="G805" i="2"/>
  <c r="H805" i="2"/>
  <c r="H804" i="2"/>
  <c r="G804" i="2"/>
  <c r="G803" i="2"/>
  <c r="H803" i="2"/>
  <c r="H802" i="2"/>
  <c r="G802" i="2"/>
  <c r="H801" i="2"/>
  <c r="G801" i="2"/>
  <c r="H800" i="2"/>
  <c r="G800" i="2"/>
  <c r="H799" i="2"/>
  <c r="G799" i="2"/>
  <c r="H798" i="2"/>
  <c r="G798" i="2"/>
  <c r="H797" i="2"/>
  <c r="G797" i="2"/>
  <c r="H796" i="2"/>
  <c r="G796" i="2"/>
  <c r="H795" i="2"/>
  <c r="G795" i="2"/>
  <c r="H794" i="2"/>
  <c r="G794" i="2"/>
  <c r="H793" i="2"/>
  <c r="G793" i="2"/>
  <c r="H792" i="2"/>
  <c r="G792" i="2"/>
  <c r="H791" i="2"/>
  <c r="G791" i="2"/>
  <c r="H790" i="2"/>
  <c r="G790" i="2"/>
  <c r="G789" i="2"/>
  <c r="H789" i="2"/>
  <c r="G788" i="2"/>
  <c r="H788" i="2"/>
  <c r="H787" i="2"/>
  <c r="G787" i="2"/>
  <c r="G786" i="2"/>
  <c r="H786" i="2"/>
  <c r="G785" i="2"/>
  <c r="H785" i="2"/>
  <c r="G784" i="2"/>
  <c r="H784" i="2"/>
  <c r="H783" i="2"/>
  <c r="G783" i="2"/>
  <c r="H782" i="2"/>
  <c r="G782" i="2"/>
  <c r="H781" i="2"/>
  <c r="G781" i="2"/>
  <c r="G780" i="2"/>
  <c r="H780" i="2"/>
  <c r="G779" i="2"/>
  <c r="H779" i="2"/>
  <c r="G778" i="2"/>
  <c r="H778" i="2"/>
  <c r="H777" i="2"/>
  <c r="G777" i="2"/>
  <c r="G776" i="2"/>
  <c r="H776" i="2"/>
  <c r="H775" i="2"/>
  <c r="G775" i="2"/>
  <c r="G774" i="2"/>
  <c r="H774" i="2"/>
  <c r="H773" i="2"/>
  <c r="G773" i="2"/>
  <c r="G772" i="2"/>
  <c r="H772" i="2"/>
  <c r="H771" i="2"/>
  <c r="G771" i="2"/>
  <c r="H770" i="2"/>
  <c r="G770" i="2"/>
  <c r="G769" i="2"/>
  <c r="H769" i="2"/>
  <c r="G768" i="2"/>
  <c r="H768" i="2"/>
  <c r="H767" i="2"/>
  <c r="G767" i="2"/>
  <c r="G766" i="2"/>
  <c r="H766" i="2"/>
  <c r="G765" i="2"/>
  <c r="H765" i="2"/>
  <c r="G764" i="2"/>
  <c r="H764" i="2"/>
  <c r="G763" i="2"/>
  <c r="H763" i="2"/>
  <c r="H762" i="2"/>
  <c r="G762" i="2"/>
  <c r="H761" i="2"/>
  <c r="G761" i="2"/>
  <c r="H760" i="2"/>
  <c r="G760" i="2"/>
  <c r="H759" i="2"/>
  <c r="G759" i="2"/>
  <c r="H758" i="2"/>
  <c r="G758" i="2"/>
  <c r="G757" i="2"/>
  <c r="H757" i="2"/>
  <c r="H756" i="2"/>
  <c r="G756" i="2"/>
  <c r="H755" i="2"/>
  <c r="G755" i="2"/>
  <c r="G754" i="2"/>
  <c r="H754" i="2"/>
  <c r="H753" i="2"/>
  <c r="G753" i="2"/>
  <c r="H752" i="2"/>
  <c r="G752" i="2"/>
  <c r="G751" i="2"/>
  <c r="H751" i="2"/>
  <c r="G750" i="2"/>
  <c r="H750" i="2"/>
  <c r="G749" i="2"/>
  <c r="H749" i="2"/>
  <c r="H748" i="2"/>
  <c r="G748" i="2"/>
  <c r="H747" i="2"/>
  <c r="G747" i="2"/>
  <c r="H746" i="2"/>
  <c r="G746" i="2"/>
  <c r="H745" i="2"/>
  <c r="G745" i="2"/>
  <c r="G744" i="2"/>
  <c r="H744" i="2"/>
  <c r="H743" i="2"/>
  <c r="G743" i="2"/>
  <c r="H742" i="2"/>
  <c r="G742" i="2"/>
  <c r="G741" i="2"/>
  <c r="H741" i="2"/>
  <c r="G740" i="2"/>
  <c r="H740" i="2"/>
  <c r="G739" i="2"/>
  <c r="H739" i="2"/>
  <c r="G738" i="2"/>
  <c r="H738" i="2"/>
  <c r="H737" i="2"/>
  <c r="G737" i="2"/>
  <c r="H736" i="2"/>
  <c r="G736" i="2"/>
  <c r="H735" i="2"/>
  <c r="G735" i="2"/>
  <c r="H734" i="2"/>
  <c r="G734" i="2"/>
  <c r="G733" i="2"/>
  <c r="H733" i="2"/>
  <c r="H732" i="2"/>
  <c r="G732" i="2"/>
  <c r="H731" i="2"/>
  <c r="G731" i="2"/>
  <c r="H730" i="2"/>
  <c r="G730" i="2"/>
  <c r="G729" i="2"/>
  <c r="H729" i="2"/>
  <c r="H728" i="2"/>
  <c r="G728" i="2"/>
  <c r="H727" i="2"/>
  <c r="G727" i="2"/>
  <c r="H726" i="2"/>
  <c r="G726" i="2"/>
  <c r="H725" i="2"/>
  <c r="G725" i="2"/>
  <c r="G724" i="2"/>
  <c r="H724" i="2"/>
  <c r="H723" i="2"/>
  <c r="G723" i="2"/>
  <c r="H722" i="2"/>
  <c r="G722" i="2"/>
  <c r="G721" i="2"/>
  <c r="H721" i="2"/>
  <c r="G720" i="2"/>
  <c r="H720" i="2"/>
  <c r="H719" i="2"/>
  <c r="G719" i="2"/>
  <c r="G718" i="2"/>
  <c r="H718" i="2"/>
  <c r="G717" i="2"/>
  <c r="H717" i="2"/>
  <c r="G716" i="2"/>
  <c r="H716" i="2"/>
  <c r="G715" i="2"/>
  <c r="H715" i="2"/>
  <c r="G714" i="2"/>
  <c r="H714" i="2"/>
  <c r="G713" i="2"/>
  <c r="H713" i="2"/>
  <c r="G712" i="2"/>
  <c r="H712" i="2"/>
  <c r="G711" i="2"/>
  <c r="H711" i="2"/>
  <c r="G710" i="2"/>
  <c r="H710" i="2"/>
  <c r="H709" i="2"/>
  <c r="G709" i="2"/>
  <c r="H708" i="2"/>
  <c r="G708" i="2"/>
  <c r="G707" i="2"/>
  <c r="H707" i="2"/>
  <c r="G706" i="2"/>
  <c r="H706" i="2"/>
  <c r="H705" i="2"/>
  <c r="G705" i="2"/>
  <c r="G704" i="2"/>
  <c r="H704" i="2"/>
  <c r="H703" i="2"/>
  <c r="G703" i="2"/>
  <c r="G702" i="2"/>
  <c r="H702" i="2"/>
  <c r="H701" i="2"/>
  <c r="G701" i="2"/>
  <c r="H700" i="2"/>
  <c r="G700" i="2"/>
  <c r="G699" i="2"/>
  <c r="H699" i="2"/>
  <c r="G698" i="2"/>
  <c r="H698" i="2"/>
  <c r="H697" i="2"/>
  <c r="G697" i="2"/>
  <c r="G696" i="2"/>
  <c r="H696" i="2"/>
  <c r="G695" i="2"/>
  <c r="H695" i="2"/>
  <c r="G694" i="2"/>
  <c r="H694" i="2"/>
  <c r="G693" i="2"/>
  <c r="H693" i="2"/>
  <c r="G692" i="2"/>
  <c r="H692" i="2"/>
  <c r="H691" i="2"/>
  <c r="G691" i="2"/>
  <c r="H690" i="2"/>
  <c r="G690" i="2"/>
  <c r="H689" i="2"/>
  <c r="G689" i="2"/>
  <c r="G688" i="2"/>
  <c r="H688" i="2"/>
  <c r="G687" i="2"/>
  <c r="H687" i="2"/>
  <c r="G686" i="2"/>
  <c r="H686" i="2"/>
  <c r="G685" i="2"/>
  <c r="H685" i="2"/>
  <c r="G684" i="2"/>
  <c r="H684" i="2"/>
  <c r="H683" i="2"/>
  <c r="G683" i="2"/>
  <c r="H682" i="2"/>
  <c r="G682" i="2"/>
  <c r="H681" i="2"/>
  <c r="G681" i="2"/>
  <c r="G680" i="2"/>
  <c r="H680" i="2"/>
  <c r="G679" i="2"/>
  <c r="H679" i="2"/>
  <c r="G678" i="2"/>
  <c r="H678" i="2"/>
  <c r="H677" i="2"/>
  <c r="G677" i="2"/>
  <c r="H676" i="2"/>
  <c r="G676" i="2"/>
  <c r="H675" i="2"/>
  <c r="G675" i="2"/>
  <c r="H674" i="2"/>
  <c r="G674" i="2"/>
  <c r="H672" i="2"/>
  <c r="G672" i="2"/>
  <c r="H671" i="2"/>
  <c r="G671" i="2"/>
  <c r="H670" i="2"/>
  <c r="G670" i="2"/>
  <c r="H669" i="2"/>
  <c r="G669" i="2"/>
  <c r="H668" i="2"/>
  <c r="G668" i="2"/>
  <c r="H667" i="2"/>
  <c r="G667" i="2"/>
  <c r="H666" i="2"/>
  <c r="G666" i="2"/>
  <c r="H665" i="2"/>
  <c r="G665" i="2"/>
  <c r="G664" i="2"/>
  <c r="H664" i="2"/>
  <c r="H663" i="2"/>
  <c r="G663" i="2"/>
  <c r="H662" i="2"/>
  <c r="G662" i="2"/>
  <c r="G661" i="2"/>
  <c r="H661" i="2"/>
  <c r="G660" i="2"/>
  <c r="H660" i="2"/>
  <c r="H659" i="2"/>
  <c r="G659" i="2"/>
  <c r="G658" i="2"/>
  <c r="H658" i="2"/>
  <c r="H657" i="2"/>
  <c r="G657" i="2"/>
  <c r="G656" i="2"/>
  <c r="H656" i="2"/>
  <c r="H655" i="2"/>
  <c r="G655" i="2"/>
  <c r="H654" i="2"/>
  <c r="G654" i="2"/>
  <c r="G653" i="2"/>
  <c r="H653" i="2"/>
  <c r="H652" i="2"/>
  <c r="G652" i="2"/>
  <c r="H651" i="2"/>
  <c r="G651" i="2"/>
  <c r="H650" i="2"/>
  <c r="G650" i="2"/>
  <c r="H649" i="2"/>
  <c r="G649" i="2"/>
  <c r="G648" i="2"/>
  <c r="H648" i="2"/>
  <c r="H647" i="2"/>
  <c r="G647" i="2"/>
  <c r="H646" i="2"/>
  <c r="G646" i="2"/>
  <c r="H645" i="2"/>
  <c r="G645" i="2"/>
  <c r="H644" i="2"/>
  <c r="G644" i="2"/>
  <c r="G643" i="2"/>
  <c r="H643" i="2"/>
  <c r="H642" i="2"/>
  <c r="G642" i="2"/>
  <c r="H641" i="2"/>
  <c r="G641" i="2"/>
  <c r="G640" i="2"/>
  <c r="H640" i="2"/>
  <c r="G639" i="2"/>
  <c r="H639" i="2"/>
  <c r="G638" i="2"/>
  <c r="H638" i="2"/>
  <c r="H637" i="2"/>
  <c r="G637" i="2"/>
  <c r="G636" i="2"/>
  <c r="H636" i="2"/>
  <c r="H635" i="2"/>
  <c r="G635" i="2"/>
  <c r="G634" i="2"/>
  <c r="H634" i="2"/>
  <c r="G633" i="2"/>
  <c r="H633" i="2"/>
  <c r="H632" i="2"/>
  <c r="G632" i="2"/>
  <c r="H631" i="2"/>
  <c r="G631" i="2"/>
  <c r="H630" i="2"/>
  <c r="G630" i="2"/>
  <c r="H629" i="2"/>
  <c r="G629" i="2"/>
  <c r="G628" i="2"/>
  <c r="H628" i="2"/>
  <c r="G627" i="2"/>
  <c r="H627" i="2"/>
  <c r="H626" i="2"/>
  <c r="G626" i="2"/>
  <c r="H625" i="2"/>
  <c r="G625" i="2"/>
  <c r="H624" i="2"/>
  <c r="G624" i="2"/>
  <c r="G623" i="2"/>
  <c r="H623" i="2"/>
  <c r="G622" i="2"/>
  <c r="H622" i="2"/>
  <c r="H621" i="2"/>
  <c r="G621" i="2"/>
  <c r="G620" i="2"/>
  <c r="H620" i="2"/>
  <c r="G619" i="2"/>
  <c r="H619" i="2"/>
  <c r="G618" i="2"/>
  <c r="H618" i="2"/>
  <c r="G617" i="2"/>
  <c r="H617" i="2"/>
  <c r="G616" i="2"/>
  <c r="H616" i="2"/>
  <c r="H615" i="2"/>
  <c r="G615" i="2"/>
  <c r="G614" i="2"/>
  <c r="H614" i="2"/>
  <c r="G613" i="2"/>
  <c r="H613" i="2"/>
  <c r="G612" i="2"/>
  <c r="H612" i="2"/>
  <c r="G611" i="2"/>
  <c r="H611" i="2"/>
  <c r="G610" i="2"/>
  <c r="H610" i="2"/>
  <c r="G609" i="2"/>
  <c r="H609" i="2"/>
  <c r="G608" i="2"/>
  <c r="H608" i="2"/>
  <c r="H607" i="2"/>
  <c r="G607" i="2"/>
  <c r="G606" i="2"/>
  <c r="H606" i="2"/>
  <c r="G605" i="2"/>
  <c r="H605" i="2"/>
  <c r="H604" i="2"/>
  <c r="G604" i="2"/>
  <c r="G603" i="2"/>
  <c r="H603" i="2"/>
  <c r="H602" i="2"/>
  <c r="G602" i="2"/>
  <c r="G601" i="2"/>
  <c r="H601" i="2"/>
  <c r="H600" i="2"/>
  <c r="G600" i="2"/>
  <c r="H599" i="2"/>
  <c r="G599" i="2"/>
  <c r="H598" i="2"/>
  <c r="G598" i="2"/>
  <c r="H597" i="2"/>
  <c r="G597" i="2"/>
  <c r="H596" i="2"/>
  <c r="G596" i="2"/>
  <c r="H595" i="2"/>
  <c r="G595" i="2"/>
  <c r="H594" i="2"/>
  <c r="G594" i="2"/>
  <c r="G593" i="2"/>
  <c r="H593" i="2"/>
  <c r="G592" i="2"/>
  <c r="H592" i="2"/>
  <c r="G591" i="2"/>
  <c r="H591" i="2"/>
  <c r="G590" i="2"/>
  <c r="H590" i="2"/>
  <c r="H589" i="2"/>
  <c r="G589" i="2"/>
  <c r="H588" i="2"/>
  <c r="G588" i="2"/>
  <c r="H587" i="2"/>
  <c r="G587" i="2"/>
  <c r="H586" i="2"/>
  <c r="G586" i="2"/>
  <c r="H585" i="2"/>
  <c r="G585" i="2"/>
  <c r="H584" i="2"/>
  <c r="G584" i="2"/>
  <c r="H583" i="2"/>
  <c r="G583" i="2"/>
  <c r="H582" i="2"/>
  <c r="G582" i="2"/>
  <c r="H581" i="2"/>
  <c r="G581" i="2"/>
  <c r="H580" i="2"/>
  <c r="G580" i="2"/>
  <c r="G579" i="2"/>
  <c r="H579" i="2"/>
  <c r="G578" i="2"/>
  <c r="H578" i="2"/>
  <c r="H577" i="2"/>
  <c r="G577" i="2"/>
  <c r="H576" i="2"/>
  <c r="G576" i="2"/>
  <c r="H575" i="2"/>
  <c r="G575" i="2"/>
  <c r="G574" i="2"/>
  <c r="H574" i="2"/>
  <c r="G573" i="2"/>
  <c r="H573" i="2"/>
  <c r="H572" i="2"/>
  <c r="G572" i="2"/>
  <c r="H571" i="2"/>
  <c r="G571" i="2"/>
  <c r="H570" i="2"/>
  <c r="G570" i="2"/>
  <c r="H569" i="2"/>
  <c r="G569" i="2"/>
  <c r="H568" i="2"/>
  <c r="G568" i="2"/>
  <c r="G567" i="2"/>
  <c r="H567" i="2"/>
  <c r="H566" i="2"/>
  <c r="G566" i="2"/>
  <c r="H565" i="2"/>
  <c r="G565" i="2"/>
  <c r="G564" i="2"/>
  <c r="H564" i="2"/>
  <c r="G563" i="2"/>
  <c r="H563" i="2"/>
  <c r="G562" i="2"/>
  <c r="H562" i="2"/>
  <c r="G561" i="2"/>
  <c r="H561" i="2"/>
  <c r="H560" i="2"/>
  <c r="G560" i="2"/>
  <c r="H559" i="2"/>
  <c r="G559" i="2"/>
  <c r="G558" i="2"/>
  <c r="H558" i="2"/>
  <c r="G557" i="2"/>
  <c r="H557" i="2"/>
  <c r="H556" i="2"/>
  <c r="G556" i="2"/>
  <c r="G555" i="2"/>
  <c r="H555" i="2"/>
  <c r="G554" i="2"/>
  <c r="H554" i="2"/>
  <c r="G553" i="2"/>
  <c r="H553" i="2"/>
  <c r="G552" i="2"/>
  <c r="H552" i="2"/>
  <c r="G551" i="2"/>
  <c r="H551" i="2"/>
  <c r="G550" i="2"/>
  <c r="H550" i="2"/>
  <c r="G549" i="2"/>
  <c r="H549" i="2"/>
  <c r="G548" i="2"/>
  <c r="H548" i="2"/>
  <c r="G547" i="2"/>
  <c r="H547" i="2"/>
  <c r="G546" i="2"/>
  <c r="H546" i="2"/>
  <c r="G545" i="2"/>
  <c r="H545" i="2"/>
  <c r="G544" i="2"/>
  <c r="H544" i="2"/>
  <c r="G543" i="2"/>
  <c r="H543" i="2"/>
  <c r="H542" i="2"/>
  <c r="G542" i="2"/>
  <c r="H541" i="2"/>
  <c r="G541" i="2"/>
  <c r="H540" i="2"/>
  <c r="G540" i="2"/>
  <c r="H539" i="2"/>
  <c r="G539" i="2"/>
  <c r="H538" i="2"/>
  <c r="G538" i="2"/>
  <c r="H537" i="2"/>
  <c r="G537" i="2"/>
  <c r="H536" i="2"/>
  <c r="G536" i="2"/>
  <c r="H535" i="2"/>
  <c r="G535" i="2"/>
  <c r="H534" i="2"/>
  <c r="G534" i="2"/>
  <c r="H533" i="2"/>
  <c r="G533" i="2"/>
  <c r="G532" i="2"/>
  <c r="H532" i="2"/>
  <c r="G531" i="2"/>
  <c r="H531" i="2"/>
  <c r="H530" i="2"/>
  <c r="G530" i="2"/>
  <c r="H529" i="2"/>
  <c r="G529" i="2"/>
  <c r="H528" i="2"/>
  <c r="G528" i="2"/>
  <c r="H527" i="2"/>
  <c r="G527" i="2"/>
  <c r="H526" i="2"/>
  <c r="G526" i="2"/>
  <c r="H525" i="2"/>
  <c r="G525" i="2"/>
  <c r="G524" i="2"/>
  <c r="H524" i="2"/>
  <c r="G523" i="2"/>
  <c r="H523" i="2"/>
  <c r="H522" i="2"/>
  <c r="G522" i="2"/>
  <c r="G521" i="2"/>
  <c r="H521" i="2"/>
  <c r="G520" i="2"/>
  <c r="H520" i="2"/>
  <c r="H519" i="2"/>
  <c r="G519" i="2"/>
  <c r="H518" i="2"/>
  <c r="G518" i="2"/>
  <c r="G517" i="2"/>
  <c r="H517" i="2"/>
  <c r="H516" i="2"/>
  <c r="G516" i="2"/>
  <c r="H515" i="2"/>
  <c r="G515" i="2"/>
  <c r="H514" i="2"/>
  <c r="G514" i="2"/>
  <c r="G513" i="2"/>
  <c r="H513" i="2"/>
  <c r="G512" i="2"/>
  <c r="H512" i="2"/>
  <c r="G511" i="2"/>
  <c r="H511" i="2"/>
  <c r="G510" i="2"/>
  <c r="H510" i="2"/>
  <c r="H509" i="2"/>
  <c r="G509" i="2"/>
  <c r="G508" i="2"/>
  <c r="H508" i="2"/>
  <c r="G507" i="2"/>
  <c r="H507" i="2"/>
  <c r="G506" i="2"/>
  <c r="H506" i="2"/>
  <c r="H505" i="2"/>
  <c r="G505" i="2"/>
  <c r="H504" i="2"/>
  <c r="G504" i="2"/>
  <c r="G503" i="2"/>
  <c r="H503" i="2"/>
  <c r="G502" i="2"/>
  <c r="H502" i="2"/>
  <c r="G501" i="2"/>
  <c r="H501" i="2"/>
  <c r="G500" i="2"/>
  <c r="H500" i="2"/>
  <c r="G499" i="2"/>
  <c r="H499" i="2"/>
  <c r="H498" i="2"/>
  <c r="G498" i="2"/>
  <c r="H497" i="2"/>
  <c r="G497" i="2"/>
  <c r="H496" i="2"/>
  <c r="G496" i="2"/>
  <c r="H495" i="2"/>
  <c r="G495" i="2"/>
  <c r="G494" i="2"/>
  <c r="H494" i="2"/>
  <c r="G493" i="2"/>
  <c r="H493" i="2"/>
  <c r="G492" i="2"/>
  <c r="H492" i="2"/>
  <c r="G491" i="2"/>
  <c r="H491" i="2"/>
  <c r="H490" i="2"/>
  <c r="G490" i="2"/>
  <c r="H489" i="2"/>
  <c r="G489" i="2"/>
  <c r="G488" i="2"/>
  <c r="H488" i="2"/>
  <c r="G487" i="2"/>
  <c r="H487" i="2"/>
  <c r="H486" i="2"/>
  <c r="G486" i="2"/>
  <c r="G485" i="2"/>
  <c r="H485" i="2"/>
  <c r="H484" i="2"/>
  <c r="G484" i="2"/>
  <c r="G483" i="2"/>
  <c r="H483" i="2"/>
  <c r="G482" i="2"/>
  <c r="H482" i="2"/>
  <c r="G481" i="2"/>
  <c r="H481" i="2"/>
  <c r="G480" i="2"/>
  <c r="H480" i="2"/>
  <c r="H479" i="2"/>
  <c r="G479" i="2"/>
  <c r="H478" i="2"/>
  <c r="G478" i="2"/>
  <c r="H477" i="2"/>
  <c r="G477" i="2"/>
  <c r="H476" i="2"/>
  <c r="G476" i="2"/>
  <c r="G475" i="2"/>
  <c r="H475" i="2"/>
  <c r="G474" i="2"/>
  <c r="H474" i="2"/>
  <c r="H473" i="2"/>
  <c r="G473" i="2"/>
  <c r="G472" i="2"/>
  <c r="H472" i="2"/>
  <c r="H471" i="2"/>
  <c r="G471" i="2"/>
  <c r="H470" i="2"/>
  <c r="G470" i="2"/>
  <c r="G469" i="2"/>
  <c r="H469" i="2"/>
  <c r="H468" i="2"/>
  <c r="G468" i="2"/>
  <c r="H467" i="2"/>
  <c r="G467" i="2"/>
  <c r="H466" i="2"/>
  <c r="G466" i="2"/>
  <c r="H465" i="2"/>
  <c r="G465" i="2"/>
  <c r="H464" i="2"/>
  <c r="G464" i="2"/>
  <c r="H463" i="2"/>
  <c r="G463" i="2"/>
  <c r="H462" i="2"/>
  <c r="G462" i="2"/>
  <c r="H461" i="2"/>
  <c r="G461" i="2"/>
  <c r="H460" i="2"/>
  <c r="G460" i="2"/>
  <c r="H459" i="2"/>
  <c r="G459" i="2"/>
  <c r="H458" i="2"/>
  <c r="G458" i="2"/>
  <c r="H457" i="2"/>
  <c r="G457" i="2"/>
  <c r="H456" i="2"/>
  <c r="G456" i="2"/>
  <c r="H455" i="2"/>
  <c r="G455" i="2"/>
  <c r="H454" i="2"/>
  <c r="G454" i="2"/>
  <c r="H453" i="2"/>
  <c r="G453" i="2"/>
  <c r="H452" i="2"/>
  <c r="G452" i="2"/>
  <c r="G451" i="2"/>
  <c r="H451" i="2"/>
  <c r="H450" i="2"/>
  <c r="G450" i="2"/>
  <c r="H449" i="2"/>
  <c r="G449" i="2"/>
  <c r="H448" i="2"/>
  <c r="G448" i="2"/>
  <c r="G447" i="2"/>
  <c r="H447" i="2"/>
  <c r="G446" i="2"/>
  <c r="H446" i="2"/>
  <c r="G445" i="2"/>
  <c r="H445" i="2"/>
  <c r="G444" i="2"/>
  <c r="H444" i="2"/>
  <c r="H443" i="2"/>
  <c r="G443" i="2"/>
  <c r="H442" i="2"/>
  <c r="G442" i="2"/>
  <c r="H441" i="2"/>
  <c r="G441" i="2"/>
  <c r="G440" i="2"/>
  <c r="H440" i="2"/>
  <c r="H439" i="2"/>
  <c r="G439" i="2"/>
  <c r="H438" i="2"/>
  <c r="G438" i="2"/>
  <c r="H437" i="2"/>
  <c r="G437" i="2"/>
  <c r="H436" i="2"/>
  <c r="G436" i="2"/>
  <c r="H435" i="2"/>
  <c r="G435" i="2"/>
  <c r="H434" i="2"/>
  <c r="G434" i="2"/>
  <c r="H433" i="2"/>
  <c r="G433" i="2"/>
  <c r="H432" i="2"/>
  <c r="G432" i="2"/>
  <c r="H431" i="2"/>
  <c r="G431" i="2"/>
  <c r="H430" i="2"/>
  <c r="G430" i="2"/>
  <c r="G429" i="2"/>
  <c r="H429" i="2"/>
  <c r="G428" i="2"/>
  <c r="H428" i="2"/>
  <c r="H427" i="2"/>
  <c r="G427" i="2"/>
  <c r="H426" i="2"/>
  <c r="G426" i="2"/>
  <c r="G425" i="2"/>
  <c r="H425" i="2"/>
  <c r="H424" i="2"/>
  <c r="G424" i="2"/>
  <c r="G423" i="2"/>
  <c r="H423" i="2"/>
  <c r="H422" i="2"/>
  <c r="G422" i="2"/>
  <c r="H421" i="2"/>
  <c r="G421" i="2"/>
  <c r="G420" i="2"/>
  <c r="H420" i="2"/>
  <c r="H419" i="2"/>
  <c r="G419" i="2"/>
  <c r="H418" i="2"/>
  <c r="G418" i="2"/>
  <c r="H417" i="2"/>
  <c r="G417" i="2"/>
  <c r="G416" i="2"/>
  <c r="H416" i="2"/>
  <c r="G415" i="2"/>
  <c r="H415" i="2"/>
  <c r="G414" i="2"/>
  <c r="H414" i="2"/>
  <c r="G413" i="2"/>
  <c r="H413" i="2"/>
  <c r="G412" i="2"/>
  <c r="H412" i="2"/>
  <c r="H411" i="2"/>
  <c r="G411" i="2"/>
  <c r="G410" i="2"/>
  <c r="H410" i="2"/>
  <c r="G409" i="2"/>
  <c r="H409" i="2"/>
  <c r="G408" i="2"/>
  <c r="H408" i="2"/>
  <c r="G407" i="2"/>
  <c r="H407" i="2"/>
  <c r="G406" i="2"/>
  <c r="H406" i="2"/>
  <c r="H405" i="2"/>
  <c r="G405" i="2"/>
  <c r="G404" i="2"/>
  <c r="H404" i="2"/>
  <c r="G403" i="2"/>
  <c r="H403" i="2"/>
  <c r="G402" i="2"/>
  <c r="H402" i="2"/>
  <c r="G401" i="2"/>
  <c r="H401" i="2"/>
  <c r="G400" i="2"/>
  <c r="H400" i="2"/>
  <c r="G399" i="2"/>
  <c r="H399" i="2"/>
  <c r="H398" i="2"/>
  <c r="G398" i="2"/>
  <c r="H397" i="2"/>
  <c r="G397" i="2"/>
  <c r="G396" i="2"/>
  <c r="H396" i="2"/>
  <c r="H395" i="2"/>
  <c r="G395" i="2"/>
  <c r="H394" i="2"/>
  <c r="G394" i="2"/>
  <c r="H393" i="2"/>
  <c r="G393" i="2"/>
  <c r="G392" i="2"/>
  <c r="H392" i="2"/>
  <c r="H391" i="2"/>
  <c r="G391" i="2"/>
  <c r="H390" i="2"/>
  <c r="G390" i="2"/>
  <c r="H389" i="2"/>
  <c r="G389" i="2"/>
  <c r="H388" i="2"/>
  <c r="G388" i="2"/>
  <c r="H387" i="2"/>
  <c r="G387" i="2"/>
  <c r="G386" i="2"/>
  <c r="H386" i="2"/>
  <c r="G385" i="2"/>
  <c r="H385" i="2"/>
  <c r="H384" i="2"/>
  <c r="G384" i="2"/>
  <c r="H383" i="2"/>
  <c r="G383" i="2"/>
  <c r="G382" i="2"/>
  <c r="H382" i="2"/>
  <c r="G381" i="2"/>
  <c r="H381" i="2"/>
  <c r="G380" i="2"/>
  <c r="H380" i="2"/>
  <c r="H379" i="2"/>
  <c r="G379" i="2"/>
  <c r="G378" i="2"/>
  <c r="H378" i="2"/>
  <c r="H377" i="2"/>
  <c r="G377" i="2"/>
  <c r="H376" i="2"/>
  <c r="G376" i="2"/>
  <c r="G375" i="2"/>
  <c r="H375" i="2"/>
  <c r="H374" i="2"/>
  <c r="G374" i="2"/>
  <c r="H373" i="2"/>
  <c r="G373" i="2"/>
  <c r="H372" i="2"/>
  <c r="G372" i="2"/>
  <c r="H371" i="2"/>
  <c r="G371" i="2"/>
  <c r="H370" i="2"/>
  <c r="G370" i="2"/>
  <c r="H369" i="2"/>
  <c r="G369" i="2"/>
  <c r="H368" i="2"/>
  <c r="G368" i="2"/>
  <c r="H367" i="2"/>
  <c r="G367" i="2"/>
  <c r="G366" i="2"/>
  <c r="H366" i="2"/>
  <c r="H365" i="2"/>
  <c r="G365" i="2"/>
  <c r="H364" i="2"/>
  <c r="G364" i="2"/>
  <c r="H363" i="2"/>
  <c r="G363" i="2"/>
  <c r="H362" i="2"/>
  <c r="G362" i="2"/>
  <c r="H361" i="2"/>
  <c r="G361" i="2"/>
  <c r="G360" i="2"/>
  <c r="H360" i="2"/>
  <c r="G359" i="2"/>
  <c r="H359" i="2"/>
  <c r="G358" i="2"/>
  <c r="H358" i="2"/>
  <c r="G357" i="2"/>
  <c r="H357" i="2"/>
  <c r="H356" i="2"/>
  <c r="G356" i="2"/>
  <c r="G355" i="2"/>
  <c r="H355" i="2"/>
  <c r="H354" i="2"/>
  <c r="G354" i="2"/>
  <c r="G353" i="2"/>
  <c r="H353" i="2"/>
  <c r="H352" i="2"/>
  <c r="G352" i="2"/>
  <c r="H351" i="2"/>
  <c r="G351" i="2"/>
  <c r="G350" i="2"/>
  <c r="H350" i="2"/>
  <c r="H349" i="2"/>
  <c r="G349" i="2"/>
  <c r="H348" i="2"/>
  <c r="G348" i="2"/>
  <c r="G347" i="2"/>
  <c r="H347" i="2"/>
  <c r="G346" i="2"/>
  <c r="H346" i="2"/>
  <c r="G345" i="2"/>
  <c r="H345" i="2"/>
  <c r="G344" i="2"/>
  <c r="H344" i="2"/>
  <c r="H343" i="2"/>
  <c r="G343" i="2"/>
  <c r="G342" i="2"/>
  <c r="H342" i="2"/>
  <c r="H341" i="2"/>
  <c r="G341" i="2"/>
  <c r="G340" i="2"/>
  <c r="H340" i="2"/>
  <c r="G339" i="2"/>
  <c r="H339" i="2"/>
  <c r="H338" i="2"/>
  <c r="G338" i="2"/>
  <c r="G337" i="2"/>
  <c r="H337" i="2"/>
  <c r="H336" i="2"/>
  <c r="G336" i="2"/>
  <c r="G335" i="2"/>
  <c r="H335" i="2"/>
  <c r="G334" i="2"/>
  <c r="H334" i="2"/>
  <c r="H333" i="2"/>
  <c r="G333" i="2"/>
  <c r="H332" i="2"/>
  <c r="G332" i="2"/>
  <c r="G331" i="2"/>
  <c r="H331" i="2"/>
  <c r="G330" i="2"/>
  <c r="H330" i="2"/>
  <c r="G329" i="2"/>
  <c r="H329" i="2"/>
  <c r="G328" i="2"/>
  <c r="H328" i="2"/>
  <c r="G327" i="2"/>
  <c r="H327" i="2"/>
  <c r="G326" i="2"/>
  <c r="H326" i="2"/>
  <c r="G325" i="2"/>
  <c r="H325" i="2"/>
  <c r="G324" i="2"/>
  <c r="H324" i="2"/>
  <c r="H323" i="2"/>
  <c r="G323" i="2"/>
  <c r="G322" i="2"/>
  <c r="H322" i="2"/>
  <c r="G321" i="2"/>
  <c r="H321" i="2"/>
  <c r="G320" i="2"/>
  <c r="H320" i="2"/>
  <c r="H319" i="2"/>
  <c r="G319" i="2"/>
  <c r="H318" i="2"/>
  <c r="G318" i="2"/>
  <c r="H317" i="2"/>
  <c r="G317" i="2"/>
  <c r="H316" i="2"/>
  <c r="G316" i="2"/>
  <c r="H315" i="2"/>
  <c r="G315" i="2"/>
  <c r="H314" i="2"/>
  <c r="G314" i="2"/>
  <c r="G313" i="2"/>
  <c r="H313" i="2"/>
  <c r="H312" i="2"/>
  <c r="G312" i="2"/>
  <c r="G311" i="2"/>
  <c r="H311" i="2"/>
  <c r="H310" i="2"/>
  <c r="G310" i="2"/>
  <c r="H309" i="2"/>
  <c r="G309" i="2"/>
  <c r="G308" i="2"/>
  <c r="H308" i="2"/>
  <c r="H307" i="2"/>
  <c r="G307" i="2"/>
  <c r="G306" i="2"/>
  <c r="H306" i="2"/>
  <c r="H305" i="2"/>
  <c r="G305" i="2"/>
  <c r="G304" i="2"/>
  <c r="H304" i="2"/>
  <c r="H303" i="2"/>
  <c r="G303" i="2"/>
  <c r="H302" i="2"/>
  <c r="G302" i="2"/>
  <c r="H301" i="2"/>
  <c r="G301" i="2"/>
  <c r="H300" i="2"/>
  <c r="G300" i="2"/>
  <c r="H299" i="2"/>
  <c r="G299" i="2"/>
  <c r="H298" i="2"/>
  <c r="G298" i="2"/>
  <c r="H297" i="2"/>
  <c r="G297" i="2"/>
  <c r="G296" i="2"/>
  <c r="H296" i="2"/>
  <c r="G295" i="2"/>
  <c r="H295" i="2"/>
  <c r="G294" i="2"/>
  <c r="H294" i="2"/>
  <c r="G293" i="2"/>
  <c r="H293" i="2"/>
  <c r="H292" i="2"/>
  <c r="G292" i="2"/>
  <c r="G291" i="2"/>
  <c r="H291" i="2"/>
  <c r="G290" i="2"/>
  <c r="H290" i="2"/>
  <c r="G289" i="2"/>
  <c r="H289" i="2"/>
  <c r="H288" i="2"/>
  <c r="G288" i="2"/>
  <c r="G287" i="2"/>
  <c r="H287" i="2"/>
  <c r="H286" i="2"/>
  <c r="G286" i="2"/>
  <c r="G285" i="2"/>
  <c r="H285" i="2"/>
  <c r="H284" i="2"/>
  <c r="G284" i="2"/>
  <c r="G283" i="2"/>
  <c r="H283" i="2"/>
  <c r="H282" i="2"/>
  <c r="G282" i="2"/>
  <c r="G281" i="2"/>
  <c r="H281" i="2"/>
  <c r="H280" i="2"/>
  <c r="G280" i="2"/>
  <c r="H279" i="2"/>
  <c r="G279" i="2"/>
  <c r="G278" i="2"/>
  <c r="H278" i="2"/>
  <c r="G277" i="2"/>
  <c r="H277" i="2"/>
  <c r="G276" i="2"/>
  <c r="H276" i="2"/>
  <c r="G274" i="2"/>
  <c r="H274" i="2"/>
  <c r="H273" i="2"/>
  <c r="G273" i="2"/>
  <c r="H272" i="2"/>
  <c r="G272" i="2"/>
  <c r="H271" i="2"/>
  <c r="G271" i="2"/>
  <c r="H270" i="2"/>
  <c r="G270" i="2"/>
  <c r="H269" i="2"/>
  <c r="G269" i="2"/>
  <c r="G268" i="2"/>
  <c r="H268" i="2"/>
  <c r="H267" i="2"/>
  <c r="G267" i="2"/>
  <c r="G266" i="2"/>
  <c r="H266" i="2"/>
  <c r="H265" i="2"/>
  <c r="G265" i="2"/>
  <c r="G264" i="2"/>
  <c r="H264" i="2"/>
  <c r="H263" i="2"/>
  <c r="G263" i="2"/>
  <c r="G262" i="2"/>
  <c r="H262" i="2"/>
  <c r="H261" i="2"/>
  <c r="G261" i="2"/>
  <c r="H260" i="2"/>
  <c r="G260" i="2"/>
  <c r="G259" i="2"/>
  <c r="H259" i="2"/>
  <c r="H258" i="2"/>
  <c r="G258" i="2"/>
  <c r="G257" i="2"/>
  <c r="H257" i="2"/>
  <c r="H256" i="2"/>
  <c r="G256" i="2"/>
  <c r="G255" i="2"/>
  <c r="H255" i="2"/>
  <c r="H254" i="2"/>
  <c r="G254" i="2"/>
  <c r="H253" i="2"/>
  <c r="G253" i="2"/>
  <c r="G252" i="2"/>
  <c r="H252" i="2"/>
  <c r="H251" i="2"/>
  <c r="G251" i="2"/>
  <c r="H250" i="2"/>
  <c r="G250" i="2"/>
  <c r="H249" i="2"/>
  <c r="G249" i="2"/>
  <c r="H248" i="2"/>
  <c r="G248" i="2"/>
  <c r="G247" i="2"/>
  <c r="H247" i="2"/>
  <c r="G246" i="2"/>
  <c r="H246" i="2"/>
  <c r="H245" i="2"/>
  <c r="G245" i="2"/>
  <c r="G244" i="2"/>
  <c r="H244" i="2"/>
  <c r="H243" i="2"/>
  <c r="G243" i="2"/>
  <c r="H242" i="2"/>
  <c r="G242" i="2"/>
  <c r="G241" i="2"/>
  <c r="H241" i="2"/>
  <c r="G240" i="2"/>
  <c r="H240" i="2"/>
  <c r="H239" i="2"/>
  <c r="G239" i="2"/>
  <c r="H238" i="2"/>
  <c r="G238" i="2"/>
  <c r="H237" i="2"/>
  <c r="G237" i="2"/>
  <c r="H236" i="2"/>
  <c r="G236" i="2"/>
  <c r="H235" i="2"/>
  <c r="G235" i="2"/>
  <c r="G234" i="2"/>
  <c r="H234" i="2"/>
  <c r="G233" i="2"/>
  <c r="H233" i="2"/>
  <c r="G232" i="2"/>
  <c r="H232" i="2"/>
  <c r="G231" i="2"/>
  <c r="H231" i="2"/>
  <c r="G230" i="2"/>
  <c r="H230" i="2"/>
  <c r="G229" i="2"/>
  <c r="H229" i="2"/>
  <c r="G228" i="2"/>
  <c r="H228" i="2"/>
  <c r="H227" i="2"/>
  <c r="G227" i="2"/>
  <c r="H226" i="2"/>
  <c r="G226" i="2"/>
  <c r="H225" i="2"/>
  <c r="G225" i="2"/>
  <c r="G224" i="2"/>
  <c r="H224" i="2"/>
  <c r="H223" i="2"/>
  <c r="G223" i="2"/>
  <c r="G222" i="2"/>
  <c r="H222" i="2"/>
  <c r="G221" i="2"/>
  <c r="H221" i="2"/>
  <c r="H220" i="2"/>
  <c r="G220" i="2"/>
  <c r="G219" i="2"/>
  <c r="H219" i="2"/>
  <c r="G218" i="2"/>
  <c r="H218" i="2"/>
  <c r="H217" i="2"/>
  <c r="G217" i="2"/>
  <c r="G216" i="2"/>
  <c r="H216" i="2"/>
  <c r="H215" i="2"/>
  <c r="G215" i="2"/>
  <c r="G214" i="2"/>
  <c r="H214" i="2"/>
  <c r="H213" i="2"/>
  <c r="G213" i="2"/>
  <c r="G212" i="2"/>
  <c r="H212" i="2"/>
  <c r="G211" i="2"/>
  <c r="H211" i="2"/>
  <c r="H210" i="2"/>
  <c r="G210" i="2"/>
  <c r="G209" i="2"/>
  <c r="H209" i="2"/>
  <c r="G208" i="2"/>
  <c r="H208" i="2"/>
  <c r="G207" i="2"/>
  <c r="H207" i="2"/>
  <c r="G206" i="2"/>
  <c r="H206" i="2"/>
  <c r="H205" i="2"/>
  <c r="G205" i="2"/>
  <c r="G204" i="2"/>
  <c r="H204" i="2"/>
  <c r="G203" i="2"/>
  <c r="H203" i="2"/>
  <c r="G202" i="2"/>
  <c r="H202" i="2"/>
  <c r="H201" i="2"/>
  <c r="G201" i="2"/>
  <c r="G200" i="2"/>
  <c r="H200" i="2"/>
  <c r="H199" i="2"/>
  <c r="G199" i="2"/>
  <c r="H198" i="2"/>
  <c r="G198" i="2"/>
  <c r="G197" i="2"/>
  <c r="H197" i="2"/>
  <c r="H196" i="2"/>
  <c r="G196" i="2"/>
  <c r="G195" i="2"/>
  <c r="H195" i="2"/>
  <c r="G194" i="2"/>
  <c r="H194" i="2"/>
  <c r="G193" i="2"/>
  <c r="H193" i="2"/>
  <c r="H192" i="2"/>
  <c r="G192" i="2"/>
  <c r="G191" i="2"/>
  <c r="H191" i="2"/>
  <c r="G190" i="2"/>
  <c r="H190" i="2"/>
  <c r="G189" i="2"/>
  <c r="H189" i="2"/>
  <c r="H188" i="2"/>
  <c r="G188" i="2"/>
  <c r="G187" i="2"/>
  <c r="H187" i="2"/>
  <c r="G186" i="2"/>
  <c r="H186" i="2"/>
  <c r="H185" i="2"/>
  <c r="G185" i="2"/>
  <c r="H184" i="2"/>
  <c r="G184" i="2"/>
  <c r="G183" i="2"/>
  <c r="H183" i="2"/>
  <c r="H182" i="2"/>
  <c r="G182" i="2"/>
  <c r="G181" i="2"/>
  <c r="H181" i="2"/>
  <c r="H180" i="2"/>
  <c r="G180" i="2"/>
  <c r="H179" i="2"/>
  <c r="G179" i="2"/>
  <c r="H178" i="2"/>
  <c r="G178" i="2"/>
  <c r="H177" i="2"/>
  <c r="G177" i="2"/>
  <c r="G176" i="2"/>
  <c r="H176" i="2"/>
  <c r="H175" i="2"/>
  <c r="G175" i="2"/>
  <c r="H174" i="2"/>
  <c r="G174" i="2"/>
  <c r="H173" i="2"/>
  <c r="G173" i="2"/>
  <c r="G172" i="2"/>
  <c r="H172" i="2"/>
  <c r="G171" i="2"/>
  <c r="H171" i="2"/>
  <c r="G170" i="2"/>
  <c r="H170" i="2"/>
  <c r="G169" i="2"/>
  <c r="H169" i="2"/>
  <c r="G168" i="2"/>
  <c r="H168" i="2"/>
  <c r="H167" i="2"/>
  <c r="G167" i="2"/>
  <c r="G166" i="2"/>
  <c r="H166" i="2"/>
  <c r="H165" i="2"/>
  <c r="G165" i="2"/>
  <c r="G164" i="2"/>
  <c r="H164" i="2"/>
  <c r="H163" i="2"/>
  <c r="G163" i="2"/>
  <c r="H162" i="2"/>
  <c r="G162" i="2"/>
  <c r="G161" i="2"/>
  <c r="H161" i="2"/>
  <c r="G160" i="2"/>
  <c r="H160" i="2"/>
  <c r="H159" i="2"/>
  <c r="G159" i="2"/>
  <c r="H158" i="2"/>
  <c r="G158" i="2"/>
  <c r="H157" i="2"/>
  <c r="G157" i="2"/>
  <c r="G156" i="2"/>
  <c r="H156" i="2"/>
  <c r="H155" i="2"/>
  <c r="G155" i="2"/>
  <c r="G154" i="2"/>
  <c r="H154" i="2"/>
  <c r="H153" i="2"/>
  <c r="G153" i="2"/>
  <c r="G152" i="2"/>
  <c r="H152" i="2"/>
  <c r="G151" i="2"/>
  <c r="H151" i="2"/>
  <c r="G150" i="2"/>
  <c r="H150" i="2"/>
  <c r="G149" i="2"/>
  <c r="H149" i="2"/>
  <c r="G148" i="2"/>
  <c r="H148" i="2"/>
  <c r="G147" i="2"/>
  <c r="H147" i="2"/>
  <c r="H146" i="2"/>
  <c r="G146" i="2"/>
  <c r="H145" i="2"/>
  <c r="G145" i="2"/>
  <c r="H144" i="2"/>
  <c r="G144" i="2"/>
  <c r="G143" i="2"/>
  <c r="H143" i="2"/>
  <c r="G142" i="2"/>
  <c r="H142" i="2"/>
  <c r="H141" i="2"/>
  <c r="G141" i="2"/>
  <c r="G140" i="2"/>
  <c r="H140" i="2"/>
  <c r="H139" i="2"/>
  <c r="G139" i="2"/>
  <c r="G138" i="2"/>
  <c r="H138" i="2"/>
  <c r="G137" i="2"/>
  <c r="H137" i="2"/>
  <c r="H136" i="2"/>
  <c r="G136" i="2"/>
  <c r="G135" i="2"/>
  <c r="H135" i="2"/>
  <c r="H134" i="2"/>
  <c r="G134" i="2"/>
  <c r="H133" i="2"/>
  <c r="G133" i="2"/>
  <c r="H132" i="2"/>
  <c r="G132" i="2"/>
  <c r="G131" i="2"/>
  <c r="H131" i="2"/>
  <c r="H130" i="2"/>
  <c r="G130" i="2"/>
  <c r="H129" i="2"/>
  <c r="G129" i="2"/>
  <c r="H128" i="2"/>
  <c r="G128" i="2"/>
  <c r="H127" i="2"/>
  <c r="G127" i="2"/>
  <c r="G126" i="2"/>
  <c r="H126" i="2"/>
  <c r="G125" i="2"/>
  <c r="H125" i="2"/>
  <c r="G124" i="2"/>
  <c r="H124" i="2"/>
  <c r="H123" i="2"/>
  <c r="G123" i="2"/>
  <c r="G122" i="2"/>
  <c r="H122" i="2"/>
  <c r="G121" i="2"/>
  <c r="H121" i="2"/>
  <c r="H120" i="2"/>
  <c r="G120" i="2"/>
  <c r="G119" i="2"/>
  <c r="H119" i="2"/>
  <c r="H118" i="2"/>
  <c r="G118" i="2"/>
  <c r="H117" i="2"/>
  <c r="G117" i="2"/>
  <c r="H116" i="2"/>
  <c r="G116" i="2"/>
  <c r="G115" i="2"/>
  <c r="H115" i="2"/>
  <c r="G114" i="2"/>
  <c r="H114" i="2"/>
  <c r="H113" i="2"/>
  <c r="G113" i="2"/>
  <c r="G112" i="2"/>
  <c r="H112" i="2"/>
  <c r="G111" i="2"/>
  <c r="H111" i="2"/>
  <c r="H110" i="2"/>
  <c r="G110" i="2"/>
  <c r="G109" i="2"/>
  <c r="H109" i="2"/>
  <c r="G108" i="2"/>
  <c r="H108" i="2"/>
  <c r="G107" i="2"/>
  <c r="H107" i="2"/>
  <c r="H106" i="2"/>
  <c r="G106" i="2"/>
  <c r="G105" i="2"/>
  <c r="H105" i="2"/>
  <c r="G104" i="2"/>
  <c r="H104" i="2"/>
  <c r="G103" i="2"/>
  <c r="H103" i="2"/>
  <c r="H102" i="2"/>
  <c r="G102" i="2"/>
  <c r="G101" i="2"/>
  <c r="H101" i="2"/>
  <c r="G100" i="2"/>
  <c r="H100" i="2"/>
  <c r="H99" i="2"/>
  <c r="G99" i="2"/>
  <c r="G98" i="2"/>
  <c r="H98" i="2"/>
  <c r="G97" i="2"/>
  <c r="H97" i="2"/>
  <c r="G96" i="2"/>
  <c r="H96" i="2"/>
  <c r="G95" i="2"/>
  <c r="H95" i="2"/>
  <c r="H94" i="2"/>
  <c r="G94" i="2"/>
  <c r="H93" i="2"/>
  <c r="G93" i="2"/>
  <c r="G92" i="2"/>
  <c r="H92" i="2"/>
  <c r="G91" i="2"/>
  <c r="H91" i="2"/>
  <c r="G90" i="2"/>
  <c r="H90" i="2"/>
  <c r="G89" i="2"/>
  <c r="H89" i="2"/>
  <c r="G88" i="2"/>
  <c r="H88" i="2"/>
  <c r="H87" i="2"/>
  <c r="G87" i="2"/>
  <c r="G86" i="2"/>
  <c r="H86" i="2"/>
  <c r="H85" i="2"/>
  <c r="G85" i="2"/>
  <c r="H84" i="2"/>
  <c r="G84" i="2"/>
  <c r="H83" i="2"/>
  <c r="G83" i="2"/>
  <c r="G82" i="2"/>
  <c r="H82" i="2"/>
  <c r="G81" i="2"/>
  <c r="H81" i="2"/>
  <c r="H80" i="2"/>
  <c r="G80" i="2"/>
  <c r="H79" i="2"/>
  <c r="G79" i="2"/>
  <c r="H78" i="2"/>
  <c r="G78" i="2"/>
  <c r="H77" i="2"/>
  <c r="G77" i="2"/>
  <c r="H76" i="2"/>
  <c r="G76" i="2"/>
  <c r="H75" i="2"/>
  <c r="G75" i="2"/>
  <c r="G74" i="2"/>
  <c r="H74" i="2"/>
  <c r="H73" i="2"/>
  <c r="G73" i="2"/>
  <c r="G72" i="2"/>
  <c r="H72" i="2"/>
  <c r="G71" i="2"/>
  <c r="H71" i="2"/>
  <c r="H70" i="2"/>
  <c r="G70" i="2"/>
  <c r="H69" i="2"/>
  <c r="G69" i="2"/>
  <c r="G68" i="2"/>
  <c r="H68" i="2"/>
  <c r="H67" i="2"/>
  <c r="G67" i="2"/>
  <c r="H66" i="2"/>
  <c r="G66" i="2"/>
  <c r="G65" i="2"/>
  <c r="H65" i="2"/>
  <c r="H64" i="2"/>
  <c r="G64" i="2"/>
  <c r="H63" i="2"/>
  <c r="G63" i="2"/>
  <c r="G62" i="2"/>
  <c r="H62" i="2"/>
  <c r="H61" i="2"/>
  <c r="G61" i="2"/>
  <c r="G60" i="2"/>
  <c r="H60" i="2"/>
  <c r="H59" i="2"/>
  <c r="G59" i="2"/>
  <c r="G58" i="2"/>
  <c r="H58" i="2"/>
  <c r="H57" i="2"/>
  <c r="G57" i="2"/>
  <c r="H56" i="2"/>
  <c r="G56" i="2"/>
  <c r="H55" i="2"/>
  <c r="G55" i="2"/>
  <c r="H54" i="2"/>
  <c r="G54" i="2"/>
  <c r="H53" i="2"/>
  <c r="G53" i="2"/>
  <c r="G52" i="2"/>
  <c r="H52" i="2"/>
  <c r="G51" i="2"/>
  <c r="H51" i="2"/>
  <c r="H50" i="2"/>
  <c r="G50" i="2"/>
  <c r="G49" i="2"/>
  <c r="H49" i="2"/>
  <c r="H48" i="2"/>
  <c r="G48" i="2"/>
  <c r="H47" i="2"/>
  <c r="G47" i="2"/>
  <c r="G46" i="2"/>
  <c r="H46" i="2"/>
  <c r="G45" i="2"/>
  <c r="H45" i="2"/>
  <c r="H44" i="2"/>
  <c r="G44" i="2"/>
  <c r="H43" i="2"/>
  <c r="G43" i="2"/>
  <c r="G42" i="2"/>
  <c r="H42" i="2"/>
  <c r="H41" i="2"/>
  <c r="G41" i="2"/>
  <c r="G40" i="2"/>
  <c r="H40" i="2"/>
  <c r="H39" i="2"/>
  <c r="G39" i="2"/>
  <c r="G38" i="2"/>
  <c r="H38" i="2"/>
  <c r="G37" i="2"/>
  <c r="H37" i="2"/>
  <c r="G36" i="2"/>
  <c r="H36" i="2"/>
  <c r="G35" i="2"/>
  <c r="H35" i="2"/>
  <c r="H34" i="2"/>
  <c r="G34" i="2"/>
  <c r="H33" i="2"/>
  <c r="G33" i="2"/>
  <c r="H32" i="2"/>
  <c r="G32" i="2"/>
  <c r="G31" i="2"/>
  <c r="H31" i="2"/>
  <c r="G30" i="2"/>
  <c r="H30" i="2"/>
  <c r="H29" i="2"/>
  <c r="G29" i="2"/>
  <c r="G28" i="2"/>
  <c r="H28" i="2"/>
  <c r="H27" i="2"/>
  <c r="G27" i="2"/>
  <c r="G26" i="2"/>
  <c r="H26" i="2"/>
  <c r="G25" i="2"/>
  <c r="H25" i="2"/>
  <c r="H24" i="2"/>
  <c r="G24" i="2"/>
  <c r="G23" i="2"/>
  <c r="H23" i="2"/>
  <c r="H22" i="2"/>
  <c r="G22" i="2"/>
  <c r="H21" i="2"/>
  <c r="G21" i="2"/>
  <c r="H20" i="2"/>
  <c r="G20" i="2"/>
  <c r="G19" i="2"/>
  <c r="H19" i="2"/>
  <c r="H18" i="2"/>
  <c r="G18" i="2"/>
  <c r="G17" i="2"/>
  <c r="H17" i="2"/>
  <c r="H16" i="2"/>
  <c r="G16" i="2"/>
  <c r="G15" i="2"/>
  <c r="H15" i="2"/>
  <c r="G14" i="2"/>
  <c r="H14" i="2"/>
  <c r="G13" i="2"/>
  <c r="H13" i="2"/>
  <c r="G12" i="2"/>
  <c r="H12" i="2"/>
  <c r="G11" i="2"/>
  <c r="H11" i="2"/>
  <c r="H10" i="2"/>
  <c r="G10" i="2"/>
  <c r="G9" i="2"/>
  <c r="H9" i="2"/>
  <c r="G8" i="2"/>
  <c r="H8" i="2"/>
  <c r="H7" i="2"/>
  <c r="G7" i="2"/>
  <c r="G6" i="2"/>
  <c r="H6" i="2"/>
  <c r="G5" i="2"/>
  <c r="H5" i="2"/>
  <c r="H4" i="2"/>
  <c r="G4" i="2"/>
  <c r="H3" i="2"/>
  <c r="G3" i="2"/>
  <c r="H2" i="2"/>
</calcChain>
</file>

<file path=xl/sharedStrings.xml><?xml version="1.0" encoding="utf-8"?>
<sst xmlns="http://schemas.openxmlformats.org/spreadsheetml/2006/main" count="173" uniqueCount="76">
  <si>
    <t>Date</t>
  </si>
  <si>
    <t>Sales</t>
  </si>
  <si>
    <t>Cost Of Sales</t>
  </si>
  <si>
    <t>Quantity Sold</t>
  </si>
  <si>
    <t>Daily Sales Price Per Unit</t>
  </si>
  <si>
    <t>Gross Profit</t>
  </si>
  <si>
    <t>Gross Profit %</t>
  </si>
  <si>
    <t>Gross Profit Per Unit</t>
  </si>
  <si>
    <t>Month</t>
  </si>
  <si>
    <t>Total Sales</t>
  </si>
  <si>
    <t>Total Cost Of Sales</t>
  </si>
  <si>
    <t>Total Quantity Sold</t>
  </si>
  <si>
    <t>Average Unit Price</t>
  </si>
  <si>
    <t>Executive overview • Sales • Pricing • Profitability • Demand</t>
  </si>
  <si>
    <t>TOTAL SALES</t>
  </si>
  <si>
    <t>TOTAL QUANTITY</t>
  </si>
  <si>
    <t>GROSS PROFIT</t>
  </si>
  <si>
    <t>GROSS PROFIT %</t>
  </si>
  <si>
    <t>AVG UNIT PRICE</t>
  </si>
  <si>
    <t>Sum of Sales</t>
  </si>
  <si>
    <t>Sum of Quantity Sold</t>
  </si>
  <si>
    <t>Total Quantity</t>
  </si>
  <si>
    <t>Sum of Cost Of Sales</t>
  </si>
  <si>
    <t>Sum of Gross Profit</t>
  </si>
  <si>
    <t>Average of Gross Profit %</t>
  </si>
  <si>
    <t>Row Labels</t>
  </si>
  <si>
    <t>Grand Total</t>
  </si>
  <si>
    <t>2013</t>
  </si>
  <si>
    <t>2014</t>
  </si>
  <si>
    <t>2015</t>
  </si>
  <si>
    <t>2016</t>
  </si>
  <si>
    <t>Sum of Total Sales</t>
  </si>
  <si>
    <t>Jan</t>
  </si>
  <si>
    <t>Feb</t>
  </si>
  <si>
    <t>Mar</t>
  </si>
  <si>
    <t>Apr</t>
  </si>
  <si>
    <t>May</t>
  </si>
  <si>
    <t>Jun</t>
  </si>
  <si>
    <t>Jul</t>
  </si>
  <si>
    <t>Aug</t>
  </si>
  <si>
    <t>Sept</t>
  </si>
  <si>
    <t>Oct</t>
  </si>
  <si>
    <t>Nov</t>
  </si>
  <si>
    <t>Dec</t>
  </si>
  <si>
    <t>Sum of Total Quantity Sold</t>
  </si>
  <si>
    <t>Monthly sales Trend</t>
  </si>
  <si>
    <t>Monthly quantity Trend</t>
  </si>
  <si>
    <t>Monthly Gross Profit</t>
  </si>
  <si>
    <t>Sum of Average Unit Price</t>
  </si>
  <si>
    <t>Average Unit Price Trend</t>
  </si>
  <si>
    <t>Average of Quantity Sold</t>
  </si>
  <si>
    <t>Average of Average Unit Price</t>
  </si>
  <si>
    <t>Sum of Daily Sales Price Per Unit</t>
  </si>
  <si>
    <t>Average of Total Quantity Sold</t>
  </si>
  <si>
    <t>Qtr1</t>
  </si>
  <si>
    <t>Qtr2</t>
  </si>
  <si>
    <t>Qtr3</t>
  </si>
  <si>
    <t>Qtr4</t>
  </si>
  <si>
    <t>Column Labels</t>
  </si>
  <si>
    <t>Count of Cost Of Sales</t>
  </si>
  <si>
    <t>(All)</t>
  </si>
  <si>
    <t>Quarters (Date)</t>
  </si>
  <si>
    <t>FNB SALES PERFORMANCE DASHBOARD</t>
  </si>
  <si>
    <t>&lt;2013/12/01</t>
  </si>
  <si>
    <t>Key finding:** despite substantial revenue and volume, the product recorded an overall gross loss. **High sales volume does not automatically mean high profitability</t>
  </si>
  <si>
    <t>## 💡 Key Insights</t>
  </si>
  <si>
    <t>## 🎯 Business Recommendations</t>
  </si>
  <si>
    <r>
      <rPr>
        <b/>
        <sz val="11"/>
        <color theme="1"/>
        <rFont val="Calibri"/>
        <family val="2"/>
        <scheme val="minor"/>
      </rPr>
      <t>1. Volume without value.</t>
    </r>
    <r>
      <rPr>
        <sz val="11"/>
        <color theme="1"/>
        <rFont val="Calibri"/>
        <family val="2"/>
        <scheme val="minor"/>
      </rPr>
      <t>** ~R186.91M in sales and 5.28M units sold still produced a net gross loss of R7.12M — revenue and unit counts were rising while profitability was not,</t>
    </r>
  </si>
  <si>
    <r>
      <rPr>
        <b/>
        <sz val="11"/>
        <color theme="1"/>
        <rFont val="Calibri"/>
        <family val="2"/>
        <scheme val="minor"/>
      </rPr>
      <t>2. Customers are price-sensitive</t>
    </r>
    <r>
      <rPr>
        <sz val="11"/>
        <color theme="1"/>
        <rFont val="Calibri"/>
        <family val="2"/>
        <scheme val="minor"/>
      </rPr>
      <t>.** Periods of lower selling price consistently lined up with stronger demand, a signature of elastic demand — discounting moves units fast, but every point of price cut compounds against margin.</t>
    </r>
  </si>
  <si>
    <r>
      <t>3</t>
    </r>
    <r>
      <rPr>
        <b/>
        <sz val="11"/>
        <color theme="1"/>
        <rFont val="Calibri"/>
        <family val="2"/>
        <scheme val="minor"/>
      </rPr>
      <t>. Promotions moved volume</t>
    </r>
    <r>
      <rPr>
        <sz val="11"/>
        <color theme="1"/>
        <rFont val="Calibri"/>
        <family val="2"/>
        <scheme val="minor"/>
      </rPr>
      <t>, not necessarily value.** Promotional periods look successful on a units-sold view and materially weaker on a profit-per-unit view — the two tell different stories from the same data.</t>
    </r>
  </si>
  <si>
    <r>
      <rPr>
        <b/>
        <sz val="11"/>
        <color theme="1"/>
        <rFont val="Calibri"/>
        <family val="2"/>
        <scheme val="minor"/>
      </rPr>
      <t>4. Price and profit need to be watched together</t>
    </r>
    <r>
      <rPr>
        <sz val="11"/>
        <color theme="1"/>
        <rFont val="Calibri"/>
        <family val="2"/>
        <scheme val="minor"/>
      </rPr>
      <t>.** No single metric (sales, units, or price alone) explained the loss — it only became visible once price, cost, and quantity were modelled together as elasticity.</t>
    </r>
  </si>
  <si>
    <r>
      <t xml:space="preserve">| 1 | </t>
    </r>
    <r>
      <rPr>
        <b/>
        <sz val="11"/>
        <color theme="1"/>
        <rFont val="Calibri"/>
        <family val="2"/>
        <scheme val="minor"/>
      </rPr>
      <t>Review pricing strategy*</t>
    </r>
    <r>
      <rPr>
        <sz val="11"/>
        <color theme="1"/>
        <rFont val="Calibri"/>
        <family val="2"/>
        <scheme val="minor"/>
      </rPr>
      <t>* — ensure selling price consistently covers cost of sales | Removes the structural cause of the gross loss |</t>
    </r>
  </si>
  <si>
    <r>
      <rPr>
        <b/>
        <sz val="11"/>
        <color theme="1"/>
        <rFont val="Calibri"/>
        <family val="2"/>
        <scheme val="minor"/>
      </rPr>
      <t>| 2 | Optimise promotional pricing</t>
    </r>
    <r>
      <rPr>
        <sz val="11"/>
        <color theme="1"/>
        <rFont val="Calibri"/>
        <family val="2"/>
        <scheme val="minor"/>
      </rPr>
      <t>** — test discount depths that stimulate demand without dropping below margin-safe thresholds | Keeps the demand lift from promotions without the profit leak |</t>
    </r>
  </si>
  <si>
    <r>
      <t>| 3 |</t>
    </r>
    <r>
      <rPr>
        <b/>
        <sz val="11"/>
        <color theme="1"/>
        <rFont val="Calibri"/>
        <family val="2"/>
        <scheme val="minor"/>
      </rPr>
      <t xml:space="preserve"> Monitor unit economics** </t>
    </r>
    <r>
      <rPr>
        <sz val="11"/>
        <color theme="1"/>
        <rFont val="Calibri"/>
        <family val="2"/>
        <scheme val="minor"/>
      </rPr>
      <t>— track gross profit per unit alongside sales volume, not sales volume alone | Catches value-destroying growth before it compounds |</t>
    </r>
  </si>
  <si>
    <r>
      <t>|</t>
    </r>
    <r>
      <rPr>
        <b/>
        <sz val="11"/>
        <color theme="1"/>
        <rFont val="Calibri"/>
        <family val="2"/>
        <scheme val="minor"/>
      </rPr>
      <t xml:space="preserve"> 4 | Prioritise profitable growth**</t>
    </r>
    <r>
      <rPr>
        <sz val="11"/>
        <color theme="1"/>
        <rFont val="Calibri"/>
        <family val="2"/>
        <scheme val="minor"/>
      </rPr>
      <t xml:space="preserve"> — stop treating revenue and unit growth as success metrics in isolation | Reframes decision-making around margin, not vanity metrics |</t>
    </r>
  </si>
  <si>
    <r>
      <rPr>
        <b/>
        <sz val="11"/>
        <color theme="1"/>
        <rFont val="Calibri"/>
        <family val="2"/>
        <scheme val="minor"/>
      </rPr>
      <t>| 5 | Build a live pricing performance dashboard**</t>
    </r>
    <r>
      <rPr>
        <sz val="11"/>
        <color theme="1"/>
        <rFont val="Calibri"/>
        <family val="2"/>
        <scheme val="minor"/>
      </rPr>
      <t xml:space="preserve"> — price, quantity, margin and elasticity in one view | Turns this from a one-off finding into an ongoing early-warning system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</si>
</sst>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dd\-mmm\-yyyy"/>
    <numFmt numFmtId="165" formatCode="mmm\ yyyy"/>
    <numFmt numFmtId="166" formatCode="_-* #,##0_-;\-* #,##0_-;_-* &quot;-&quot;??_-;_-@_-"/>
  </numFmts>
  <fonts count="13" x14ac:knownFonts="1">
    <font>
      <sz val="11"/>
      <color theme="1"/>
      <name val="Calibri"/>
      <family val="2"/>
      <scheme val="minor"/>
    </font>
    <font>
      <b/>
      <sz val="11"/>
      <color rgb="FFFFFFFF"/>
      <name val="Calibri"/>
      <family val="2"/>
    </font>
    <font>
      <i/>
      <sz val="11"/>
      <color rgb="FF1F1F1F"/>
      <name val="Calibri"/>
      <family val="2"/>
    </font>
    <font>
      <b/>
      <sz val="18"/>
      <color rgb="FFFFFFFF"/>
      <name val="Calibri"/>
      <family val="2"/>
    </font>
    <font>
      <b/>
      <sz val="11"/>
      <color rgb="FF17365D"/>
      <name val="Calibri"/>
      <family val="2"/>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color rgb="FFFFFFFF"/>
      <name val="Calibri"/>
      <family val="2"/>
    </font>
    <font>
      <b/>
      <sz val="18"/>
      <color theme="0"/>
      <name val="Calibri"/>
      <family val="2"/>
    </font>
    <font>
      <sz val="8"/>
      <name val="Calibri"/>
      <family val="2"/>
      <scheme val="minor"/>
    </font>
    <font>
      <b/>
      <sz val="22"/>
      <color rgb="FFFFFFFF"/>
      <name val="Calibri"/>
      <family val="2"/>
    </font>
  </fonts>
  <fills count="11">
    <fill>
      <patternFill patternType="none"/>
    </fill>
    <fill>
      <patternFill patternType="gray125"/>
    </fill>
    <fill>
      <patternFill patternType="solid">
        <fgColor rgb="FF17365D"/>
      </patternFill>
    </fill>
    <fill>
      <patternFill patternType="solid">
        <fgColor rgb="FF00A6A6"/>
      </patternFill>
    </fill>
    <fill>
      <patternFill patternType="solid">
        <fgColor rgb="FFD9A441"/>
      </patternFill>
    </fill>
    <fill>
      <patternFill patternType="solid">
        <fgColor theme="4" tint="0.79998168889431442"/>
        <bgColor theme="4" tint="0.79998168889431442"/>
      </patternFill>
    </fill>
    <fill>
      <patternFill patternType="solid">
        <fgColor rgb="FF92D050"/>
        <bgColor indexed="64"/>
      </patternFill>
    </fill>
    <fill>
      <patternFill patternType="solid">
        <fgColor rgb="FFFF0000"/>
        <bgColor indexed="64"/>
      </patternFill>
    </fill>
    <fill>
      <patternFill patternType="solid">
        <fgColor theme="4"/>
        <bgColor theme="4"/>
      </patternFill>
    </fill>
    <fill>
      <patternFill patternType="solid">
        <fgColor theme="6" tint="0.59999389629810485"/>
        <bgColor indexed="64"/>
      </patternFill>
    </fill>
    <fill>
      <patternFill patternType="solid">
        <fgColor theme="3" tint="0.79998168889431442"/>
        <bgColor indexed="64"/>
      </patternFill>
    </fill>
  </fills>
  <borders count="6">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s>
  <cellStyleXfs count="3">
    <xf numFmtId="0" fontId="0" fillId="0" borderId="0"/>
    <xf numFmtId="43" fontId="5" fillId="0" borderId="0" applyFont="0" applyFill="0" applyBorder="0" applyAlignment="0" applyProtection="0"/>
    <xf numFmtId="9" fontId="5" fillId="0" borderId="0" applyFont="0" applyFill="0" applyBorder="0" applyAlignment="0" applyProtection="0"/>
  </cellStyleXfs>
  <cellXfs count="50">
    <xf numFmtId="0" fontId="0" fillId="0" borderId="0" xfId="0"/>
    <xf numFmtId="0" fontId="1" fillId="2" borderId="0" xfId="0" applyFont="1" applyFill="1" applyAlignment="1">
      <alignment horizontal="center"/>
    </xf>
    <xf numFmtId="164" fontId="0" fillId="0" borderId="0" xfId="0" applyNumberFormat="1"/>
    <xf numFmtId="4" fontId="0" fillId="0" borderId="0" xfId="0" applyNumberFormat="1"/>
    <xf numFmtId="0" fontId="1" fillId="3" borderId="0" xfId="0" applyFont="1" applyFill="1" applyAlignment="1">
      <alignment horizontal="center"/>
    </xf>
    <xf numFmtId="10" fontId="0" fillId="0" borderId="0" xfId="0" applyNumberFormat="1"/>
    <xf numFmtId="0" fontId="1" fillId="2" borderId="0" xfId="0" applyFont="1" applyFill="1"/>
    <xf numFmtId="165" fontId="0" fillId="0" borderId="0" xfId="0" applyNumberFormat="1"/>
    <xf numFmtId="3" fontId="0" fillId="0" borderId="0" xfId="0" applyNumberFormat="1"/>
    <xf numFmtId="0" fontId="4" fillId="0" borderId="0" xfId="0" applyFont="1"/>
    <xf numFmtId="0" fontId="7" fillId="5" borderId="3" xfId="0" applyFont="1" applyFill="1" applyBorder="1"/>
    <xf numFmtId="43" fontId="0" fillId="0" borderId="0" xfId="0" applyNumberFormat="1"/>
    <xf numFmtId="0" fontId="0" fillId="0" borderId="0" xfId="0" pivotButton="1"/>
    <xf numFmtId="166" fontId="0" fillId="0" borderId="0" xfId="0" applyNumberFormat="1"/>
    <xf numFmtId="0" fontId="0" fillId="0" borderId="0" xfId="0" applyAlignment="1">
      <alignment horizontal="left"/>
    </xf>
    <xf numFmtId="0" fontId="1" fillId="6" borderId="0" xfId="0" applyFont="1" applyFill="1" applyAlignment="1">
      <alignment horizontal="center"/>
    </xf>
    <xf numFmtId="4" fontId="0" fillId="6" borderId="0" xfId="0" applyNumberFormat="1" applyFill="1"/>
    <xf numFmtId="0" fontId="0" fillId="6" borderId="0" xfId="0" applyFill="1"/>
    <xf numFmtId="0" fontId="0" fillId="7" borderId="0" xfId="0" applyFill="1"/>
    <xf numFmtId="0" fontId="6" fillId="8" borderId="2" xfId="0" applyFont="1" applyFill="1" applyBorder="1"/>
    <xf numFmtId="9" fontId="0" fillId="0" borderId="0" xfId="0" applyNumberFormat="1"/>
    <xf numFmtId="2" fontId="0" fillId="0" borderId="0" xfId="0" applyNumberFormat="1"/>
    <xf numFmtId="10" fontId="1" fillId="3" borderId="0" xfId="2" applyNumberFormat="1" applyFont="1" applyFill="1" applyAlignment="1">
      <alignment horizontal="center"/>
    </xf>
    <xf numFmtId="10" fontId="0" fillId="0" borderId="0" xfId="2" applyNumberFormat="1" applyFont="1"/>
    <xf numFmtId="0" fontId="0" fillId="9" borderId="0" xfId="0" applyFill="1"/>
    <xf numFmtId="0" fontId="9" fillId="2" borderId="1" xfId="0" applyFont="1" applyFill="1" applyBorder="1" applyAlignment="1">
      <alignment horizontal="center"/>
    </xf>
    <xf numFmtId="43" fontId="0" fillId="0" borderId="0" xfId="1" applyFont="1"/>
    <xf numFmtId="0" fontId="7" fillId="5" borderId="4" xfId="0" applyFont="1" applyFill="1" applyBorder="1" applyAlignment="1">
      <alignment horizontal="left"/>
    </xf>
    <xf numFmtId="0" fontId="7" fillId="5" borderId="4" xfId="0" applyFont="1" applyFill="1" applyBorder="1"/>
    <xf numFmtId="0" fontId="12" fillId="2" borderId="0" xfId="0" applyFont="1" applyFill="1" applyAlignment="1">
      <alignment horizontal="center" vertical="center"/>
    </xf>
    <xf numFmtId="0" fontId="0" fillId="0" borderId="0" xfId="0"/>
    <xf numFmtId="0" fontId="2" fillId="0" borderId="0" xfId="0" applyFont="1" applyAlignment="1">
      <alignment horizontal="center"/>
    </xf>
    <xf numFmtId="4" fontId="10" fillId="3" borderId="0" xfId="0" applyNumberFormat="1" applyFont="1" applyFill="1" applyAlignment="1">
      <alignment horizontal="center" vertical="center"/>
    </xf>
    <xf numFmtId="0" fontId="8" fillId="0" borderId="0" xfId="0" applyFont="1"/>
    <xf numFmtId="3" fontId="10" fillId="3" borderId="0" xfId="0" applyNumberFormat="1" applyFont="1" applyFill="1" applyAlignment="1">
      <alignment horizontal="center" vertical="center"/>
    </xf>
    <xf numFmtId="40" fontId="3" fillId="3" borderId="0" xfId="0" applyNumberFormat="1" applyFont="1" applyFill="1" applyAlignment="1">
      <alignment horizontal="center" vertical="center"/>
    </xf>
    <xf numFmtId="10" fontId="3" fillId="3" borderId="0" xfId="0" applyNumberFormat="1" applyFont="1" applyFill="1" applyAlignment="1">
      <alignment horizontal="center" vertical="center"/>
    </xf>
    <xf numFmtId="4" fontId="3" fillId="4" borderId="0" xfId="0" applyNumberFormat="1" applyFont="1" applyFill="1" applyAlignment="1">
      <alignment horizontal="center" vertical="center"/>
    </xf>
    <xf numFmtId="0" fontId="0" fillId="0" borderId="0" xfId="0" applyNumberFormat="1"/>
    <xf numFmtId="0" fontId="0" fillId="10" borderId="0" xfId="0" applyFill="1"/>
    <xf numFmtId="0" fontId="7" fillId="0" borderId="0" xfId="0" applyFont="1"/>
    <xf numFmtId="43" fontId="7" fillId="5" borderId="4" xfId="0" applyNumberFormat="1" applyFont="1" applyFill="1" applyBorder="1"/>
    <xf numFmtId="0" fontId="1" fillId="2" borderId="5" xfId="0" applyFont="1" applyFill="1" applyBorder="1" applyAlignment="1">
      <alignment horizontal="center"/>
    </xf>
    <xf numFmtId="0" fontId="1" fillId="2" borderId="1" xfId="0" applyFont="1" applyFill="1" applyBorder="1" applyAlignment="1">
      <alignment horizontal="center"/>
    </xf>
    <xf numFmtId="164" fontId="0" fillId="5" borderId="5" xfId="0" applyNumberFormat="1" applyFont="1" applyFill="1" applyBorder="1"/>
    <xf numFmtId="4" fontId="0" fillId="5" borderId="1" xfId="0" applyNumberFormat="1" applyFont="1" applyFill="1" applyBorder="1"/>
    <xf numFmtId="4" fontId="0" fillId="5" borderId="2" xfId="0" applyNumberFormat="1" applyFont="1" applyFill="1" applyBorder="1"/>
    <xf numFmtId="164" fontId="0" fillId="0" borderId="5" xfId="0" applyNumberFormat="1" applyFont="1" applyBorder="1"/>
    <xf numFmtId="4" fontId="0" fillId="0" borderId="1" xfId="0" applyNumberFormat="1" applyFont="1" applyBorder="1"/>
    <xf numFmtId="4" fontId="0" fillId="0" borderId="2" xfId="0" applyNumberFormat="1" applyFont="1" applyBorder="1"/>
  </cellXfs>
  <cellStyles count="3">
    <cellStyle name="Comma" xfId="1" builtinId="3"/>
    <cellStyle name="Normal" xfId="0" builtinId="0"/>
    <cellStyle name="Percent" xfId="2" builtinId="5"/>
  </cellStyles>
  <dxfs count="32">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fill>
        <patternFill patternType="solid">
          <bgColor rgb="FFFF0000"/>
        </patternFill>
      </fill>
    </dxf>
    <dxf>
      <numFmt numFmtId="4" formatCode="#,##0.00"/>
    </dxf>
    <dxf>
      <numFmt numFmtId="4" formatCode="#,##0.00"/>
    </dxf>
    <dxf>
      <numFmt numFmtId="4" formatCode="#,##0.00"/>
    </dxf>
    <dxf>
      <numFmt numFmtId="35" formatCode="_-* #,##0.00_-;\-* #,##0.00_-;_-* &quot;-&quot;??_-;_-@_-"/>
    </dxf>
    <dxf>
      <numFmt numFmtId="166" formatCode="_-* #,##0_-;\-* #,##0_-;_-*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microsoft.com/office/2007/relationships/slicerCache" Target="slicerCaches/slicerCache8.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07/relationships/slicerCache" Target="slicerCaches/slicerCache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2.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6.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5.xml"/><Relationship Id="rId28" Type="http://schemas.microsoft.com/office/2007/relationships/slicerCache" Target="slicerCaches/slicerCache10.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4.xml"/><Relationship Id="rId27" Type="http://schemas.microsoft.com/office/2007/relationships/slicerCache" Target="slicerCaches/slicerCache9.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Sales_Performance_Excel Dashboard.xlsx]Pivot Monthly analysis!PivotTable66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Monthly analysis'!$B$3</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movingAvg"/>
            <c:period val="2"/>
            <c:dispRSqr val="0"/>
            <c:dispEq val="0"/>
          </c:trendline>
          <c:cat>
            <c:strRef>
              <c:f>'Pivot Monthly analysis'!$A$4:$A$16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 Monthly analysis'!$B$4:$B$16</c:f>
              <c:numCache>
                <c:formatCode>General</c:formatCode>
                <c:ptCount val="12"/>
                <c:pt idx="0">
                  <c:v>13107462.50600652</c:v>
                </c:pt>
                <c:pt idx="1">
                  <c:v>15573874.376606828</c:v>
                </c:pt>
                <c:pt idx="2">
                  <c:v>16500726.334578801</c:v>
                </c:pt>
                <c:pt idx="3">
                  <c:v>19056617.417783488</c:v>
                </c:pt>
                <c:pt idx="4">
                  <c:v>21249505.249746002</c:v>
                </c:pt>
                <c:pt idx="5">
                  <c:v>18560186.908274047</c:v>
                </c:pt>
                <c:pt idx="6">
                  <c:v>11936228.626381317</c:v>
                </c:pt>
                <c:pt idx="7">
                  <c:v>18288376.10964131</c:v>
                </c:pt>
                <c:pt idx="8">
                  <c:v>15572895.046018081</c:v>
                </c:pt>
                <c:pt idx="9">
                  <c:v>13082831.163434567</c:v>
                </c:pt>
                <c:pt idx="10">
                  <c:v>11020532.089107718</c:v>
                </c:pt>
                <c:pt idx="11">
                  <c:v>12960592.428904356</c:v>
                </c:pt>
              </c:numCache>
            </c:numRef>
          </c:val>
          <c:extLst>
            <c:ext xmlns:c16="http://schemas.microsoft.com/office/drawing/2014/chart" uri="{C3380CC4-5D6E-409C-BE32-E72D297353CC}">
              <c16:uniqueId val="{00000000-01FF-42F4-956D-3088536AF21D}"/>
            </c:ext>
          </c:extLst>
        </c:ser>
        <c:dLbls>
          <c:showLegendKey val="0"/>
          <c:showVal val="0"/>
          <c:showCatName val="0"/>
          <c:showSerName val="0"/>
          <c:showPercent val="0"/>
          <c:showBubbleSize val="0"/>
        </c:dLbls>
        <c:gapWidth val="150"/>
        <c:axId val="1555997360"/>
        <c:axId val="1838392176"/>
      </c:barChart>
      <c:catAx>
        <c:axId val="155599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392176"/>
        <c:crosses val="autoZero"/>
        <c:auto val="1"/>
        <c:lblAlgn val="ctr"/>
        <c:lblOffset val="100"/>
        <c:noMultiLvlLbl val="0"/>
      </c:catAx>
      <c:valAx>
        <c:axId val="1838392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997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Sales_Performance_Excel Dashboard.xlsx]Pivot Monthly analysis!PivotTable67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Quantity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Monthly analysis'!$B$20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Monthly analysis'!$A$21:$A$33</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 Monthly analysis'!$B$21:$B$33</c:f>
              <c:numCache>
                <c:formatCode>General</c:formatCode>
                <c:ptCount val="12"/>
                <c:pt idx="0">
                  <c:v>362266</c:v>
                </c:pt>
                <c:pt idx="1">
                  <c:v>438778</c:v>
                </c:pt>
                <c:pt idx="2">
                  <c:v>463694</c:v>
                </c:pt>
                <c:pt idx="3">
                  <c:v>534028</c:v>
                </c:pt>
                <c:pt idx="4">
                  <c:v>602866</c:v>
                </c:pt>
                <c:pt idx="5">
                  <c:v>532907</c:v>
                </c:pt>
                <c:pt idx="6">
                  <c:v>333702</c:v>
                </c:pt>
                <c:pt idx="7">
                  <c:v>543092</c:v>
                </c:pt>
                <c:pt idx="8">
                  <c:v>461251</c:v>
                </c:pt>
                <c:pt idx="9">
                  <c:v>363704</c:v>
                </c:pt>
                <c:pt idx="10">
                  <c:v>297544</c:v>
                </c:pt>
                <c:pt idx="11">
                  <c:v>346040</c:v>
                </c:pt>
              </c:numCache>
            </c:numRef>
          </c:val>
          <c:smooth val="0"/>
          <c:extLst>
            <c:ext xmlns:c16="http://schemas.microsoft.com/office/drawing/2014/chart" uri="{C3380CC4-5D6E-409C-BE32-E72D297353CC}">
              <c16:uniqueId val="{00000000-446E-42D9-ABEE-E9C02B2C28B2}"/>
            </c:ext>
          </c:extLst>
        </c:ser>
        <c:dLbls>
          <c:showLegendKey val="0"/>
          <c:showVal val="0"/>
          <c:showCatName val="0"/>
          <c:showSerName val="0"/>
          <c:showPercent val="0"/>
          <c:showBubbleSize val="0"/>
        </c:dLbls>
        <c:marker val="1"/>
        <c:smooth val="0"/>
        <c:axId val="1555995504"/>
        <c:axId val="1838367696"/>
      </c:lineChart>
      <c:catAx>
        <c:axId val="155599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367696"/>
        <c:crosses val="autoZero"/>
        <c:auto val="1"/>
        <c:lblAlgn val="ctr"/>
        <c:lblOffset val="100"/>
        <c:noMultiLvlLbl val="0"/>
      </c:catAx>
      <c:valAx>
        <c:axId val="1838367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99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Sales_Performance_Excel Dashboard.xlsx]Pivot Monthly analysis!PivotTable79</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Unit Price Trend:</a:t>
            </a:r>
            <a:r>
              <a:rPr lang="en-US" sz="1400" dirty="0">
                <a:solidFill>
                  <a:srgbClr val="76B9FF"/>
                </a:solidFill>
                <a:latin typeface="Roboto Slab" pitchFamily="34" charset="0"/>
                <a:ea typeface="Roboto Slab" pitchFamily="34" charset="-122"/>
                <a:cs typeface="Roboto Slab" pitchFamily="34" charset="-120"/>
              </a:rPr>
              <a:t>Higher Prices in 2015 Produced the Worst Margin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Monthly analysis'!$B$87</c:f>
              <c:strCache>
                <c:ptCount val="1"/>
                <c:pt idx="0">
                  <c:v>Total</c:v>
                </c:pt>
              </c:strCache>
            </c:strRef>
          </c:tx>
          <c:spPr>
            <a:solidFill>
              <a:schemeClr val="accent1"/>
            </a:solidFill>
            <a:ln>
              <a:noFill/>
            </a:ln>
            <a:effectLst/>
          </c:spPr>
          <c:invertIfNegative val="0"/>
          <c:cat>
            <c:strRef>
              <c:f>'Pivot Monthly analysis'!$A$88:$A$93</c:f>
              <c:strCache>
                <c:ptCount val="5"/>
                <c:pt idx="0">
                  <c:v>&lt;2013/12/01</c:v>
                </c:pt>
                <c:pt idx="1">
                  <c:v>2013</c:v>
                </c:pt>
                <c:pt idx="2">
                  <c:v>2014</c:v>
                </c:pt>
                <c:pt idx="3">
                  <c:v>2015</c:v>
                </c:pt>
                <c:pt idx="4">
                  <c:v>2016</c:v>
                </c:pt>
              </c:strCache>
            </c:strRef>
          </c:cat>
          <c:val>
            <c:numRef>
              <c:f>'Pivot Monthly analysis'!$B$88:$B$93</c:f>
              <c:numCache>
                <c:formatCode>_(* #,##0.00_);_(* \(#,##0.00\);_(* "-"??_);_(@_)</c:formatCode>
                <c:ptCount val="5"/>
                <c:pt idx="1">
                  <c:v>32.574305836204545</c:v>
                </c:pt>
                <c:pt idx="2">
                  <c:v>33.973814021289975</c:v>
                </c:pt>
                <c:pt idx="3">
                  <c:v>37.461199124793424</c:v>
                </c:pt>
                <c:pt idx="4">
                  <c:v>37.245180753437225</c:v>
                </c:pt>
              </c:numCache>
            </c:numRef>
          </c:val>
          <c:extLst>
            <c:ext xmlns:c16="http://schemas.microsoft.com/office/drawing/2014/chart" uri="{C3380CC4-5D6E-409C-BE32-E72D297353CC}">
              <c16:uniqueId val="{00000000-FE2E-417B-94FB-6DD6BD34BACC}"/>
            </c:ext>
          </c:extLst>
        </c:ser>
        <c:dLbls>
          <c:showLegendKey val="0"/>
          <c:showVal val="0"/>
          <c:showCatName val="0"/>
          <c:showSerName val="0"/>
          <c:showPercent val="0"/>
          <c:showBubbleSize val="0"/>
        </c:dLbls>
        <c:gapWidth val="150"/>
        <c:axId val="1606445056"/>
        <c:axId val="1838216016"/>
      </c:barChart>
      <c:catAx>
        <c:axId val="160644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216016"/>
        <c:crosses val="autoZero"/>
        <c:auto val="1"/>
        <c:lblAlgn val="ctr"/>
        <c:lblOffset val="100"/>
        <c:noMultiLvlLbl val="0"/>
      </c:catAx>
      <c:valAx>
        <c:axId val="183821601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445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Monthly gross profit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pivotFmt>
    </c:pivotFmts>
    <c:plotArea>
      <c:layout/>
      <c:barChart>
        <c:barDir val="col"/>
        <c:grouping val="clustered"/>
        <c:varyColors val="0"/>
        <c:ser>
          <c:idx val="0"/>
          <c:order val="0"/>
          <c:tx>
            <c:v>Sum of Gross Profit</c:v>
          </c:tx>
          <c:spPr>
            <a:solidFill>
              <a:schemeClr val="accent1"/>
            </a:solidFill>
            <a:ln>
              <a:noFill/>
            </a:ln>
            <a:effectLst/>
          </c:spPr>
          <c:invertIfNegative val="0"/>
          <c:cat>
            <c:strLit>
              <c:ptCount val="12"/>
              <c:pt idx="0">
                <c:v>Jan</c:v>
              </c:pt>
              <c:pt idx="1">
                <c:v>Feb</c:v>
              </c:pt>
              <c:pt idx="2">
                <c:v>Mar</c:v>
              </c:pt>
              <c:pt idx="3">
                <c:v>Apr</c:v>
              </c:pt>
              <c:pt idx="4">
                <c:v>May</c:v>
              </c:pt>
              <c:pt idx="5">
                <c:v>Jun</c:v>
              </c:pt>
              <c:pt idx="6">
                <c:v>Jul</c:v>
              </c:pt>
              <c:pt idx="7">
                <c:v>Aug</c:v>
              </c:pt>
              <c:pt idx="8">
                <c:v>Sept</c:v>
              </c:pt>
              <c:pt idx="9">
                <c:v>Oct</c:v>
              </c:pt>
              <c:pt idx="10">
                <c:v>Nov</c:v>
              </c:pt>
              <c:pt idx="11">
                <c:v>Dec</c:v>
              </c:pt>
            </c:strLit>
          </c:cat>
          <c:val>
            <c:numLit>
              <c:formatCode>General</c:formatCode>
              <c:ptCount val="12"/>
              <c:pt idx="0">
                <c:v>-396860.51924322604</c:v>
              </c:pt>
              <c:pt idx="1">
                <c:v>-380664.09586390865</c:v>
              </c:pt>
              <c:pt idx="2">
                <c:v>-432359.89617142966</c:v>
              </c:pt>
              <c:pt idx="3">
                <c:v>-837431.77700101654</c:v>
              </c:pt>
              <c:pt idx="4">
                <c:v>-1079831.6981471404</c:v>
              </c:pt>
              <c:pt idx="5">
                <c:v>-774931.74889510183</c:v>
              </c:pt>
              <c:pt idx="6">
                <c:v>-166252.11315030546</c:v>
              </c:pt>
              <c:pt idx="7">
                <c:v>-926771.30498055601</c:v>
              </c:pt>
              <c:pt idx="8">
                <c:v>-855356.97564784822</c:v>
              </c:pt>
              <c:pt idx="9">
                <c:v>-240335.28915613564</c:v>
              </c:pt>
              <c:pt idx="10">
                <c:v>-359899.07934262371</c:v>
              </c:pt>
              <c:pt idx="11">
                <c:v>-665586.69242670701</c:v>
              </c:pt>
            </c:numLit>
          </c:val>
          <c:extLst>
            <c:ext xmlns:c16="http://schemas.microsoft.com/office/drawing/2014/chart" uri="{C3380CC4-5D6E-409C-BE32-E72D297353CC}">
              <c16:uniqueId val="{00000000-C0A2-4897-A7B7-F4BA90CA9C8F}"/>
            </c:ext>
          </c:extLst>
        </c:ser>
        <c:ser>
          <c:idx val="1"/>
          <c:order val="1"/>
          <c:tx>
            <c:v>Sum of Cost Of Sales</c:v>
          </c:tx>
          <c:spPr>
            <a:solidFill>
              <a:schemeClr val="accent2"/>
            </a:solidFill>
            <a:ln>
              <a:noFill/>
            </a:ln>
            <a:effectLst/>
          </c:spPr>
          <c:invertIfNegative val="0"/>
          <c:cat>
            <c:strLit>
              <c:ptCount val="12"/>
              <c:pt idx="0">
                <c:v>Jan</c:v>
              </c:pt>
              <c:pt idx="1">
                <c:v>Feb</c:v>
              </c:pt>
              <c:pt idx="2">
                <c:v>Mar</c:v>
              </c:pt>
              <c:pt idx="3">
                <c:v>Apr</c:v>
              </c:pt>
              <c:pt idx="4">
                <c:v>May</c:v>
              </c:pt>
              <c:pt idx="5">
                <c:v>Jun</c:v>
              </c:pt>
              <c:pt idx="6">
                <c:v>Jul</c:v>
              </c:pt>
              <c:pt idx="7">
                <c:v>Aug</c:v>
              </c:pt>
              <c:pt idx="8">
                <c:v>Sept</c:v>
              </c:pt>
              <c:pt idx="9">
                <c:v>Oct</c:v>
              </c:pt>
              <c:pt idx="10">
                <c:v>Nov</c:v>
              </c:pt>
              <c:pt idx="11">
                <c:v>Dec</c:v>
              </c:pt>
            </c:strLit>
          </c:cat>
          <c:val>
            <c:numLit>
              <c:formatCode>General</c:formatCode>
              <c:ptCount val="12"/>
              <c:pt idx="0">
                <c:v>13504323.025249746</c:v>
              </c:pt>
              <c:pt idx="1">
                <c:v>15954538.472470738</c:v>
              </c:pt>
              <c:pt idx="2">
                <c:v>16933086.230750233</c:v>
              </c:pt>
              <c:pt idx="3">
                <c:v>19894049.1947845</c:v>
              </c:pt>
              <c:pt idx="4">
                <c:v>22329336.947893143</c:v>
              </c:pt>
              <c:pt idx="5">
                <c:v>19335118.657169148</c:v>
              </c:pt>
              <c:pt idx="6">
                <c:v>12102480.739531618</c:v>
              </c:pt>
              <c:pt idx="7">
                <c:v>19215147.414621856</c:v>
              </c:pt>
              <c:pt idx="8">
                <c:v>16428252.021665934</c:v>
              </c:pt>
              <c:pt idx="9">
                <c:v>13323166.4525907</c:v>
              </c:pt>
              <c:pt idx="10">
                <c:v>11380431.168450344</c:v>
              </c:pt>
              <c:pt idx="11">
                <c:v>13626179.121331068</c:v>
              </c:pt>
            </c:numLit>
          </c:val>
          <c:extLst>
            <c:ext xmlns:c16="http://schemas.microsoft.com/office/drawing/2014/chart" uri="{C3380CC4-5D6E-409C-BE32-E72D297353CC}">
              <c16:uniqueId val="{00000001-C0A2-4897-A7B7-F4BA90CA9C8F}"/>
            </c:ext>
          </c:extLst>
        </c:ser>
        <c:ser>
          <c:idx val="2"/>
          <c:order val="2"/>
          <c:tx>
            <c:v>Sum of Sales</c:v>
          </c:tx>
          <c:spPr>
            <a:solidFill>
              <a:srgbClr val="0070C0"/>
            </a:solidFill>
            <a:ln>
              <a:noFill/>
            </a:ln>
            <a:effectLst/>
          </c:spPr>
          <c:invertIfNegative val="0"/>
          <c:cat>
            <c:strLit>
              <c:ptCount val="12"/>
              <c:pt idx="0">
                <c:v>Jan</c:v>
              </c:pt>
              <c:pt idx="1">
                <c:v>Feb</c:v>
              </c:pt>
              <c:pt idx="2">
                <c:v>Mar</c:v>
              </c:pt>
              <c:pt idx="3">
                <c:v>Apr</c:v>
              </c:pt>
              <c:pt idx="4">
                <c:v>May</c:v>
              </c:pt>
              <c:pt idx="5">
                <c:v>Jun</c:v>
              </c:pt>
              <c:pt idx="6">
                <c:v>Jul</c:v>
              </c:pt>
              <c:pt idx="7">
                <c:v>Aug</c:v>
              </c:pt>
              <c:pt idx="8">
                <c:v>Sept</c:v>
              </c:pt>
              <c:pt idx="9">
                <c:v>Oct</c:v>
              </c:pt>
              <c:pt idx="10">
                <c:v>Nov</c:v>
              </c:pt>
              <c:pt idx="11">
                <c:v>Dec</c:v>
              </c:pt>
            </c:strLit>
          </c:cat>
          <c:val>
            <c:numLit>
              <c:formatCode>General</c:formatCode>
              <c:ptCount val="12"/>
              <c:pt idx="0">
                <c:v>13107462.506006517</c:v>
              </c:pt>
              <c:pt idx="1">
                <c:v>15573874.376606828</c:v>
              </c:pt>
              <c:pt idx="2">
                <c:v>16500726.334578805</c:v>
              </c:pt>
              <c:pt idx="3">
                <c:v>19056617.417783491</c:v>
              </c:pt>
              <c:pt idx="4">
                <c:v>21249505.249745995</c:v>
              </c:pt>
              <c:pt idx="5">
                <c:v>18560186.908274051</c:v>
              </c:pt>
              <c:pt idx="6">
                <c:v>11936228.626381319</c:v>
              </c:pt>
              <c:pt idx="7">
                <c:v>18288376.109641321</c:v>
              </c:pt>
              <c:pt idx="8">
                <c:v>15572895.046018086</c:v>
              </c:pt>
              <c:pt idx="9">
                <c:v>13082831.163434563</c:v>
              </c:pt>
              <c:pt idx="10">
                <c:v>11020532.08910772</c:v>
              </c:pt>
              <c:pt idx="11">
                <c:v>12960592.42890436</c:v>
              </c:pt>
            </c:numLit>
          </c:val>
          <c:extLst>
            <c:ext xmlns:c16="http://schemas.microsoft.com/office/drawing/2014/chart" uri="{C3380CC4-5D6E-409C-BE32-E72D297353CC}">
              <c16:uniqueId val="{00000002-C0A2-4897-A7B7-F4BA90CA9C8F}"/>
            </c:ext>
          </c:extLst>
        </c:ser>
        <c:dLbls>
          <c:showLegendKey val="0"/>
          <c:showVal val="0"/>
          <c:showCatName val="0"/>
          <c:showSerName val="0"/>
          <c:showPercent val="0"/>
          <c:showBubbleSize val="0"/>
        </c:dLbls>
        <c:gapWidth val="219"/>
        <c:overlap val="-27"/>
        <c:axId val="1606626944"/>
        <c:axId val="1838315376"/>
      </c:barChart>
      <c:catAx>
        <c:axId val="160662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315376"/>
        <c:crosses val="autoZero"/>
        <c:auto val="1"/>
        <c:lblAlgn val="ctr"/>
        <c:lblOffset val="100"/>
        <c:noMultiLvlLbl val="0"/>
      </c:catAx>
      <c:valAx>
        <c:axId val="1838315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62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Sales_Performance_Excel Dashboard.xlsx]Daily Sales Analysis pivot!PivotTable85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dirty="0">
                <a:solidFill>
                  <a:sysClr val="windowText" lastClr="000000"/>
                </a:solidFill>
                <a:latin typeface="+mn-lt"/>
                <a:ea typeface="Roboto Slab" pitchFamily="34" charset="-122"/>
                <a:cs typeface="Roboto Slab" pitchFamily="34" charset="-120"/>
              </a:rPr>
              <a:t>Cost of Sales Consistently Outpaces Revenue </a:t>
            </a:r>
            <a:endParaRPr lang="en-ZA">
              <a:solidFill>
                <a:sysClr val="windowText" lastClr="000000"/>
              </a:solidFill>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'Daily Sales Analysis pivot'!$B$3</c:f>
              <c:strCache>
                <c:ptCount val="1"/>
                <c:pt idx="0">
                  <c:v>Sum of Cost Of Sales</c:v>
                </c:pt>
              </c:strCache>
            </c:strRef>
          </c:tx>
          <c:spPr>
            <a:solidFill>
              <a:schemeClr val="accent1"/>
            </a:solidFill>
            <a:ln>
              <a:noFill/>
            </a:ln>
            <a:effectLst/>
          </c:spPr>
          <c:invertIfNegative val="0"/>
          <c:cat>
            <c:strRef>
              <c:f>'Daily Sales Analysis pivot'!$A$4:$A$8</c:f>
              <c:strCache>
                <c:ptCount val="4"/>
                <c:pt idx="0">
                  <c:v>2013</c:v>
                </c:pt>
                <c:pt idx="1">
                  <c:v>2014</c:v>
                </c:pt>
                <c:pt idx="2">
                  <c:v>2015</c:v>
                </c:pt>
                <c:pt idx="3">
                  <c:v>2016</c:v>
                </c:pt>
              </c:strCache>
            </c:strRef>
          </c:cat>
          <c:val>
            <c:numRef>
              <c:f>'Daily Sales Analysis pivot'!$B$4:$B$8</c:f>
              <c:numCache>
                <c:formatCode>General</c:formatCode>
                <c:ptCount val="4"/>
                <c:pt idx="0">
                  <c:v>537065.74149673118</c:v>
                </c:pt>
                <c:pt idx="1">
                  <c:v>77680849.70107311</c:v>
                </c:pt>
                <c:pt idx="2">
                  <c:v>67917203.833992675</c:v>
                </c:pt>
                <c:pt idx="3">
                  <c:v>47890990.169946611</c:v>
                </c:pt>
              </c:numCache>
            </c:numRef>
          </c:val>
          <c:extLst>
            <c:ext xmlns:c16="http://schemas.microsoft.com/office/drawing/2014/chart" uri="{C3380CC4-5D6E-409C-BE32-E72D297353CC}">
              <c16:uniqueId val="{00000000-6B4C-4090-BC79-99AB197DAEBF}"/>
            </c:ext>
          </c:extLst>
        </c:ser>
        <c:ser>
          <c:idx val="1"/>
          <c:order val="1"/>
          <c:tx>
            <c:strRef>
              <c:f>'Daily Sales Analysis pivot'!$C$3</c:f>
              <c:strCache>
                <c:ptCount val="1"/>
                <c:pt idx="0">
                  <c:v>Sum of Sales</c:v>
                </c:pt>
              </c:strCache>
            </c:strRef>
          </c:tx>
          <c:spPr>
            <a:solidFill>
              <a:schemeClr val="accent2"/>
            </a:solidFill>
            <a:ln>
              <a:noFill/>
            </a:ln>
            <a:effectLst/>
          </c:spPr>
          <c:invertIfNegative val="0"/>
          <c:cat>
            <c:strRef>
              <c:f>'Daily Sales Analysis pivot'!$A$4:$A$8</c:f>
              <c:strCache>
                <c:ptCount val="4"/>
                <c:pt idx="0">
                  <c:v>2013</c:v>
                </c:pt>
                <c:pt idx="1">
                  <c:v>2014</c:v>
                </c:pt>
                <c:pt idx="2">
                  <c:v>2015</c:v>
                </c:pt>
                <c:pt idx="3">
                  <c:v>2016</c:v>
                </c:pt>
              </c:strCache>
            </c:strRef>
          </c:cat>
          <c:val>
            <c:numRef>
              <c:f>'Daily Sales Analysis pivot'!$C$4:$C$8</c:f>
              <c:numCache>
                <c:formatCode>General</c:formatCode>
                <c:ptCount val="4"/>
                <c:pt idx="0">
                  <c:v>524283.4524337122</c:v>
                </c:pt>
                <c:pt idx="1">
                  <c:v>75414975.711700588</c:v>
                </c:pt>
                <c:pt idx="2">
                  <c:v>64017593.387223274</c:v>
                </c:pt>
                <c:pt idx="3">
                  <c:v>46952975.705125488</c:v>
                </c:pt>
              </c:numCache>
            </c:numRef>
          </c:val>
          <c:extLst>
            <c:ext xmlns:c16="http://schemas.microsoft.com/office/drawing/2014/chart" uri="{C3380CC4-5D6E-409C-BE32-E72D297353CC}">
              <c16:uniqueId val="{00000001-6B4C-4090-BC79-99AB197DAEBF}"/>
            </c:ext>
          </c:extLst>
        </c:ser>
        <c:dLbls>
          <c:showLegendKey val="0"/>
          <c:showVal val="0"/>
          <c:showCatName val="0"/>
          <c:showSerName val="0"/>
          <c:showPercent val="0"/>
          <c:showBubbleSize val="0"/>
        </c:dLbls>
        <c:gapWidth val="219"/>
        <c:overlap val="-27"/>
        <c:axId val="804458880"/>
        <c:axId val="1838220816"/>
      </c:barChart>
      <c:catAx>
        <c:axId val="80445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220816"/>
        <c:crosses val="autoZero"/>
        <c:auto val="1"/>
        <c:lblAlgn val="ctr"/>
        <c:lblOffset val="100"/>
        <c:noMultiLvlLbl val="0"/>
      </c:catAx>
      <c:valAx>
        <c:axId val="183822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45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Sales_Performance_Excel Dashboard.xlsx]Pivot Monthly analysis!PivotTable66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Monthly analysis'!$B$3</c:f>
              <c:strCache>
                <c:ptCount val="1"/>
                <c:pt idx="0">
                  <c:v>Total</c:v>
                </c:pt>
              </c:strCache>
            </c:strRef>
          </c:tx>
          <c:spPr>
            <a:ln w="28575" cap="rnd">
              <a:solidFill>
                <a:schemeClr val="accent1"/>
              </a:solidFill>
              <a:round/>
            </a:ln>
            <a:effectLst/>
          </c:spPr>
          <c:marker>
            <c:symbol val="none"/>
          </c:marker>
          <c:cat>
            <c:strRef>
              <c:f>'Pivot Monthly analysis'!$A$4:$A$16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 Monthly analysis'!$B$4:$B$16</c:f>
              <c:numCache>
                <c:formatCode>General</c:formatCode>
                <c:ptCount val="12"/>
                <c:pt idx="0">
                  <c:v>13107462.50600652</c:v>
                </c:pt>
                <c:pt idx="1">
                  <c:v>15573874.376606828</c:v>
                </c:pt>
                <c:pt idx="2">
                  <c:v>16500726.334578801</c:v>
                </c:pt>
                <c:pt idx="3">
                  <c:v>19056617.417783488</c:v>
                </c:pt>
                <c:pt idx="4">
                  <c:v>21249505.249746002</c:v>
                </c:pt>
                <c:pt idx="5">
                  <c:v>18560186.908274047</c:v>
                </c:pt>
                <c:pt idx="6">
                  <c:v>11936228.626381317</c:v>
                </c:pt>
                <c:pt idx="7">
                  <c:v>18288376.10964131</c:v>
                </c:pt>
                <c:pt idx="8">
                  <c:v>15572895.046018081</c:v>
                </c:pt>
                <c:pt idx="9">
                  <c:v>13082831.163434567</c:v>
                </c:pt>
                <c:pt idx="10">
                  <c:v>11020532.089107718</c:v>
                </c:pt>
                <c:pt idx="11">
                  <c:v>12960592.428904356</c:v>
                </c:pt>
              </c:numCache>
            </c:numRef>
          </c:val>
          <c:smooth val="0"/>
          <c:extLst>
            <c:ext xmlns:c16="http://schemas.microsoft.com/office/drawing/2014/chart" uri="{C3380CC4-5D6E-409C-BE32-E72D297353CC}">
              <c16:uniqueId val="{00000003-AE31-4E00-966F-74EE8FF16649}"/>
            </c:ext>
          </c:extLst>
        </c:ser>
        <c:dLbls>
          <c:showLegendKey val="0"/>
          <c:showVal val="0"/>
          <c:showCatName val="0"/>
          <c:showSerName val="0"/>
          <c:showPercent val="0"/>
          <c:showBubbleSize val="0"/>
        </c:dLbls>
        <c:smooth val="0"/>
        <c:axId val="1555997360"/>
        <c:axId val="1838392176"/>
      </c:lineChart>
      <c:catAx>
        <c:axId val="155599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392176"/>
        <c:crosses val="autoZero"/>
        <c:auto val="1"/>
        <c:lblAlgn val="ctr"/>
        <c:lblOffset val="100"/>
        <c:noMultiLvlLbl val="0"/>
      </c:catAx>
      <c:valAx>
        <c:axId val="1838392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997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Sales_Performance_Excel Dashboard.xlsx]Pivot Monthly analysis!PivotTable67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Monthly analysis'!$B$20</c:f>
              <c:strCache>
                <c:ptCount val="1"/>
                <c:pt idx="0">
                  <c:v>Total</c:v>
                </c:pt>
              </c:strCache>
            </c:strRef>
          </c:tx>
          <c:spPr>
            <a:ln w="28575" cap="rnd">
              <a:solidFill>
                <a:schemeClr val="accent1"/>
              </a:solidFill>
              <a:round/>
            </a:ln>
            <a:effectLst/>
          </c:spPr>
          <c:marker>
            <c:symbol val="none"/>
          </c:marker>
          <c:cat>
            <c:strRef>
              <c:f>'Pivot Monthly analysis'!$A$21:$A$33</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 Monthly analysis'!$B$21:$B$33</c:f>
              <c:numCache>
                <c:formatCode>General</c:formatCode>
                <c:ptCount val="12"/>
                <c:pt idx="0">
                  <c:v>362266</c:v>
                </c:pt>
                <c:pt idx="1">
                  <c:v>438778</c:v>
                </c:pt>
                <c:pt idx="2">
                  <c:v>463694</c:v>
                </c:pt>
                <c:pt idx="3">
                  <c:v>534028</c:v>
                </c:pt>
                <c:pt idx="4">
                  <c:v>602866</c:v>
                </c:pt>
                <c:pt idx="5">
                  <c:v>532907</c:v>
                </c:pt>
                <c:pt idx="6">
                  <c:v>333702</c:v>
                </c:pt>
                <c:pt idx="7">
                  <c:v>543092</c:v>
                </c:pt>
                <c:pt idx="8">
                  <c:v>461251</c:v>
                </c:pt>
                <c:pt idx="9">
                  <c:v>363704</c:v>
                </c:pt>
                <c:pt idx="10">
                  <c:v>297544</c:v>
                </c:pt>
                <c:pt idx="11">
                  <c:v>346040</c:v>
                </c:pt>
              </c:numCache>
            </c:numRef>
          </c:val>
          <c:smooth val="0"/>
          <c:extLst>
            <c:ext xmlns:c16="http://schemas.microsoft.com/office/drawing/2014/chart" uri="{C3380CC4-5D6E-409C-BE32-E72D297353CC}">
              <c16:uniqueId val="{00000000-BF49-4CB4-9570-4CFB4BD0590E}"/>
            </c:ext>
          </c:extLst>
        </c:ser>
        <c:dLbls>
          <c:showLegendKey val="0"/>
          <c:showVal val="0"/>
          <c:showCatName val="0"/>
          <c:showSerName val="0"/>
          <c:showPercent val="0"/>
          <c:showBubbleSize val="0"/>
        </c:dLbls>
        <c:smooth val="0"/>
        <c:axId val="1555995504"/>
        <c:axId val="1838367696"/>
      </c:lineChart>
      <c:catAx>
        <c:axId val="155599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367696"/>
        <c:crosses val="autoZero"/>
        <c:auto val="1"/>
        <c:lblAlgn val="ctr"/>
        <c:lblOffset val="100"/>
        <c:noMultiLvlLbl val="0"/>
      </c:catAx>
      <c:valAx>
        <c:axId val="1838367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99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Sales_Performance_Excel Dashboard.xlsx]Pivot Monthly analysis!PivotTable68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Monthly analysis'!$B$38</c:f>
              <c:strCache>
                <c:ptCount val="1"/>
                <c:pt idx="0">
                  <c:v>Total</c:v>
                </c:pt>
              </c:strCache>
            </c:strRef>
          </c:tx>
          <c:spPr>
            <a:solidFill>
              <a:schemeClr val="accent1"/>
            </a:solidFill>
            <a:ln>
              <a:noFill/>
            </a:ln>
            <a:effectLst/>
          </c:spPr>
          <c:invertIfNegative val="0"/>
          <c:cat>
            <c:strRef>
              <c:f>'Pivot Monthly analysis'!$A$39:$A$51</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 Monthly analysis'!$B$39:$B$51</c:f>
              <c:numCache>
                <c:formatCode>General</c:formatCode>
                <c:ptCount val="12"/>
                <c:pt idx="0">
                  <c:v>-396860.51924322499</c:v>
                </c:pt>
                <c:pt idx="1">
                  <c:v>-380664.09586390946</c:v>
                </c:pt>
                <c:pt idx="2">
                  <c:v>-432359.89617142873</c:v>
                </c:pt>
                <c:pt idx="3">
                  <c:v>-837431.77700101677</c:v>
                </c:pt>
                <c:pt idx="4">
                  <c:v>-1079831.6981471414</c:v>
                </c:pt>
                <c:pt idx="5">
                  <c:v>-774931.74889510311</c:v>
                </c:pt>
                <c:pt idx="6">
                  <c:v>-166252.11315030558</c:v>
                </c:pt>
                <c:pt idx="7">
                  <c:v>-926771.30498056114</c:v>
                </c:pt>
                <c:pt idx="8">
                  <c:v>-855356.9756478481</c:v>
                </c:pt>
                <c:pt idx="9">
                  <c:v>-240335.28915613471</c:v>
                </c:pt>
                <c:pt idx="10">
                  <c:v>-359899.07934262347</c:v>
                </c:pt>
                <c:pt idx="11">
                  <c:v>-665586.69242670608</c:v>
                </c:pt>
              </c:numCache>
            </c:numRef>
          </c:val>
          <c:extLst>
            <c:ext xmlns:c16="http://schemas.microsoft.com/office/drawing/2014/chart" uri="{C3380CC4-5D6E-409C-BE32-E72D297353CC}">
              <c16:uniqueId val="{00000000-F432-4BDA-9229-14A2485FB6EE}"/>
            </c:ext>
          </c:extLst>
        </c:ser>
        <c:dLbls>
          <c:showLegendKey val="0"/>
          <c:showVal val="0"/>
          <c:showCatName val="0"/>
          <c:showSerName val="0"/>
          <c:showPercent val="0"/>
          <c:showBubbleSize val="0"/>
        </c:dLbls>
        <c:gapWidth val="219"/>
        <c:overlap val="-27"/>
        <c:axId val="167131520"/>
        <c:axId val="1838208336"/>
      </c:barChart>
      <c:catAx>
        <c:axId val="16713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208336"/>
        <c:crosses val="autoZero"/>
        <c:auto val="1"/>
        <c:lblAlgn val="ctr"/>
        <c:lblOffset val="100"/>
        <c:noMultiLvlLbl val="0"/>
      </c:catAx>
      <c:valAx>
        <c:axId val="1838208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3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Sales_Performance_Excel Dashboard.xlsx]Pivot Monthly analysis!PivotTable69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Monthly analysis'!$B$55</c:f>
              <c:strCache>
                <c:ptCount val="1"/>
                <c:pt idx="0">
                  <c:v>Total</c:v>
                </c:pt>
              </c:strCache>
            </c:strRef>
          </c:tx>
          <c:spPr>
            <a:ln w="28575" cap="rnd">
              <a:solidFill>
                <a:schemeClr val="accent1"/>
              </a:solidFill>
              <a:round/>
            </a:ln>
            <a:effectLst/>
          </c:spPr>
          <c:marker>
            <c:symbol val="none"/>
          </c:marker>
          <c:cat>
            <c:strRef>
              <c:f>'Pivot Monthly analysis'!$A$56:$A$68</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 Monthly analysis'!$B$56:$B$68</c:f>
              <c:numCache>
                <c:formatCode>General</c:formatCode>
                <c:ptCount val="12"/>
                <c:pt idx="0">
                  <c:v>120755.33333333333</c:v>
                </c:pt>
                <c:pt idx="1">
                  <c:v>146259.33333333334</c:v>
                </c:pt>
                <c:pt idx="2">
                  <c:v>154564.66666666666</c:v>
                </c:pt>
                <c:pt idx="3">
                  <c:v>178009.33333333334</c:v>
                </c:pt>
                <c:pt idx="4">
                  <c:v>200955.33333333334</c:v>
                </c:pt>
                <c:pt idx="5">
                  <c:v>177635.66666666666</c:v>
                </c:pt>
                <c:pt idx="6">
                  <c:v>111234</c:v>
                </c:pt>
                <c:pt idx="7">
                  <c:v>181030.66666666666</c:v>
                </c:pt>
                <c:pt idx="8">
                  <c:v>153750.33333333334</c:v>
                </c:pt>
                <c:pt idx="9">
                  <c:v>121234.66666666667</c:v>
                </c:pt>
                <c:pt idx="10">
                  <c:v>99181.333333333328</c:v>
                </c:pt>
                <c:pt idx="11">
                  <c:v>115346.66666666667</c:v>
                </c:pt>
              </c:numCache>
            </c:numRef>
          </c:val>
          <c:smooth val="0"/>
          <c:extLst>
            <c:ext xmlns:c16="http://schemas.microsoft.com/office/drawing/2014/chart" uri="{C3380CC4-5D6E-409C-BE32-E72D297353CC}">
              <c16:uniqueId val="{00000000-ED5E-442A-9F0D-751233E3F6BE}"/>
            </c:ext>
          </c:extLst>
        </c:ser>
        <c:dLbls>
          <c:showLegendKey val="0"/>
          <c:showVal val="0"/>
          <c:showCatName val="0"/>
          <c:showSerName val="0"/>
          <c:showPercent val="0"/>
          <c:showBubbleSize val="0"/>
        </c:dLbls>
        <c:smooth val="0"/>
        <c:axId val="1573317424"/>
        <c:axId val="1838402256"/>
      </c:lineChart>
      <c:catAx>
        <c:axId val="157331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402256"/>
        <c:crosses val="autoZero"/>
        <c:auto val="1"/>
        <c:lblAlgn val="ctr"/>
        <c:lblOffset val="100"/>
        <c:noMultiLvlLbl val="0"/>
      </c:catAx>
      <c:valAx>
        <c:axId val="1838402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317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Sales_Performance_Excel Dashboard.xlsx]Pivot Monthly analysis!PivotTable77</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Monthly analysis'!$B$76:$B$77</c:f>
              <c:strCache>
                <c:ptCount val="1"/>
                <c:pt idx="0">
                  <c:v>32,150199315476</c:v>
                </c:pt>
              </c:strCache>
            </c:strRef>
          </c:tx>
          <c:spPr>
            <a:solidFill>
              <a:schemeClr val="accent1"/>
            </a:solidFill>
            <a:ln>
              <a:noFill/>
            </a:ln>
            <a:effectLst/>
          </c:spPr>
          <c:invertIfNegative val="0"/>
          <c:cat>
            <c:strRef>
              <c:f>'Pivot Monthly analysis'!$A$78:$A$82</c:f>
              <c:strCache>
                <c:ptCount val="4"/>
                <c:pt idx="0">
                  <c:v>Qtr1</c:v>
                </c:pt>
                <c:pt idx="1">
                  <c:v>Qtr2</c:v>
                </c:pt>
                <c:pt idx="2">
                  <c:v>Qtr3</c:v>
                </c:pt>
                <c:pt idx="3">
                  <c:v>Qtr4</c:v>
                </c:pt>
              </c:strCache>
            </c:strRef>
          </c:cat>
          <c:val>
            <c:numRef>
              <c:f>'Pivot Monthly analysis'!$B$78:$B$82</c:f>
              <c:numCache>
                <c:formatCode>General</c:formatCode>
                <c:ptCount val="4"/>
                <c:pt idx="2">
                  <c:v>32.150199315475987</c:v>
                </c:pt>
              </c:numCache>
            </c:numRef>
          </c:val>
          <c:extLst>
            <c:ext xmlns:c16="http://schemas.microsoft.com/office/drawing/2014/chart" uri="{C3380CC4-5D6E-409C-BE32-E72D297353CC}">
              <c16:uniqueId val="{00000000-F612-4CF1-89CE-CA9EFCD363B3}"/>
            </c:ext>
          </c:extLst>
        </c:ser>
        <c:ser>
          <c:idx val="1"/>
          <c:order val="1"/>
          <c:tx>
            <c:strRef>
              <c:f>'Pivot Monthly analysis'!$C$76:$C$77</c:f>
              <c:strCache>
                <c:ptCount val="1"/>
                <c:pt idx="0">
                  <c:v>32,2320694967924</c:v>
                </c:pt>
              </c:strCache>
            </c:strRef>
          </c:tx>
          <c:spPr>
            <a:solidFill>
              <a:schemeClr val="accent2"/>
            </a:solidFill>
            <a:ln>
              <a:noFill/>
            </a:ln>
            <a:effectLst/>
          </c:spPr>
          <c:invertIfNegative val="0"/>
          <c:cat>
            <c:strRef>
              <c:f>'Pivot Monthly analysis'!$A$78:$A$82</c:f>
              <c:strCache>
                <c:ptCount val="4"/>
                <c:pt idx="0">
                  <c:v>Qtr1</c:v>
                </c:pt>
                <c:pt idx="1">
                  <c:v>Qtr2</c:v>
                </c:pt>
                <c:pt idx="2">
                  <c:v>Qtr3</c:v>
                </c:pt>
                <c:pt idx="3">
                  <c:v>Qtr4</c:v>
                </c:pt>
              </c:strCache>
            </c:strRef>
          </c:cat>
          <c:val>
            <c:numRef>
              <c:f>'Pivot Monthly analysis'!$C$78:$C$82</c:f>
              <c:numCache>
                <c:formatCode>General</c:formatCode>
                <c:ptCount val="4"/>
                <c:pt idx="2">
                  <c:v>32.232069496792406</c:v>
                </c:pt>
              </c:numCache>
            </c:numRef>
          </c:val>
          <c:extLst>
            <c:ext xmlns:c16="http://schemas.microsoft.com/office/drawing/2014/chart" uri="{C3380CC4-5D6E-409C-BE32-E72D297353CC}">
              <c16:uniqueId val="{0000005C-B514-4518-9965-95B16DA60CAF}"/>
            </c:ext>
          </c:extLst>
        </c:ser>
        <c:ser>
          <c:idx val="2"/>
          <c:order val="2"/>
          <c:tx>
            <c:strRef>
              <c:f>'Pivot Monthly analysis'!$D$76:$D$77</c:f>
              <c:strCache>
                <c:ptCount val="1"/>
                <c:pt idx="0">
                  <c:v>32,4682628433793</c:v>
                </c:pt>
              </c:strCache>
            </c:strRef>
          </c:tx>
          <c:spPr>
            <a:solidFill>
              <a:schemeClr val="accent3"/>
            </a:solidFill>
            <a:ln>
              <a:noFill/>
            </a:ln>
            <a:effectLst/>
          </c:spPr>
          <c:invertIfNegative val="0"/>
          <c:cat>
            <c:strRef>
              <c:f>'Pivot Monthly analysis'!$A$78:$A$82</c:f>
              <c:strCache>
                <c:ptCount val="4"/>
                <c:pt idx="0">
                  <c:v>Qtr1</c:v>
                </c:pt>
                <c:pt idx="1">
                  <c:v>Qtr2</c:v>
                </c:pt>
                <c:pt idx="2">
                  <c:v>Qtr3</c:v>
                </c:pt>
                <c:pt idx="3">
                  <c:v>Qtr4</c:v>
                </c:pt>
              </c:strCache>
            </c:strRef>
          </c:cat>
          <c:val>
            <c:numRef>
              <c:f>'Pivot Monthly analysis'!$D$78:$D$82</c:f>
              <c:numCache>
                <c:formatCode>General</c:formatCode>
                <c:ptCount val="4"/>
                <c:pt idx="0">
                  <c:v>32.468262843379257</c:v>
                </c:pt>
              </c:numCache>
            </c:numRef>
          </c:val>
          <c:extLst>
            <c:ext xmlns:c16="http://schemas.microsoft.com/office/drawing/2014/chart" uri="{C3380CC4-5D6E-409C-BE32-E72D297353CC}">
              <c16:uniqueId val="{0000005D-B514-4518-9965-95B16DA60CAF}"/>
            </c:ext>
          </c:extLst>
        </c:ser>
        <c:ser>
          <c:idx val="3"/>
          <c:order val="3"/>
          <c:tx>
            <c:strRef>
              <c:f>'Pivot Monthly analysis'!$E$76:$E$77</c:f>
              <c:strCache>
                <c:ptCount val="1"/>
                <c:pt idx="0">
                  <c:v>32,4702859171983</c:v>
                </c:pt>
              </c:strCache>
            </c:strRef>
          </c:tx>
          <c:spPr>
            <a:solidFill>
              <a:schemeClr val="accent4"/>
            </a:solidFill>
            <a:ln>
              <a:noFill/>
            </a:ln>
            <a:effectLst/>
          </c:spPr>
          <c:invertIfNegative val="0"/>
          <c:cat>
            <c:strRef>
              <c:f>'Pivot Monthly analysis'!$A$78:$A$82</c:f>
              <c:strCache>
                <c:ptCount val="4"/>
                <c:pt idx="0">
                  <c:v>Qtr1</c:v>
                </c:pt>
                <c:pt idx="1">
                  <c:v>Qtr2</c:v>
                </c:pt>
                <c:pt idx="2">
                  <c:v>Qtr3</c:v>
                </c:pt>
                <c:pt idx="3">
                  <c:v>Qtr4</c:v>
                </c:pt>
              </c:strCache>
            </c:strRef>
          </c:cat>
          <c:val>
            <c:numRef>
              <c:f>'Pivot Monthly analysis'!$E$78:$E$82</c:f>
              <c:numCache>
                <c:formatCode>General</c:formatCode>
                <c:ptCount val="4"/>
                <c:pt idx="1">
                  <c:v>32.470285917198318</c:v>
                </c:pt>
              </c:numCache>
            </c:numRef>
          </c:val>
          <c:extLst>
            <c:ext xmlns:c16="http://schemas.microsoft.com/office/drawing/2014/chart" uri="{C3380CC4-5D6E-409C-BE32-E72D297353CC}">
              <c16:uniqueId val="{0000005E-B514-4518-9965-95B16DA60CAF}"/>
            </c:ext>
          </c:extLst>
        </c:ser>
        <c:ser>
          <c:idx val="4"/>
          <c:order val="4"/>
          <c:tx>
            <c:strRef>
              <c:f>'Pivot Monthly analysis'!$F$76:$F$77</c:f>
              <c:strCache>
                <c:ptCount val="1"/>
                <c:pt idx="0">
                  <c:v>32,5743058362045</c:v>
                </c:pt>
              </c:strCache>
            </c:strRef>
          </c:tx>
          <c:spPr>
            <a:solidFill>
              <a:schemeClr val="accent5"/>
            </a:solidFill>
            <a:ln>
              <a:noFill/>
            </a:ln>
            <a:effectLst/>
          </c:spPr>
          <c:invertIfNegative val="0"/>
          <c:cat>
            <c:strRef>
              <c:f>'Pivot Monthly analysis'!$A$78:$A$82</c:f>
              <c:strCache>
                <c:ptCount val="4"/>
                <c:pt idx="0">
                  <c:v>Qtr1</c:v>
                </c:pt>
                <c:pt idx="1">
                  <c:v>Qtr2</c:v>
                </c:pt>
                <c:pt idx="2">
                  <c:v>Qtr3</c:v>
                </c:pt>
                <c:pt idx="3">
                  <c:v>Qtr4</c:v>
                </c:pt>
              </c:strCache>
            </c:strRef>
          </c:cat>
          <c:val>
            <c:numRef>
              <c:f>'Pivot Monthly analysis'!$F$78:$F$82</c:f>
              <c:numCache>
                <c:formatCode>General</c:formatCode>
                <c:ptCount val="4"/>
                <c:pt idx="3">
                  <c:v>32.574305836204545</c:v>
                </c:pt>
              </c:numCache>
            </c:numRef>
          </c:val>
          <c:extLst>
            <c:ext xmlns:c16="http://schemas.microsoft.com/office/drawing/2014/chart" uri="{C3380CC4-5D6E-409C-BE32-E72D297353CC}">
              <c16:uniqueId val="{0000005F-B514-4518-9965-95B16DA60CAF}"/>
            </c:ext>
          </c:extLst>
        </c:ser>
        <c:ser>
          <c:idx val="5"/>
          <c:order val="5"/>
          <c:tx>
            <c:strRef>
              <c:f>'Pivot Monthly analysis'!$G$76:$G$77</c:f>
              <c:strCache>
                <c:ptCount val="1"/>
                <c:pt idx="0">
                  <c:v>32,6341585784679</c:v>
                </c:pt>
              </c:strCache>
            </c:strRef>
          </c:tx>
          <c:spPr>
            <a:solidFill>
              <a:schemeClr val="accent6"/>
            </a:solidFill>
            <a:ln>
              <a:noFill/>
            </a:ln>
            <a:effectLst/>
          </c:spPr>
          <c:invertIfNegative val="0"/>
          <c:cat>
            <c:strRef>
              <c:f>'Pivot Monthly analysis'!$A$78:$A$82</c:f>
              <c:strCache>
                <c:ptCount val="4"/>
                <c:pt idx="0">
                  <c:v>Qtr1</c:v>
                </c:pt>
                <c:pt idx="1">
                  <c:v>Qtr2</c:v>
                </c:pt>
                <c:pt idx="2">
                  <c:v>Qtr3</c:v>
                </c:pt>
                <c:pt idx="3">
                  <c:v>Qtr4</c:v>
                </c:pt>
              </c:strCache>
            </c:strRef>
          </c:cat>
          <c:val>
            <c:numRef>
              <c:f>'Pivot Monthly analysis'!$G$78:$G$82</c:f>
              <c:numCache>
                <c:formatCode>General</c:formatCode>
                <c:ptCount val="4"/>
                <c:pt idx="1">
                  <c:v>32.634158578467883</c:v>
                </c:pt>
              </c:numCache>
            </c:numRef>
          </c:val>
          <c:extLst>
            <c:ext xmlns:c16="http://schemas.microsoft.com/office/drawing/2014/chart" uri="{C3380CC4-5D6E-409C-BE32-E72D297353CC}">
              <c16:uniqueId val="{00000060-B514-4518-9965-95B16DA60CAF}"/>
            </c:ext>
          </c:extLst>
        </c:ser>
        <c:ser>
          <c:idx val="6"/>
          <c:order val="6"/>
          <c:tx>
            <c:strRef>
              <c:f>'Pivot Monthly analysis'!$H$76:$H$77</c:f>
              <c:strCache>
                <c:ptCount val="1"/>
                <c:pt idx="0">
                  <c:v>32,74659137199</c:v>
                </c:pt>
              </c:strCache>
            </c:strRef>
          </c:tx>
          <c:spPr>
            <a:solidFill>
              <a:schemeClr val="accent1">
                <a:lumMod val="60000"/>
              </a:schemeClr>
            </a:solidFill>
            <a:ln>
              <a:noFill/>
            </a:ln>
            <a:effectLst/>
          </c:spPr>
          <c:invertIfNegative val="0"/>
          <c:cat>
            <c:strRef>
              <c:f>'Pivot Monthly analysis'!$A$78:$A$82</c:f>
              <c:strCache>
                <c:ptCount val="4"/>
                <c:pt idx="0">
                  <c:v>Qtr1</c:v>
                </c:pt>
                <c:pt idx="1">
                  <c:v>Qtr2</c:v>
                </c:pt>
                <c:pt idx="2">
                  <c:v>Qtr3</c:v>
                </c:pt>
                <c:pt idx="3">
                  <c:v>Qtr4</c:v>
                </c:pt>
              </c:strCache>
            </c:strRef>
          </c:cat>
          <c:val>
            <c:numRef>
              <c:f>'Pivot Monthly analysis'!$H$78:$H$82</c:f>
              <c:numCache>
                <c:formatCode>General</c:formatCode>
                <c:ptCount val="4"/>
                <c:pt idx="0">
                  <c:v>32.746591371989972</c:v>
                </c:pt>
              </c:numCache>
            </c:numRef>
          </c:val>
          <c:extLst>
            <c:ext xmlns:c16="http://schemas.microsoft.com/office/drawing/2014/chart" uri="{C3380CC4-5D6E-409C-BE32-E72D297353CC}">
              <c16:uniqueId val="{00000061-B514-4518-9965-95B16DA60CAF}"/>
            </c:ext>
          </c:extLst>
        </c:ser>
        <c:ser>
          <c:idx val="7"/>
          <c:order val="7"/>
          <c:tx>
            <c:strRef>
              <c:f>'Pivot Monthly analysis'!$I$76:$I$77</c:f>
              <c:strCache>
                <c:ptCount val="1"/>
                <c:pt idx="0">
                  <c:v>33,4112490212998</c:v>
                </c:pt>
              </c:strCache>
            </c:strRef>
          </c:tx>
          <c:spPr>
            <a:solidFill>
              <a:schemeClr val="accent2">
                <a:lumMod val="60000"/>
              </a:schemeClr>
            </a:solidFill>
            <a:ln>
              <a:noFill/>
            </a:ln>
            <a:effectLst/>
          </c:spPr>
          <c:invertIfNegative val="0"/>
          <c:cat>
            <c:strRef>
              <c:f>'Pivot Monthly analysis'!$A$78:$A$82</c:f>
              <c:strCache>
                <c:ptCount val="4"/>
                <c:pt idx="0">
                  <c:v>Qtr1</c:v>
                </c:pt>
                <c:pt idx="1">
                  <c:v>Qtr2</c:v>
                </c:pt>
                <c:pt idx="2">
                  <c:v>Qtr3</c:v>
                </c:pt>
                <c:pt idx="3">
                  <c:v>Qtr4</c:v>
                </c:pt>
              </c:strCache>
            </c:strRef>
          </c:cat>
          <c:val>
            <c:numRef>
              <c:f>'Pivot Monthly analysis'!$I$78:$I$82</c:f>
              <c:numCache>
                <c:formatCode>General</c:formatCode>
                <c:ptCount val="4"/>
                <c:pt idx="0">
                  <c:v>33.411249021299845</c:v>
                </c:pt>
              </c:numCache>
            </c:numRef>
          </c:val>
          <c:extLst>
            <c:ext xmlns:c16="http://schemas.microsoft.com/office/drawing/2014/chart" uri="{C3380CC4-5D6E-409C-BE32-E72D297353CC}">
              <c16:uniqueId val="{00000062-B514-4518-9965-95B16DA60CAF}"/>
            </c:ext>
          </c:extLst>
        </c:ser>
        <c:ser>
          <c:idx val="8"/>
          <c:order val="8"/>
          <c:tx>
            <c:strRef>
              <c:f>'Pivot Monthly analysis'!$J$76:$J$77</c:f>
              <c:strCache>
                <c:ptCount val="1"/>
                <c:pt idx="0">
                  <c:v>33,4604561625323</c:v>
                </c:pt>
              </c:strCache>
            </c:strRef>
          </c:tx>
          <c:spPr>
            <a:solidFill>
              <a:schemeClr val="accent3">
                <a:lumMod val="60000"/>
              </a:schemeClr>
            </a:solidFill>
            <a:ln>
              <a:noFill/>
            </a:ln>
            <a:effectLst/>
          </c:spPr>
          <c:invertIfNegative val="0"/>
          <c:cat>
            <c:strRef>
              <c:f>'Pivot Monthly analysis'!$A$78:$A$82</c:f>
              <c:strCache>
                <c:ptCount val="4"/>
                <c:pt idx="0">
                  <c:v>Qtr1</c:v>
                </c:pt>
                <c:pt idx="1">
                  <c:v>Qtr2</c:v>
                </c:pt>
                <c:pt idx="2">
                  <c:v>Qtr3</c:v>
                </c:pt>
                <c:pt idx="3">
                  <c:v>Qtr4</c:v>
                </c:pt>
              </c:strCache>
            </c:strRef>
          </c:cat>
          <c:val>
            <c:numRef>
              <c:f>'Pivot Monthly analysis'!$J$78:$J$82</c:f>
              <c:numCache>
                <c:formatCode>General</c:formatCode>
                <c:ptCount val="4"/>
                <c:pt idx="2">
                  <c:v>33.460456162532253</c:v>
                </c:pt>
              </c:numCache>
            </c:numRef>
          </c:val>
          <c:extLst>
            <c:ext xmlns:c16="http://schemas.microsoft.com/office/drawing/2014/chart" uri="{C3380CC4-5D6E-409C-BE32-E72D297353CC}">
              <c16:uniqueId val="{00000063-B514-4518-9965-95B16DA60CAF}"/>
            </c:ext>
          </c:extLst>
        </c:ser>
        <c:ser>
          <c:idx val="9"/>
          <c:order val="9"/>
          <c:tx>
            <c:strRef>
              <c:f>'Pivot Monthly analysis'!$K$76:$K$77</c:f>
              <c:strCache>
                <c:ptCount val="1"/>
                <c:pt idx="0">
                  <c:v>33,8561177218048</c:v>
                </c:pt>
              </c:strCache>
            </c:strRef>
          </c:tx>
          <c:spPr>
            <a:solidFill>
              <a:schemeClr val="accent4">
                <a:lumMod val="60000"/>
              </a:schemeClr>
            </a:solidFill>
            <a:ln>
              <a:noFill/>
            </a:ln>
            <a:effectLst/>
          </c:spPr>
          <c:invertIfNegative val="0"/>
          <c:cat>
            <c:strRef>
              <c:f>'Pivot Monthly analysis'!$A$78:$A$82</c:f>
              <c:strCache>
                <c:ptCount val="4"/>
                <c:pt idx="0">
                  <c:v>Qtr1</c:v>
                </c:pt>
                <c:pt idx="1">
                  <c:v>Qtr2</c:v>
                </c:pt>
                <c:pt idx="2">
                  <c:v>Qtr3</c:v>
                </c:pt>
                <c:pt idx="3">
                  <c:v>Qtr4</c:v>
                </c:pt>
              </c:strCache>
            </c:strRef>
          </c:cat>
          <c:val>
            <c:numRef>
              <c:f>'Pivot Monthly analysis'!$K$78:$K$82</c:f>
              <c:numCache>
                <c:formatCode>General</c:formatCode>
                <c:ptCount val="4"/>
                <c:pt idx="1">
                  <c:v>33.856117721804779</c:v>
                </c:pt>
              </c:numCache>
            </c:numRef>
          </c:val>
          <c:extLst>
            <c:ext xmlns:c16="http://schemas.microsoft.com/office/drawing/2014/chart" uri="{C3380CC4-5D6E-409C-BE32-E72D297353CC}">
              <c16:uniqueId val="{00000064-B514-4518-9965-95B16DA60CAF}"/>
            </c:ext>
          </c:extLst>
        </c:ser>
        <c:ser>
          <c:idx val="10"/>
          <c:order val="10"/>
          <c:tx>
            <c:strRef>
              <c:f>'Pivot Monthly analysis'!$L$76:$L$77</c:f>
              <c:strCache>
                <c:ptCount val="1"/>
                <c:pt idx="0">
                  <c:v>34,2896097021517</c:v>
                </c:pt>
              </c:strCache>
            </c:strRef>
          </c:tx>
          <c:spPr>
            <a:solidFill>
              <a:schemeClr val="accent5">
                <a:lumMod val="60000"/>
              </a:schemeClr>
            </a:solidFill>
            <a:ln>
              <a:noFill/>
            </a:ln>
            <a:effectLst/>
          </c:spPr>
          <c:invertIfNegative val="0"/>
          <c:cat>
            <c:strRef>
              <c:f>'Pivot Monthly analysis'!$A$78:$A$82</c:f>
              <c:strCache>
                <c:ptCount val="4"/>
                <c:pt idx="0">
                  <c:v>Qtr1</c:v>
                </c:pt>
                <c:pt idx="1">
                  <c:v>Qtr2</c:v>
                </c:pt>
                <c:pt idx="2">
                  <c:v>Qtr3</c:v>
                </c:pt>
                <c:pt idx="3">
                  <c:v>Qtr4</c:v>
                </c:pt>
              </c:strCache>
            </c:strRef>
          </c:cat>
          <c:val>
            <c:numRef>
              <c:f>'Pivot Monthly analysis'!$L$78:$L$82</c:f>
              <c:numCache>
                <c:formatCode>General</c:formatCode>
                <c:ptCount val="4"/>
                <c:pt idx="1">
                  <c:v>34.289609702151743</c:v>
                </c:pt>
              </c:numCache>
            </c:numRef>
          </c:val>
          <c:extLst>
            <c:ext xmlns:c16="http://schemas.microsoft.com/office/drawing/2014/chart" uri="{C3380CC4-5D6E-409C-BE32-E72D297353CC}">
              <c16:uniqueId val="{00000065-B514-4518-9965-95B16DA60CAF}"/>
            </c:ext>
          </c:extLst>
        </c:ser>
        <c:ser>
          <c:idx val="11"/>
          <c:order val="11"/>
          <c:tx>
            <c:strRef>
              <c:f>'Pivot Monthly analysis'!$M$76:$M$77</c:f>
              <c:strCache>
                <c:ptCount val="1"/>
                <c:pt idx="0">
                  <c:v>34,5042099200564</c:v>
                </c:pt>
              </c:strCache>
            </c:strRef>
          </c:tx>
          <c:spPr>
            <a:solidFill>
              <a:schemeClr val="accent6">
                <a:lumMod val="60000"/>
              </a:schemeClr>
            </a:solidFill>
            <a:ln>
              <a:noFill/>
            </a:ln>
            <a:effectLst/>
          </c:spPr>
          <c:invertIfNegative val="0"/>
          <c:cat>
            <c:strRef>
              <c:f>'Pivot Monthly analysis'!$A$78:$A$82</c:f>
              <c:strCache>
                <c:ptCount val="4"/>
                <c:pt idx="0">
                  <c:v>Qtr1</c:v>
                </c:pt>
                <c:pt idx="1">
                  <c:v>Qtr2</c:v>
                </c:pt>
                <c:pt idx="2">
                  <c:v>Qtr3</c:v>
                </c:pt>
                <c:pt idx="3">
                  <c:v>Qtr4</c:v>
                </c:pt>
              </c:strCache>
            </c:strRef>
          </c:cat>
          <c:val>
            <c:numRef>
              <c:f>'Pivot Monthly analysis'!$M$78:$M$82</c:f>
              <c:numCache>
                <c:formatCode>General</c:formatCode>
                <c:ptCount val="4"/>
                <c:pt idx="3">
                  <c:v>34.50420992005639</c:v>
                </c:pt>
              </c:numCache>
            </c:numRef>
          </c:val>
          <c:extLst>
            <c:ext xmlns:c16="http://schemas.microsoft.com/office/drawing/2014/chart" uri="{C3380CC4-5D6E-409C-BE32-E72D297353CC}">
              <c16:uniqueId val="{00000066-B514-4518-9965-95B16DA60CAF}"/>
            </c:ext>
          </c:extLst>
        </c:ser>
        <c:ser>
          <c:idx val="12"/>
          <c:order val="12"/>
          <c:tx>
            <c:strRef>
              <c:f>'Pivot Monthly analysis'!$N$76:$N$77</c:f>
              <c:strCache>
                <c:ptCount val="1"/>
                <c:pt idx="0">
                  <c:v>34,6336677515569</c:v>
                </c:pt>
              </c:strCache>
            </c:strRef>
          </c:tx>
          <c:spPr>
            <a:solidFill>
              <a:schemeClr val="accent1">
                <a:lumMod val="80000"/>
                <a:lumOff val="20000"/>
              </a:schemeClr>
            </a:solidFill>
            <a:ln>
              <a:noFill/>
            </a:ln>
            <a:effectLst/>
          </c:spPr>
          <c:invertIfNegative val="0"/>
          <c:cat>
            <c:strRef>
              <c:f>'Pivot Monthly analysis'!$A$78:$A$82</c:f>
              <c:strCache>
                <c:ptCount val="4"/>
                <c:pt idx="0">
                  <c:v>Qtr1</c:v>
                </c:pt>
                <c:pt idx="1">
                  <c:v>Qtr2</c:v>
                </c:pt>
                <c:pt idx="2">
                  <c:v>Qtr3</c:v>
                </c:pt>
                <c:pt idx="3">
                  <c:v>Qtr4</c:v>
                </c:pt>
              </c:strCache>
            </c:strRef>
          </c:cat>
          <c:val>
            <c:numRef>
              <c:f>'Pivot Monthly analysis'!$N$78:$N$82</c:f>
              <c:numCache>
                <c:formatCode>General</c:formatCode>
                <c:ptCount val="4"/>
                <c:pt idx="2">
                  <c:v>34.633667751556885</c:v>
                </c:pt>
              </c:numCache>
            </c:numRef>
          </c:val>
          <c:extLst>
            <c:ext xmlns:c16="http://schemas.microsoft.com/office/drawing/2014/chart" uri="{C3380CC4-5D6E-409C-BE32-E72D297353CC}">
              <c16:uniqueId val="{00000067-B514-4518-9965-95B16DA60CAF}"/>
            </c:ext>
          </c:extLst>
        </c:ser>
        <c:ser>
          <c:idx val="13"/>
          <c:order val="13"/>
          <c:tx>
            <c:strRef>
              <c:f>'Pivot Monthly analysis'!$O$76:$O$77</c:f>
              <c:strCache>
                <c:ptCount val="1"/>
                <c:pt idx="0">
                  <c:v>34,9929307233945</c:v>
                </c:pt>
              </c:strCache>
            </c:strRef>
          </c:tx>
          <c:spPr>
            <a:solidFill>
              <a:schemeClr val="accent2">
                <a:lumMod val="80000"/>
                <a:lumOff val="20000"/>
              </a:schemeClr>
            </a:solidFill>
            <a:ln>
              <a:noFill/>
            </a:ln>
            <a:effectLst/>
          </c:spPr>
          <c:invertIfNegative val="0"/>
          <c:cat>
            <c:strRef>
              <c:f>'Pivot Monthly analysis'!$A$78:$A$82</c:f>
              <c:strCache>
                <c:ptCount val="4"/>
                <c:pt idx="0">
                  <c:v>Qtr1</c:v>
                </c:pt>
                <c:pt idx="1">
                  <c:v>Qtr2</c:v>
                </c:pt>
                <c:pt idx="2">
                  <c:v>Qtr3</c:v>
                </c:pt>
                <c:pt idx="3">
                  <c:v>Qtr4</c:v>
                </c:pt>
              </c:strCache>
            </c:strRef>
          </c:cat>
          <c:val>
            <c:numRef>
              <c:f>'Pivot Monthly analysis'!$O$78:$O$82</c:f>
              <c:numCache>
                <c:formatCode>General</c:formatCode>
                <c:ptCount val="4"/>
                <c:pt idx="1">
                  <c:v>34.99293072339448</c:v>
                </c:pt>
              </c:numCache>
            </c:numRef>
          </c:val>
          <c:extLst>
            <c:ext xmlns:c16="http://schemas.microsoft.com/office/drawing/2014/chart" uri="{C3380CC4-5D6E-409C-BE32-E72D297353CC}">
              <c16:uniqueId val="{00000068-B514-4518-9965-95B16DA60CAF}"/>
            </c:ext>
          </c:extLst>
        </c:ser>
        <c:ser>
          <c:idx val="14"/>
          <c:order val="14"/>
          <c:tx>
            <c:strRef>
              <c:f>'Pivot Monthly analysis'!$P$76:$P$77</c:f>
              <c:strCache>
                <c:ptCount val="1"/>
                <c:pt idx="0">
                  <c:v>35,1342362043706</c:v>
                </c:pt>
              </c:strCache>
            </c:strRef>
          </c:tx>
          <c:spPr>
            <a:solidFill>
              <a:schemeClr val="accent3">
                <a:lumMod val="80000"/>
                <a:lumOff val="20000"/>
              </a:schemeClr>
            </a:solidFill>
            <a:ln>
              <a:noFill/>
            </a:ln>
            <a:effectLst/>
          </c:spPr>
          <c:invertIfNegative val="0"/>
          <c:cat>
            <c:strRef>
              <c:f>'Pivot Monthly analysis'!$A$78:$A$82</c:f>
              <c:strCache>
                <c:ptCount val="4"/>
                <c:pt idx="0">
                  <c:v>Qtr1</c:v>
                </c:pt>
                <c:pt idx="1">
                  <c:v>Qtr2</c:v>
                </c:pt>
                <c:pt idx="2">
                  <c:v>Qtr3</c:v>
                </c:pt>
                <c:pt idx="3">
                  <c:v>Qtr4</c:v>
                </c:pt>
              </c:strCache>
            </c:strRef>
          </c:cat>
          <c:val>
            <c:numRef>
              <c:f>'Pivot Monthly analysis'!$P$78:$P$82</c:f>
              <c:numCache>
                <c:formatCode>General</c:formatCode>
                <c:ptCount val="4"/>
                <c:pt idx="2">
                  <c:v>35.134236204370616</c:v>
                </c:pt>
              </c:numCache>
            </c:numRef>
          </c:val>
          <c:extLst>
            <c:ext xmlns:c16="http://schemas.microsoft.com/office/drawing/2014/chart" uri="{C3380CC4-5D6E-409C-BE32-E72D297353CC}">
              <c16:uniqueId val="{00000069-B514-4518-9965-95B16DA60CAF}"/>
            </c:ext>
          </c:extLst>
        </c:ser>
        <c:ser>
          <c:idx val="15"/>
          <c:order val="15"/>
          <c:tx>
            <c:strRef>
              <c:f>'Pivot Monthly analysis'!$Q$76:$Q$77</c:f>
              <c:strCache>
                <c:ptCount val="1"/>
                <c:pt idx="0">
                  <c:v>35,1763019095742</c:v>
                </c:pt>
              </c:strCache>
            </c:strRef>
          </c:tx>
          <c:spPr>
            <a:solidFill>
              <a:schemeClr val="accent4">
                <a:lumMod val="80000"/>
                <a:lumOff val="20000"/>
              </a:schemeClr>
            </a:solidFill>
            <a:ln>
              <a:noFill/>
            </a:ln>
            <a:effectLst/>
          </c:spPr>
          <c:invertIfNegative val="0"/>
          <c:cat>
            <c:strRef>
              <c:f>'Pivot Monthly analysis'!$A$78:$A$82</c:f>
              <c:strCache>
                <c:ptCount val="4"/>
                <c:pt idx="0">
                  <c:v>Qtr1</c:v>
                </c:pt>
                <c:pt idx="1">
                  <c:v>Qtr2</c:v>
                </c:pt>
                <c:pt idx="2">
                  <c:v>Qtr3</c:v>
                </c:pt>
                <c:pt idx="3">
                  <c:v>Qtr4</c:v>
                </c:pt>
              </c:strCache>
            </c:strRef>
          </c:cat>
          <c:val>
            <c:numRef>
              <c:f>'Pivot Monthly analysis'!$Q$78:$Q$82</c:f>
              <c:numCache>
                <c:formatCode>General</c:formatCode>
                <c:ptCount val="4"/>
                <c:pt idx="3">
                  <c:v>35.176301909574214</c:v>
                </c:pt>
              </c:numCache>
            </c:numRef>
          </c:val>
          <c:extLst>
            <c:ext xmlns:c16="http://schemas.microsoft.com/office/drawing/2014/chart" uri="{C3380CC4-5D6E-409C-BE32-E72D297353CC}">
              <c16:uniqueId val="{0000006A-B514-4518-9965-95B16DA60CAF}"/>
            </c:ext>
          </c:extLst>
        </c:ser>
        <c:ser>
          <c:idx val="16"/>
          <c:order val="16"/>
          <c:tx>
            <c:strRef>
              <c:f>'Pivot Monthly analysis'!$R$76:$R$77</c:f>
              <c:strCache>
                <c:ptCount val="1"/>
                <c:pt idx="0">
                  <c:v>35,3404137780449</c:v>
                </c:pt>
              </c:strCache>
            </c:strRef>
          </c:tx>
          <c:spPr>
            <a:solidFill>
              <a:schemeClr val="accent5">
                <a:lumMod val="80000"/>
                <a:lumOff val="20000"/>
              </a:schemeClr>
            </a:solidFill>
            <a:ln>
              <a:noFill/>
            </a:ln>
            <a:effectLst/>
          </c:spPr>
          <c:invertIfNegative val="0"/>
          <c:cat>
            <c:strRef>
              <c:f>'Pivot Monthly analysis'!$A$78:$A$82</c:f>
              <c:strCache>
                <c:ptCount val="4"/>
                <c:pt idx="0">
                  <c:v>Qtr1</c:v>
                </c:pt>
                <c:pt idx="1">
                  <c:v>Qtr2</c:v>
                </c:pt>
                <c:pt idx="2">
                  <c:v>Qtr3</c:v>
                </c:pt>
                <c:pt idx="3">
                  <c:v>Qtr4</c:v>
                </c:pt>
              </c:strCache>
            </c:strRef>
          </c:cat>
          <c:val>
            <c:numRef>
              <c:f>'Pivot Monthly analysis'!$R$78:$R$82</c:f>
              <c:numCache>
                <c:formatCode>General</c:formatCode>
                <c:ptCount val="4"/>
                <c:pt idx="1">
                  <c:v>35.340413778044855</c:v>
                </c:pt>
              </c:numCache>
            </c:numRef>
          </c:val>
          <c:extLst>
            <c:ext xmlns:c16="http://schemas.microsoft.com/office/drawing/2014/chart" uri="{C3380CC4-5D6E-409C-BE32-E72D297353CC}">
              <c16:uniqueId val="{0000006B-B514-4518-9965-95B16DA60CAF}"/>
            </c:ext>
          </c:extLst>
        </c:ser>
        <c:ser>
          <c:idx val="17"/>
          <c:order val="17"/>
          <c:tx>
            <c:strRef>
              <c:f>'Pivot Monthly analysis'!$S$76:$S$77</c:f>
              <c:strCache>
                <c:ptCount val="1"/>
                <c:pt idx="0">
                  <c:v>35,6834881140742</c:v>
                </c:pt>
              </c:strCache>
            </c:strRef>
          </c:tx>
          <c:spPr>
            <a:solidFill>
              <a:schemeClr val="accent6">
                <a:lumMod val="80000"/>
                <a:lumOff val="20000"/>
              </a:schemeClr>
            </a:solidFill>
            <a:ln>
              <a:noFill/>
            </a:ln>
            <a:effectLst/>
          </c:spPr>
          <c:invertIfNegative val="0"/>
          <c:cat>
            <c:strRef>
              <c:f>'Pivot Monthly analysis'!$A$78:$A$82</c:f>
              <c:strCache>
                <c:ptCount val="4"/>
                <c:pt idx="0">
                  <c:v>Qtr1</c:v>
                </c:pt>
                <c:pt idx="1">
                  <c:v>Qtr2</c:v>
                </c:pt>
                <c:pt idx="2">
                  <c:v>Qtr3</c:v>
                </c:pt>
                <c:pt idx="3">
                  <c:v>Qtr4</c:v>
                </c:pt>
              </c:strCache>
            </c:strRef>
          </c:cat>
          <c:val>
            <c:numRef>
              <c:f>'Pivot Monthly analysis'!$S$78:$S$82</c:f>
              <c:numCache>
                <c:formatCode>General</c:formatCode>
                <c:ptCount val="4"/>
                <c:pt idx="3">
                  <c:v>35.683488114074187</c:v>
                </c:pt>
              </c:numCache>
            </c:numRef>
          </c:val>
          <c:extLst>
            <c:ext xmlns:c16="http://schemas.microsoft.com/office/drawing/2014/chart" uri="{C3380CC4-5D6E-409C-BE32-E72D297353CC}">
              <c16:uniqueId val="{0000006C-B514-4518-9965-95B16DA60CAF}"/>
            </c:ext>
          </c:extLst>
        </c:ser>
        <c:ser>
          <c:idx val="18"/>
          <c:order val="18"/>
          <c:tx>
            <c:strRef>
              <c:f>'Pivot Monthly analysis'!$T$76:$T$77</c:f>
              <c:strCache>
                <c:ptCount val="1"/>
                <c:pt idx="0">
                  <c:v>35,8863883027981</c:v>
                </c:pt>
              </c:strCache>
            </c:strRef>
          </c:tx>
          <c:spPr>
            <a:solidFill>
              <a:schemeClr val="accent1">
                <a:lumMod val="80000"/>
              </a:schemeClr>
            </a:solidFill>
            <a:ln>
              <a:noFill/>
            </a:ln>
            <a:effectLst/>
          </c:spPr>
          <c:invertIfNegative val="0"/>
          <c:cat>
            <c:strRef>
              <c:f>'Pivot Monthly analysis'!$A$78:$A$82</c:f>
              <c:strCache>
                <c:ptCount val="4"/>
                <c:pt idx="0">
                  <c:v>Qtr1</c:v>
                </c:pt>
                <c:pt idx="1">
                  <c:v>Qtr2</c:v>
                </c:pt>
                <c:pt idx="2">
                  <c:v>Qtr3</c:v>
                </c:pt>
                <c:pt idx="3">
                  <c:v>Qtr4</c:v>
                </c:pt>
              </c:strCache>
            </c:strRef>
          </c:cat>
          <c:val>
            <c:numRef>
              <c:f>'Pivot Monthly analysis'!$T$78:$T$82</c:f>
              <c:numCache>
                <c:formatCode>General</c:formatCode>
                <c:ptCount val="4"/>
                <c:pt idx="0">
                  <c:v>35.886388302798053</c:v>
                </c:pt>
              </c:numCache>
            </c:numRef>
          </c:val>
          <c:extLst>
            <c:ext xmlns:c16="http://schemas.microsoft.com/office/drawing/2014/chart" uri="{C3380CC4-5D6E-409C-BE32-E72D297353CC}">
              <c16:uniqueId val="{0000006D-B514-4518-9965-95B16DA60CAF}"/>
            </c:ext>
          </c:extLst>
        </c:ser>
        <c:ser>
          <c:idx val="19"/>
          <c:order val="19"/>
          <c:tx>
            <c:strRef>
              <c:f>'Pivot Monthly analysis'!$U$76:$U$77</c:f>
              <c:strCache>
                <c:ptCount val="1"/>
                <c:pt idx="0">
                  <c:v>36,1313548155906</c:v>
                </c:pt>
              </c:strCache>
            </c:strRef>
          </c:tx>
          <c:spPr>
            <a:solidFill>
              <a:schemeClr val="accent2">
                <a:lumMod val="80000"/>
              </a:schemeClr>
            </a:solidFill>
            <a:ln>
              <a:noFill/>
            </a:ln>
            <a:effectLst/>
          </c:spPr>
          <c:invertIfNegative val="0"/>
          <c:cat>
            <c:strRef>
              <c:f>'Pivot Monthly analysis'!$A$78:$A$82</c:f>
              <c:strCache>
                <c:ptCount val="4"/>
                <c:pt idx="0">
                  <c:v>Qtr1</c:v>
                </c:pt>
                <c:pt idx="1">
                  <c:v>Qtr2</c:v>
                </c:pt>
                <c:pt idx="2">
                  <c:v>Qtr3</c:v>
                </c:pt>
                <c:pt idx="3">
                  <c:v>Qtr4</c:v>
                </c:pt>
              </c:strCache>
            </c:strRef>
          </c:cat>
          <c:val>
            <c:numRef>
              <c:f>'Pivot Monthly analysis'!$U$78:$U$82</c:f>
              <c:numCache>
                <c:formatCode>General</c:formatCode>
                <c:ptCount val="4"/>
                <c:pt idx="2">
                  <c:v>36.131354815590591</c:v>
                </c:pt>
              </c:numCache>
            </c:numRef>
          </c:val>
          <c:extLst>
            <c:ext xmlns:c16="http://schemas.microsoft.com/office/drawing/2014/chart" uri="{C3380CC4-5D6E-409C-BE32-E72D297353CC}">
              <c16:uniqueId val="{0000006E-B514-4518-9965-95B16DA60CAF}"/>
            </c:ext>
          </c:extLst>
        </c:ser>
        <c:ser>
          <c:idx val="20"/>
          <c:order val="20"/>
          <c:tx>
            <c:strRef>
              <c:f>'Pivot Monthly analysis'!$V$76:$V$77</c:f>
              <c:strCache>
                <c:ptCount val="1"/>
                <c:pt idx="0">
                  <c:v>36,4094402889342</c:v>
                </c:pt>
              </c:strCache>
            </c:strRef>
          </c:tx>
          <c:spPr>
            <a:solidFill>
              <a:schemeClr val="accent3">
                <a:lumMod val="80000"/>
              </a:schemeClr>
            </a:solidFill>
            <a:ln>
              <a:noFill/>
            </a:ln>
            <a:effectLst/>
          </c:spPr>
          <c:invertIfNegative val="0"/>
          <c:cat>
            <c:strRef>
              <c:f>'Pivot Monthly analysis'!$A$78:$A$82</c:f>
              <c:strCache>
                <c:ptCount val="4"/>
                <c:pt idx="0">
                  <c:v>Qtr1</c:v>
                </c:pt>
                <c:pt idx="1">
                  <c:v>Qtr2</c:v>
                </c:pt>
                <c:pt idx="2">
                  <c:v>Qtr3</c:v>
                </c:pt>
                <c:pt idx="3">
                  <c:v>Qtr4</c:v>
                </c:pt>
              </c:strCache>
            </c:strRef>
          </c:cat>
          <c:val>
            <c:numRef>
              <c:f>'Pivot Monthly analysis'!$V$78:$V$82</c:f>
              <c:numCache>
                <c:formatCode>General</c:formatCode>
                <c:ptCount val="4"/>
                <c:pt idx="3">
                  <c:v>36.409440288934213</c:v>
                </c:pt>
              </c:numCache>
            </c:numRef>
          </c:val>
          <c:extLst>
            <c:ext xmlns:c16="http://schemas.microsoft.com/office/drawing/2014/chart" uri="{C3380CC4-5D6E-409C-BE32-E72D297353CC}">
              <c16:uniqueId val="{0000006F-B514-4518-9965-95B16DA60CAF}"/>
            </c:ext>
          </c:extLst>
        </c:ser>
        <c:ser>
          <c:idx val="21"/>
          <c:order val="21"/>
          <c:tx>
            <c:strRef>
              <c:f>'Pivot Monthly analysis'!$W$76:$W$77</c:f>
              <c:strCache>
                <c:ptCount val="1"/>
                <c:pt idx="0">
                  <c:v>36,6763971585714</c:v>
                </c:pt>
              </c:strCache>
            </c:strRef>
          </c:tx>
          <c:spPr>
            <a:solidFill>
              <a:schemeClr val="accent4">
                <a:lumMod val="80000"/>
              </a:schemeClr>
            </a:solidFill>
            <a:ln>
              <a:noFill/>
            </a:ln>
            <a:effectLst/>
          </c:spPr>
          <c:invertIfNegative val="0"/>
          <c:cat>
            <c:strRef>
              <c:f>'Pivot Monthly analysis'!$A$78:$A$82</c:f>
              <c:strCache>
                <c:ptCount val="4"/>
                <c:pt idx="0">
                  <c:v>Qtr1</c:v>
                </c:pt>
                <c:pt idx="1">
                  <c:v>Qtr2</c:v>
                </c:pt>
                <c:pt idx="2">
                  <c:v>Qtr3</c:v>
                </c:pt>
                <c:pt idx="3">
                  <c:v>Qtr4</c:v>
                </c:pt>
              </c:strCache>
            </c:strRef>
          </c:cat>
          <c:val>
            <c:numRef>
              <c:f>'Pivot Monthly analysis'!$W$78:$W$82</c:f>
              <c:numCache>
                <c:formatCode>General</c:formatCode>
                <c:ptCount val="4"/>
                <c:pt idx="2">
                  <c:v>36.67639715857144</c:v>
                </c:pt>
              </c:numCache>
            </c:numRef>
          </c:val>
          <c:extLst>
            <c:ext xmlns:c16="http://schemas.microsoft.com/office/drawing/2014/chart" uri="{C3380CC4-5D6E-409C-BE32-E72D297353CC}">
              <c16:uniqueId val="{00000070-B514-4518-9965-95B16DA60CAF}"/>
            </c:ext>
          </c:extLst>
        </c:ser>
        <c:ser>
          <c:idx val="22"/>
          <c:order val="22"/>
          <c:tx>
            <c:strRef>
              <c:f>'Pivot Monthly analysis'!$X$76:$X$77</c:f>
              <c:strCache>
                <c:ptCount val="1"/>
                <c:pt idx="0">
                  <c:v>36,7595464379005</c:v>
                </c:pt>
              </c:strCache>
            </c:strRef>
          </c:tx>
          <c:spPr>
            <a:solidFill>
              <a:schemeClr val="accent5">
                <a:lumMod val="80000"/>
              </a:schemeClr>
            </a:solidFill>
            <a:ln>
              <a:noFill/>
            </a:ln>
            <a:effectLst/>
          </c:spPr>
          <c:invertIfNegative val="0"/>
          <c:cat>
            <c:strRef>
              <c:f>'Pivot Monthly analysis'!$A$78:$A$82</c:f>
              <c:strCache>
                <c:ptCount val="4"/>
                <c:pt idx="0">
                  <c:v>Qtr1</c:v>
                </c:pt>
                <c:pt idx="1">
                  <c:v>Qtr2</c:v>
                </c:pt>
                <c:pt idx="2">
                  <c:v>Qtr3</c:v>
                </c:pt>
                <c:pt idx="3">
                  <c:v>Qtr4</c:v>
                </c:pt>
              </c:strCache>
            </c:strRef>
          </c:cat>
          <c:val>
            <c:numRef>
              <c:f>'Pivot Monthly analysis'!$X$78:$X$82</c:f>
              <c:numCache>
                <c:formatCode>General</c:formatCode>
                <c:ptCount val="4"/>
                <c:pt idx="2">
                  <c:v>36.759546437900489</c:v>
                </c:pt>
              </c:numCache>
            </c:numRef>
          </c:val>
          <c:extLst>
            <c:ext xmlns:c16="http://schemas.microsoft.com/office/drawing/2014/chart" uri="{C3380CC4-5D6E-409C-BE32-E72D297353CC}">
              <c16:uniqueId val="{00000071-B514-4518-9965-95B16DA60CAF}"/>
            </c:ext>
          </c:extLst>
        </c:ser>
        <c:ser>
          <c:idx val="23"/>
          <c:order val="23"/>
          <c:tx>
            <c:strRef>
              <c:f>'Pivot Monthly analysis'!$Y$76:$Y$77</c:f>
              <c:strCache>
                <c:ptCount val="1"/>
                <c:pt idx="0">
                  <c:v>36,7838356880667</c:v>
                </c:pt>
              </c:strCache>
            </c:strRef>
          </c:tx>
          <c:spPr>
            <a:solidFill>
              <a:schemeClr val="accent6">
                <a:lumMod val="80000"/>
              </a:schemeClr>
            </a:solidFill>
            <a:ln>
              <a:noFill/>
            </a:ln>
            <a:effectLst/>
          </c:spPr>
          <c:invertIfNegative val="0"/>
          <c:cat>
            <c:strRef>
              <c:f>'Pivot Monthly analysis'!$A$78:$A$82</c:f>
              <c:strCache>
                <c:ptCount val="4"/>
                <c:pt idx="0">
                  <c:v>Qtr1</c:v>
                </c:pt>
                <c:pt idx="1">
                  <c:v>Qtr2</c:v>
                </c:pt>
                <c:pt idx="2">
                  <c:v>Qtr3</c:v>
                </c:pt>
                <c:pt idx="3">
                  <c:v>Qtr4</c:v>
                </c:pt>
              </c:strCache>
            </c:strRef>
          </c:cat>
          <c:val>
            <c:numRef>
              <c:f>'Pivot Monthly analysis'!$Y$78:$Y$82</c:f>
              <c:numCache>
                <c:formatCode>General</c:formatCode>
                <c:ptCount val="4"/>
                <c:pt idx="0">
                  <c:v>36.783835688066745</c:v>
                </c:pt>
              </c:numCache>
            </c:numRef>
          </c:val>
          <c:extLst>
            <c:ext xmlns:c16="http://schemas.microsoft.com/office/drawing/2014/chart" uri="{C3380CC4-5D6E-409C-BE32-E72D297353CC}">
              <c16:uniqueId val="{00000072-B514-4518-9965-95B16DA60CAF}"/>
            </c:ext>
          </c:extLst>
        </c:ser>
        <c:ser>
          <c:idx val="24"/>
          <c:order val="24"/>
          <c:tx>
            <c:strRef>
              <c:f>'Pivot Monthly analysis'!$Z$76:$Z$77</c:f>
              <c:strCache>
                <c:ptCount val="1"/>
                <c:pt idx="0">
                  <c:v>37,9769776521478</c:v>
                </c:pt>
              </c:strCache>
            </c:strRef>
          </c:tx>
          <c:spPr>
            <a:solidFill>
              <a:schemeClr val="accent1">
                <a:lumMod val="60000"/>
                <a:lumOff val="40000"/>
              </a:schemeClr>
            </a:solidFill>
            <a:ln>
              <a:noFill/>
            </a:ln>
            <a:effectLst/>
          </c:spPr>
          <c:invertIfNegative val="0"/>
          <c:cat>
            <c:strRef>
              <c:f>'Pivot Monthly analysis'!$A$78:$A$82</c:f>
              <c:strCache>
                <c:ptCount val="4"/>
                <c:pt idx="0">
                  <c:v>Qtr1</c:v>
                </c:pt>
                <c:pt idx="1">
                  <c:v>Qtr2</c:v>
                </c:pt>
                <c:pt idx="2">
                  <c:v>Qtr3</c:v>
                </c:pt>
                <c:pt idx="3">
                  <c:v>Qtr4</c:v>
                </c:pt>
              </c:strCache>
            </c:strRef>
          </c:cat>
          <c:val>
            <c:numRef>
              <c:f>'Pivot Monthly analysis'!$Z$78:$Z$82</c:f>
              <c:numCache>
                <c:formatCode>General</c:formatCode>
                <c:ptCount val="4"/>
                <c:pt idx="1">
                  <c:v>37.976977652147752</c:v>
                </c:pt>
              </c:numCache>
            </c:numRef>
          </c:val>
          <c:extLst>
            <c:ext xmlns:c16="http://schemas.microsoft.com/office/drawing/2014/chart" uri="{C3380CC4-5D6E-409C-BE32-E72D297353CC}">
              <c16:uniqueId val="{00000073-B514-4518-9965-95B16DA60CAF}"/>
            </c:ext>
          </c:extLst>
        </c:ser>
        <c:ser>
          <c:idx val="25"/>
          <c:order val="25"/>
          <c:tx>
            <c:strRef>
              <c:f>'Pivot Monthly analysis'!$AA$76:$AA$77</c:f>
              <c:strCache>
                <c:ptCount val="1"/>
                <c:pt idx="0">
                  <c:v>38,367043381602</c:v>
                </c:pt>
              </c:strCache>
            </c:strRef>
          </c:tx>
          <c:spPr>
            <a:solidFill>
              <a:schemeClr val="accent2">
                <a:lumMod val="60000"/>
                <a:lumOff val="40000"/>
              </a:schemeClr>
            </a:solidFill>
            <a:ln>
              <a:noFill/>
            </a:ln>
            <a:effectLst/>
          </c:spPr>
          <c:invertIfNegative val="0"/>
          <c:cat>
            <c:strRef>
              <c:f>'Pivot Monthly analysis'!$A$78:$A$82</c:f>
              <c:strCache>
                <c:ptCount val="4"/>
                <c:pt idx="0">
                  <c:v>Qtr1</c:v>
                </c:pt>
                <c:pt idx="1">
                  <c:v>Qtr2</c:v>
                </c:pt>
                <c:pt idx="2">
                  <c:v>Qtr3</c:v>
                </c:pt>
                <c:pt idx="3">
                  <c:v>Qtr4</c:v>
                </c:pt>
              </c:strCache>
            </c:strRef>
          </c:cat>
          <c:val>
            <c:numRef>
              <c:f>'Pivot Monthly analysis'!$AA$78:$AA$82</c:f>
              <c:numCache>
                <c:formatCode>General</c:formatCode>
                <c:ptCount val="4"/>
                <c:pt idx="0">
                  <c:v>38.367043381602038</c:v>
                </c:pt>
              </c:numCache>
            </c:numRef>
          </c:val>
          <c:extLst>
            <c:ext xmlns:c16="http://schemas.microsoft.com/office/drawing/2014/chart" uri="{C3380CC4-5D6E-409C-BE32-E72D297353CC}">
              <c16:uniqueId val="{00000074-B514-4518-9965-95B16DA60CAF}"/>
            </c:ext>
          </c:extLst>
        </c:ser>
        <c:ser>
          <c:idx val="26"/>
          <c:order val="26"/>
          <c:tx>
            <c:strRef>
              <c:f>'Pivot Monthly analysis'!$AB$76:$AB$77</c:f>
              <c:strCache>
                <c:ptCount val="1"/>
                <c:pt idx="0">
                  <c:v>38,3752620442569</c:v>
                </c:pt>
              </c:strCache>
            </c:strRef>
          </c:tx>
          <c:spPr>
            <a:solidFill>
              <a:schemeClr val="accent3">
                <a:lumMod val="60000"/>
                <a:lumOff val="40000"/>
              </a:schemeClr>
            </a:solidFill>
            <a:ln>
              <a:noFill/>
            </a:ln>
            <a:effectLst/>
          </c:spPr>
          <c:invertIfNegative val="0"/>
          <c:cat>
            <c:strRef>
              <c:f>'Pivot Monthly analysis'!$A$78:$A$82</c:f>
              <c:strCache>
                <c:ptCount val="4"/>
                <c:pt idx="0">
                  <c:v>Qtr1</c:v>
                </c:pt>
                <c:pt idx="1">
                  <c:v>Qtr2</c:v>
                </c:pt>
                <c:pt idx="2">
                  <c:v>Qtr3</c:v>
                </c:pt>
                <c:pt idx="3">
                  <c:v>Qtr4</c:v>
                </c:pt>
              </c:strCache>
            </c:strRef>
          </c:cat>
          <c:val>
            <c:numRef>
              <c:f>'Pivot Monthly analysis'!$AB$78:$AB$82</c:f>
              <c:numCache>
                <c:formatCode>General</c:formatCode>
                <c:ptCount val="4"/>
                <c:pt idx="3">
                  <c:v>38.375262044256949</c:v>
                </c:pt>
              </c:numCache>
            </c:numRef>
          </c:val>
          <c:extLst>
            <c:ext xmlns:c16="http://schemas.microsoft.com/office/drawing/2014/chart" uri="{C3380CC4-5D6E-409C-BE32-E72D297353CC}">
              <c16:uniqueId val="{00000075-B514-4518-9965-95B16DA60CAF}"/>
            </c:ext>
          </c:extLst>
        </c:ser>
        <c:ser>
          <c:idx val="27"/>
          <c:order val="27"/>
          <c:tx>
            <c:strRef>
              <c:f>'Pivot Monthly analysis'!$AC$76:$AC$77</c:f>
              <c:strCache>
                <c:ptCount val="1"/>
                <c:pt idx="0">
                  <c:v>38,4695857118841</c:v>
                </c:pt>
              </c:strCache>
            </c:strRef>
          </c:tx>
          <c:spPr>
            <a:solidFill>
              <a:schemeClr val="accent4">
                <a:lumMod val="60000"/>
                <a:lumOff val="40000"/>
              </a:schemeClr>
            </a:solidFill>
            <a:ln>
              <a:noFill/>
            </a:ln>
            <a:effectLst/>
          </c:spPr>
          <c:invertIfNegative val="0"/>
          <c:cat>
            <c:strRef>
              <c:f>'Pivot Monthly analysis'!$A$78:$A$82</c:f>
              <c:strCache>
                <c:ptCount val="4"/>
                <c:pt idx="0">
                  <c:v>Qtr1</c:v>
                </c:pt>
                <c:pt idx="1">
                  <c:v>Qtr2</c:v>
                </c:pt>
                <c:pt idx="2">
                  <c:v>Qtr3</c:v>
                </c:pt>
                <c:pt idx="3">
                  <c:v>Qtr4</c:v>
                </c:pt>
              </c:strCache>
            </c:strRef>
          </c:cat>
          <c:val>
            <c:numRef>
              <c:f>'Pivot Monthly analysis'!$AC$78:$AC$82</c:f>
              <c:numCache>
                <c:formatCode>General</c:formatCode>
                <c:ptCount val="4"/>
                <c:pt idx="2">
                  <c:v>38.469585711884122</c:v>
                </c:pt>
              </c:numCache>
            </c:numRef>
          </c:val>
          <c:extLst>
            <c:ext xmlns:c16="http://schemas.microsoft.com/office/drawing/2014/chart" uri="{C3380CC4-5D6E-409C-BE32-E72D297353CC}">
              <c16:uniqueId val="{00000076-B514-4518-9965-95B16DA60CAF}"/>
            </c:ext>
          </c:extLst>
        </c:ser>
        <c:ser>
          <c:idx val="28"/>
          <c:order val="28"/>
          <c:tx>
            <c:strRef>
              <c:f>'Pivot Monthly analysis'!$AD$76:$AD$77</c:f>
              <c:strCache>
                <c:ptCount val="1"/>
                <c:pt idx="0">
                  <c:v>38,5544559107684</c:v>
                </c:pt>
              </c:strCache>
            </c:strRef>
          </c:tx>
          <c:spPr>
            <a:solidFill>
              <a:schemeClr val="accent5">
                <a:lumMod val="60000"/>
                <a:lumOff val="40000"/>
              </a:schemeClr>
            </a:solidFill>
            <a:ln>
              <a:noFill/>
            </a:ln>
            <a:effectLst/>
          </c:spPr>
          <c:invertIfNegative val="0"/>
          <c:cat>
            <c:strRef>
              <c:f>'Pivot Monthly analysis'!$A$78:$A$82</c:f>
              <c:strCache>
                <c:ptCount val="4"/>
                <c:pt idx="0">
                  <c:v>Qtr1</c:v>
                </c:pt>
                <c:pt idx="1">
                  <c:v>Qtr2</c:v>
                </c:pt>
                <c:pt idx="2">
                  <c:v>Qtr3</c:v>
                </c:pt>
                <c:pt idx="3">
                  <c:v>Qtr4</c:v>
                </c:pt>
              </c:strCache>
            </c:strRef>
          </c:cat>
          <c:val>
            <c:numRef>
              <c:f>'Pivot Monthly analysis'!$AD$78:$AD$82</c:f>
              <c:numCache>
                <c:formatCode>General</c:formatCode>
                <c:ptCount val="4"/>
                <c:pt idx="0">
                  <c:v>38.554455910768361</c:v>
                </c:pt>
              </c:numCache>
            </c:numRef>
          </c:val>
          <c:extLst>
            <c:ext xmlns:c16="http://schemas.microsoft.com/office/drawing/2014/chart" uri="{C3380CC4-5D6E-409C-BE32-E72D297353CC}">
              <c16:uniqueId val="{00000077-B514-4518-9965-95B16DA60CAF}"/>
            </c:ext>
          </c:extLst>
        </c:ser>
        <c:ser>
          <c:idx val="29"/>
          <c:order val="29"/>
          <c:tx>
            <c:strRef>
              <c:f>'Pivot Monthly analysis'!$AE$76:$AE$77</c:f>
              <c:strCache>
                <c:ptCount val="1"/>
                <c:pt idx="0">
                  <c:v>38,8023185629526</c:v>
                </c:pt>
              </c:strCache>
            </c:strRef>
          </c:tx>
          <c:spPr>
            <a:solidFill>
              <a:schemeClr val="accent6">
                <a:lumMod val="60000"/>
                <a:lumOff val="40000"/>
              </a:schemeClr>
            </a:solidFill>
            <a:ln>
              <a:noFill/>
            </a:ln>
            <a:effectLst/>
          </c:spPr>
          <c:invertIfNegative val="0"/>
          <c:cat>
            <c:strRef>
              <c:f>'Pivot Monthly analysis'!$A$78:$A$82</c:f>
              <c:strCache>
                <c:ptCount val="4"/>
                <c:pt idx="0">
                  <c:v>Qtr1</c:v>
                </c:pt>
                <c:pt idx="1">
                  <c:v>Qtr2</c:v>
                </c:pt>
                <c:pt idx="2">
                  <c:v>Qtr3</c:v>
                </c:pt>
                <c:pt idx="3">
                  <c:v>Qtr4</c:v>
                </c:pt>
              </c:strCache>
            </c:strRef>
          </c:cat>
          <c:val>
            <c:numRef>
              <c:f>'Pivot Monthly analysis'!$AE$78:$AE$82</c:f>
              <c:numCache>
                <c:formatCode>General</c:formatCode>
                <c:ptCount val="4"/>
                <c:pt idx="1">
                  <c:v>38.802318562952649</c:v>
                </c:pt>
              </c:numCache>
            </c:numRef>
          </c:val>
          <c:extLst>
            <c:ext xmlns:c16="http://schemas.microsoft.com/office/drawing/2014/chart" uri="{C3380CC4-5D6E-409C-BE32-E72D297353CC}">
              <c16:uniqueId val="{00000078-B514-4518-9965-95B16DA60CAF}"/>
            </c:ext>
          </c:extLst>
        </c:ser>
        <c:ser>
          <c:idx val="30"/>
          <c:order val="30"/>
          <c:tx>
            <c:strRef>
              <c:f>'Pivot Monthly analysis'!$AF$76:$AF$77</c:f>
              <c:strCache>
                <c:ptCount val="1"/>
                <c:pt idx="0">
                  <c:v>39,0398981070833</c:v>
                </c:pt>
              </c:strCache>
            </c:strRef>
          </c:tx>
          <c:spPr>
            <a:solidFill>
              <a:schemeClr val="accent1">
                <a:lumMod val="50000"/>
              </a:schemeClr>
            </a:solidFill>
            <a:ln>
              <a:noFill/>
            </a:ln>
            <a:effectLst/>
          </c:spPr>
          <c:invertIfNegative val="0"/>
          <c:cat>
            <c:strRef>
              <c:f>'Pivot Monthly analysis'!$A$78:$A$82</c:f>
              <c:strCache>
                <c:ptCount val="4"/>
                <c:pt idx="0">
                  <c:v>Qtr1</c:v>
                </c:pt>
                <c:pt idx="1">
                  <c:v>Qtr2</c:v>
                </c:pt>
                <c:pt idx="2">
                  <c:v>Qtr3</c:v>
                </c:pt>
                <c:pt idx="3">
                  <c:v>Qtr4</c:v>
                </c:pt>
              </c:strCache>
            </c:strRef>
          </c:cat>
          <c:val>
            <c:numRef>
              <c:f>'Pivot Monthly analysis'!$AF$78:$AF$82</c:f>
              <c:numCache>
                <c:formatCode>General</c:formatCode>
                <c:ptCount val="4"/>
                <c:pt idx="1">
                  <c:v>39.039898107083268</c:v>
                </c:pt>
              </c:numCache>
            </c:numRef>
          </c:val>
          <c:extLst>
            <c:ext xmlns:c16="http://schemas.microsoft.com/office/drawing/2014/chart" uri="{C3380CC4-5D6E-409C-BE32-E72D297353CC}">
              <c16:uniqueId val="{00000079-B514-4518-9965-95B16DA60CAF}"/>
            </c:ext>
          </c:extLst>
        </c:ser>
        <c:ser>
          <c:idx val="31"/>
          <c:order val="31"/>
          <c:tx>
            <c:strRef>
              <c:f>'Pivot Monthly analysis'!$AG$76:$AG$77</c:f>
              <c:strCache>
                <c:ptCount val="1"/>
                <c:pt idx="0">
                  <c:v>39,3769058622257</c:v>
                </c:pt>
              </c:strCache>
            </c:strRef>
          </c:tx>
          <c:spPr>
            <a:solidFill>
              <a:schemeClr val="accent2">
                <a:lumMod val="50000"/>
              </a:schemeClr>
            </a:solidFill>
            <a:ln>
              <a:noFill/>
            </a:ln>
            <a:effectLst/>
          </c:spPr>
          <c:invertIfNegative val="0"/>
          <c:cat>
            <c:strRef>
              <c:f>'Pivot Monthly analysis'!$A$78:$A$82</c:f>
              <c:strCache>
                <c:ptCount val="4"/>
                <c:pt idx="0">
                  <c:v>Qtr1</c:v>
                </c:pt>
                <c:pt idx="1">
                  <c:v>Qtr2</c:v>
                </c:pt>
                <c:pt idx="2">
                  <c:v>Qtr3</c:v>
                </c:pt>
                <c:pt idx="3">
                  <c:v>Qtr4</c:v>
                </c:pt>
              </c:strCache>
            </c:strRef>
          </c:cat>
          <c:val>
            <c:numRef>
              <c:f>'Pivot Monthly analysis'!$AG$78:$AG$82</c:f>
              <c:numCache>
                <c:formatCode>General</c:formatCode>
                <c:ptCount val="4"/>
                <c:pt idx="3">
                  <c:v>39.376905862225705</c:v>
                </c:pt>
              </c:numCache>
            </c:numRef>
          </c:val>
          <c:extLst>
            <c:ext xmlns:c16="http://schemas.microsoft.com/office/drawing/2014/chart" uri="{C3380CC4-5D6E-409C-BE32-E72D297353CC}">
              <c16:uniqueId val="{0000007A-B514-4518-9965-95B16DA60CAF}"/>
            </c:ext>
          </c:extLst>
        </c:ser>
        <c:ser>
          <c:idx val="32"/>
          <c:order val="32"/>
          <c:tx>
            <c:strRef>
              <c:f>'Pivot Monthly analysis'!$AH$76:$AH$77</c:f>
              <c:strCache>
                <c:ptCount val="1"/>
                <c:pt idx="0">
                  <c:v>39,7904698491326</c:v>
                </c:pt>
              </c:strCache>
            </c:strRef>
          </c:tx>
          <c:spPr>
            <a:solidFill>
              <a:schemeClr val="accent3">
                <a:lumMod val="50000"/>
              </a:schemeClr>
            </a:solidFill>
            <a:ln>
              <a:noFill/>
            </a:ln>
            <a:effectLst/>
          </c:spPr>
          <c:invertIfNegative val="0"/>
          <c:cat>
            <c:strRef>
              <c:f>'Pivot Monthly analysis'!$A$78:$A$82</c:f>
              <c:strCache>
                <c:ptCount val="4"/>
                <c:pt idx="0">
                  <c:v>Qtr1</c:v>
                </c:pt>
                <c:pt idx="1">
                  <c:v>Qtr2</c:v>
                </c:pt>
                <c:pt idx="2">
                  <c:v>Qtr3</c:v>
                </c:pt>
                <c:pt idx="3">
                  <c:v>Qtr4</c:v>
                </c:pt>
              </c:strCache>
            </c:strRef>
          </c:cat>
          <c:val>
            <c:numRef>
              <c:f>'Pivot Monthly analysis'!$AH$78:$AH$82</c:f>
              <c:numCache>
                <c:formatCode>General</c:formatCode>
                <c:ptCount val="4"/>
                <c:pt idx="0">
                  <c:v>39.79046984913257</c:v>
                </c:pt>
              </c:numCache>
            </c:numRef>
          </c:val>
          <c:extLst>
            <c:ext xmlns:c16="http://schemas.microsoft.com/office/drawing/2014/chart" uri="{C3380CC4-5D6E-409C-BE32-E72D297353CC}">
              <c16:uniqueId val="{0000007B-B514-4518-9965-95B16DA60CAF}"/>
            </c:ext>
          </c:extLst>
        </c:ser>
        <c:ser>
          <c:idx val="33"/>
          <c:order val="33"/>
          <c:tx>
            <c:strRef>
              <c:f>'Pivot Monthly analysis'!$AI$76:$AI$77</c:f>
              <c:strCache>
                <c:ptCount val="1"/>
                <c:pt idx="0">
                  <c:v>40,2898572913528</c:v>
                </c:pt>
              </c:strCache>
            </c:strRef>
          </c:tx>
          <c:spPr>
            <a:solidFill>
              <a:schemeClr val="accent4">
                <a:lumMod val="50000"/>
              </a:schemeClr>
            </a:solidFill>
            <a:ln>
              <a:noFill/>
            </a:ln>
            <a:effectLst/>
          </c:spPr>
          <c:invertIfNegative val="0"/>
          <c:cat>
            <c:strRef>
              <c:f>'Pivot Monthly analysis'!$A$78:$A$82</c:f>
              <c:strCache>
                <c:ptCount val="4"/>
                <c:pt idx="0">
                  <c:v>Qtr1</c:v>
                </c:pt>
                <c:pt idx="1">
                  <c:v>Qtr2</c:v>
                </c:pt>
                <c:pt idx="2">
                  <c:v>Qtr3</c:v>
                </c:pt>
                <c:pt idx="3">
                  <c:v>Qtr4</c:v>
                </c:pt>
              </c:strCache>
            </c:strRef>
          </c:cat>
          <c:val>
            <c:numRef>
              <c:f>'Pivot Monthly analysis'!$AI$78:$AI$82</c:f>
              <c:numCache>
                <c:formatCode>General</c:formatCode>
                <c:ptCount val="4"/>
                <c:pt idx="0">
                  <c:v>40.28985729135281</c:v>
                </c:pt>
              </c:numCache>
            </c:numRef>
          </c:val>
          <c:extLst>
            <c:ext xmlns:c16="http://schemas.microsoft.com/office/drawing/2014/chart" uri="{C3380CC4-5D6E-409C-BE32-E72D297353CC}">
              <c16:uniqueId val="{0000007C-B514-4518-9965-95B16DA60CAF}"/>
            </c:ext>
          </c:extLst>
        </c:ser>
        <c:ser>
          <c:idx val="34"/>
          <c:order val="34"/>
          <c:tx>
            <c:strRef>
              <c:f>'Pivot Monthly analysis'!$AJ$76:$AJ$77</c:f>
              <c:strCache>
                <c:ptCount val="1"/>
                <c:pt idx="0">
                  <c:v>41,1028059147329</c:v>
                </c:pt>
              </c:strCache>
            </c:strRef>
          </c:tx>
          <c:spPr>
            <a:solidFill>
              <a:schemeClr val="accent5">
                <a:lumMod val="50000"/>
              </a:schemeClr>
            </a:solidFill>
            <a:ln>
              <a:noFill/>
            </a:ln>
            <a:effectLst/>
          </c:spPr>
          <c:invertIfNegative val="0"/>
          <c:cat>
            <c:strRef>
              <c:f>'Pivot Monthly analysis'!$A$78:$A$82</c:f>
              <c:strCache>
                <c:ptCount val="4"/>
                <c:pt idx="0">
                  <c:v>Qtr1</c:v>
                </c:pt>
                <c:pt idx="1">
                  <c:v>Qtr2</c:v>
                </c:pt>
                <c:pt idx="2">
                  <c:v>Qtr3</c:v>
                </c:pt>
                <c:pt idx="3">
                  <c:v>Qtr4</c:v>
                </c:pt>
              </c:strCache>
            </c:strRef>
          </c:cat>
          <c:val>
            <c:numRef>
              <c:f>'Pivot Monthly analysis'!$AJ$78:$AJ$82</c:f>
              <c:numCache>
                <c:formatCode>General</c:formatCode>
                <c:ptCount val="4"/>
                <c:pt idx="3">
                  <c:v>41.102805914732933</c:v>
                </c:pt>
              </c:numCache>
            </c:numRef>
          </c:val>
          <c:extLst>
            <c:ext xmlns:c16="http://schemas.microsoft.com/office/drawing/2014/chart" uri="{C3380CC4-5D6E-409C-BE32-E72D297353CC}">
              <c16:uniqueId val="{0000007D-B514-4518-9965-95B16DA60CAF}"/>
            </c:ext>
          </c:extLst>
        </c:ser>
        <c:ser>
          <c:idx val="35"/>
          <c:order val="35"/>
          <c:tx>
            <c:strRef>
              <c:f>'Pivot Monthly analysis'!$AK$76:$AK$77</c:f>
              <c:strCache>
                <c:ptCount val="1"/>
                <c:pt idx="0">
                  <c:v>42,9403545286456</c:v>
                </c:pt>
              </c:strCache>
            </c:strRef>
          </c:tx>
          <c:spPr>
            <a:solidFill>
              <a:schemeClr val="accent6">
                <a:lumMod val="50000"/>
              </a:schemeClr>
            </a:solidFill>
            <a:ln>
              <a:noFill/>
            </a:ln>
            <a:effectLst/>
          </c:spPr>
          <c:invertIfNegative val="0"/>
          <c:cat>
            <c:strRef>
              <c:f>'Pivot Monthly analysis'!$A$78:$A$82</c:f>
              <c:strCache>
                <c:ptCount val="4"/>
                <c:pt idx="0">
                  <c:v>Qtr1</c:v>
                </c:pt>
                <c:pt idx="1">
                  <c:v>Qtr2</c:v>
                </c:pt>
                <c:pt idx="2">
                  <c:v>Qtr3</c:v>
                </c:pt>
                <c:pt idx="3">
                  <c:v>Qtr4</c:v>
                </c:pt>
              </c:strCache>
            </c:strRef>
          </c:cat>
          <c:val>
            <c:numRef>
              <c:f>'Pivot Monthly analysis'!$AK$78:$AK$82</c:f>
              <c:numCache>
                <c:formatCode>General</c:formatCode>
                <c:ptCount val="4"/>
                <c:pt idx="3">
                  <c:v>42.940354528645557</c:v>
                </c:pt>
              </c:numCache>
            </c:numRef>
          </c:val>
          <c:extLst>
            <c:ext xmlns:c16="http://schemas.microsoft.com/office/drawing/2014/chart" uri="{C3380CC4-5D6E-409C-BE32-E72D297353CC}">
              <c16:uniqueId val="{0000007E-B514-4518-9965-95B16DA60CAF}"/>
            </c:ext>
          </c:extLst>
        </c:ser>
        <c:dLbls>
          <c:showLegendKey val="0"/>
          <c:showVal val="0"/>
          <c:showCatName val="0"/>
          <c:showSerName val="0"/>
          <c:showPercent val="0"/>
          <c:showBubbleSize val="0"/>
        </c:dLbls>
        <c:gapWidth val="219"/>
        <c:overlap val="-27"/>
        <c:axId val="1615003488"/>
        <c:axId val="1838215536"/>
      </c:barChart>
      <c:catAx>
        <c:axId val="161500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215536"/>
        <c:crosses val="autoZero"/>
        <c:auto val="1"/>
        <c:lblAlgn val="ctr"/>
        <c:lblOffset val="100"/>
        <c:noMultiLvlLbl val="0"/>
      </c:catAx>
      <c:valAx>
        <c:axId val="183821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00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Sales_Performance_Excel Dashboard.xlsx]Pivot Monthly analysis!PivotTable79</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Unit Price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Monthly analysis'!$B$87</c:f>
              <c:strCache>
                <c:ptCount val="1"/>
                <c:pt idx="0">
                  <c:v>Total</c:v>
                </c:pt>
              </c:strCache>
            </c:strRef>
          </c:tx>
          <c:spPr>
            <a:solidFill>
              <a:schemeClr val="accent1"/>
            </a:solidFill>
            <a:ln>
              <a:noFill/>
            </a:ln>
            <a:effectLst/>
          </c:spPr>
          <c:invertIfNegative val="0"/>
          <c:cat>
            <c:strRef>
              <c:f>'Pivot Monthly analysis'!$A$88:$A$93</c:f>
              <c:strCache>
                <c:ptCount val="5"/>
                <c:pt idx="0">
                  <c:v>&lt;2013/12/01</c:v>
                </c:pt>
                <c:pt idx="1">
                  <c:v>2013</c:v>
                </c:pt>
                <c:pt idx="2">
                  <c:v>2014</c:v>
                </c:pt>
                <c:pt idx="3">
                  <c:v>2015</c:v>
                </c:pt>
                <c:pt idx="4">
                  <c:v>2016</c:v>
                </c:pt>
              </c:strCache>
            </c:strRef>
          </c:cat>
          <c:val>
            <c:numRef>
              <c:f>'Pivot Monthly analysis'!$B$88:$B$93</c:f>
              <c:numCache>
                <c:formatCode>_(* #,##0.00_);_(* \(#,##0.00\);_(* "-"??_);_(@_)</c:formatCode>
                <c:ptCount val="5"/>
                <c:pt idx="1">
                  <c:v>32.574305836204545</c:v>
                </c:pt>
                <c:pt idx="2">
                  <c:v>33.973814021289975</c:v>
                </c:pt>
                <c:pt idx="3">
                  <c:v>37.461199124793424</c:v>
                </c:pt>
                <c:pt idx="4">
                  <c:v>37.245180753437225</c:v>
                </c:pt>
              </c:numCache>
            </c:numRef>
          </c:val>
          <c:extLst>
            <c:ext xmlns:c16="http://schemas.microsoft.com/office/drawing/2014/chart" uri="{C3380CC4-5D6E-409C-BE32-E72D297353CC}">
              <c16:uniqueId val="{00000000-9832-4C09-8F29-4E935C5AD7FA}"/>
            </c:ext>
          </c:extLst>
        </c:ser>
        <c:dLbls>
          <c:showLegendKey val="0"/>
          <c:showVal val="0"/>
          <c:showCatName val="0"/>
          <c:showSerName val="0"/>
          <c:showPercent val="0"/>
          <c:showBubbleSize val="0"/>
        </c:dLbls>
        <c:gapWidth val="150"/>
        <c:axId val="1606445056"/>
        <c:axId val="1838216016"/>
      </c:barChart>
      <c:catAx>
        <c:axId val="160644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216016"/>
        <c:crosses val="autoZero"/>
        <c:auto val="1"/>
        <c:lblAlgn val="ctr"/>
        <c:lblOffset val="100"/>
        <c:noMultiLvlLbl val="0"/>
      </c:catAx>
      <c:valAx>
        <c:axId val="183821601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445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Sales_Performance_Excel Dashboard.xlsx]Daily Sales Analysis pivot!PivotTable85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dirty="0">
                <a:solidFill>
                  <a:srgbClr val="76B9FF"/>
                </a:solidFill>
                <a:latin typeface="Roboto Slab" pitchFamily="34" charset="0"/>
                <a:ea typeface="Roboto Slab" pitchFamily="34" charset="-122"/>
                <a:cs typeface="Roboto Slab" pitchFamily="34" charset="-120"/>
              </a:rPr>
              <a:t>Cost of Sales Consistently Outpaces Revenue </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'Daily Sales Analysis pivot'!$B$3</c:f>
              <c:strCache>
                <c:ptCount val="1"/>
                <c:pt idx="0">
                  <c:v>Sum of Cost Of Sales</c:v>
                </c:pt>
              </c:strCache>
            </c:strRef>
          </c:tx>
          <c:spPr>
            <a:solidFill>
              <a:schemeClr val="accent1"/>
            </a:solidFill>
            <a:ln>
              <a:noFill/>
            </a:ln>
            <a:effectLst/>
          </c:spPr>
          <c:invertIfNegative val="0"/>
          <c:cat>
            <c:strRef>
              <c:f>'Daily Sales Analysis pivot'!$A$4:$A$8</c:f>
              <c:strCache>
                <c:ptCount val="4"/>
                <c:pt idx="0">
                  <c:v>2013</c:v>
                </c:pt>
                <c:pt idx="1">
                  <c:v>2014</c:v>
                </c:pt>
                <c:pt idx="2">
                  <c:v>2015</c:v>
                </c:pt>
                <c:pt idx="3">
                  <c:v>2016</c:v>
                </c:pt>
              </c:strCache>
            </c:strRef>
          </c:cat>
          <c:val>
            <c:numRef>
              <c:f>'Daily Sales Analysis pivot'!$B$4:$B$8</c:f>
              <c:numCache>
                <c:formatCode>General</c:formatCode>
                <c:ptCount val="4"/>
                <c:pt idx="0">
                  <c:v>537065.74149673118</c:v>
                </c:pt>
                <c:pt idx="1">
                  <c:v>77680849.70107311</c:v>
                </c:pt>
                <c:pt idx="2">
                  <c:v>67917203.833992675</c:v>
                </c:pt>
                <c:pt idx="3">
                  <c:v>47890990.169946611</c:v>
                </c:pt>
              </c:numCache>
            </c:numRef>
          </c:val>
          <c:extLst>
            <c:ext xmlns:c16="http://schemas.microsoft.com/office/drawing/2014/chart" uri="{C3380CC4-5D6E-409C-BE32-E72D297353CC}">
              <c16:uniqueId val="{00000000-B44A-451D-A569-498A80620CBD}"/>
            </c:ext>
          </c:extLst>
        </c:ser>
        <c:ser>
          <c:idx val="1"/>
          <c:order val="1"/>
          <c:tx>
            <c:strRef>
              <c:f>'Daily Sales Analysis pivot'!$C$3</c:f>
              <c:strCache>
                <c:ptCount val="1"/>
                <c:pt idx="0">
                  <c:v>Sum of Sales</c:v>
                </c:pt>
              </c:strCache>
            </c:strRef>
          </c:tx>
          <c:spPr>
            <a:solidFill>
              <a:schemeClr val="accent2"/>
            </a:solidFill>
            <a:ln>
              <a:noFill/>
            </a:ln>
            <a:effectLst/>
          </c:spPr>
          <c:invertIfNegative val="0"/>
          <c:cat>
            <c:strRef>
              <c:f>'Daily Sales Analysis pivot'!$A$4:$A$8</c:f>
              <c:strCache>
                <c:ptCount val="4"/>
                <c:pt idx="0">
                  <c:v>2013</c:v>
                </c:pt>
                <c:pt idx="1">
                  <c:v>2014</c:v>
                </c:pt>
                <c:pt idx="2">
                  <c:v>2015</c:v>
                </c:pt>
                <c:pt idx="3">
                  <c:v>2016</c:v>
                </c:pt>
              </c:strCache>
            </c:strRef>
          </c:cat>
          <c:val>
            <c:numRef>
              <c:f>'Daily Sales Analysis pivot'!$C$4:$C$8</c:f>
              <c:numCache>
                <c:formatCode>General</c:formatCode>
                <c:ptCount val="4"/>
                <c:pt idx="0">
                  <c:v>524283.4524337122</c:v>
                </c:pt>
                <c:pt idx="1">
                  <c:v>75414975.711700588</c:v>
                </c:pt>
                <c:pt idx="2">
                  <c:v>64017593.387223274</c:v>
                </c:pt>
                <c:pt idx="3">
                  <c:v>46952975.705125488</c:v>
                </c:pt>
              </c:numCache>
            </c:numRef>
          </c:val>
          <c:extLst>
            <c:ext xmlns:c16="http://schemas.microsoft.com/office/drawing/2014/chart" uri="{C3380CC4-5D6E-409C-BE32-E72D297353CC}">
              <c16:uniqueId val="{00000001-B44A-451D-A569-498A80620CBD}"/>
            </c:ext>
          </c:extLst>
        </c:ser>
        <c:dLbls>
          <c:showLegendKey val="0"/>
          <c:showVal val="0"/>
          <c:showCatName val="0"/>
          <c:showSerName val="0"/>
          <c:showPercent val="0"/>
          <c:showBubbleSize val="0"/>
        </c:dLbls>
        <c:gapWidth val="219"/>
        <c:overlap val="-27"/>
        <c:axId val="804458880"/>
        <c:axId val="1838220816"/>
      </c:barChart>
      <c:catAx>
        <c:axId val="80445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220816"/>
        <c:crosses val="autoZero"/>
        <c:auto val="1"/>
        <c:lblAlgn val="ctr"/>
        <c:lblOffset val="100"/>
        <c:noMultiLvlLbl val="0"/>
      </c:catAx>
      <c:valAx>
        <c:axId val="183822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45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Sales_Performance_Excel Dashboard.xlsx]Sheet4!PivotTable70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Sheet4!$A$4:$A$1056</c:f>
              <c:strCache>
                <c:ptCount val="1052"/>
                <c:pt idx="0">
                  <c:v>43,8059965316163</c:v>
                </c:pt>
                <c:pt idx="1">
                  <c:v>43,7914419876525</c:v>
                </c:pt>
                <c:pt idx="2">
                  <c:v>42,9560402443441</c:v>
                </c:pt>
                <c:pt idx="3">
                  <c:v>42,9509146093692</c:v>
                </c:pt>
                <c:pt idx="4">
                  <c:v>42,9402819146851</c:v>
                </c:pt>
                <c:pt idx="5">
                  <c:v>42,9398616902548</c:v>
                </c:pt>
                <c:pt idx="6">
                  <c:v>42,9364277211952</c:v>
                </c:pt>
                <c:pt idx="7">
                  <c:v>42,9349062298113</c:v>
                </c:pt>
                <c:pt idx="8">
                  <c:v>42,9346714551263</c:v>
                </c:pt>
                <c:pt idx="9">
                  <c:v>42,9316375892119</c:v>
                </c:pt>
                <c:pt idx="10">
                  <c:v>42,9297427587397</c:v>
                </c:pt>
                <c:pt idx="11">
                  <c:v>42,9280213258521</c:v>
                </c:pt>
                <c:pt idx="12">
                  <c:v>42,9256858248738</c:v>
                </c:pt>
                <c:pt idx="13">
                  <c:v>42,9245597538293</c:v>
                </c:pt>
                <c:pt idx="14">
                  <c:v>42,9217983720085</c:v>
                </c:pt>
                <c:pt idx="15">
                  <c:v>42,9185676807118</c:v>
                </c:pt>
                <c:pt idx="16">
                  <c:v>42,9177557448642</c:v>
                </c:pt>
                <c:pt idx="17">
                  <c:v>42,8679703083685</c:v>
                </c:pt>
                <c:pt idx="18">
                  <c:v>42,8369976516924</c:v>
                </c:pt>
                <c:pt idx="19">
                  <c:v>42,8239231555567</c:v>
                </c:pt>
                <c:pt idx="20">
                  <c:v>42,8003012665535</c:v>
                </c:pt>
                <c:pt idx="21">
                  <c:v>42,7644402475274</c:v>
                </c:pt>
                <c:pt idx="22">
                  <c:v>42,750886895397</c:v>
                </c:pt>
                <c:pt idx="23">
                  <c:v>42,7499404070432</c:v>
                </c:pt>
                <c:pt idx="24">
                  <c:v>42,7437678634193</c:v>
                </c:pt>
                <c:pt idx="25">
                  <c:v>42,7311242608541</c:v>
                </c:pt>
                <c:pt idx="26">
                  <c:v>42,7215350883712</c:v>
                </c:pt>
                <c:pt idx="27">
                  <c:v>42,7173406228193</c:v>
                </c:pt>
                <c:pt idx="28">
                  <c:v>42,713768411139</c:v>
                </c:pt>
                <c:pt idx="29">
                  <c:v>42,7087164167122</c:v>
                </c:pt>
                <c:pt idx="30">
                  <c:v>42,7010487512331</c:v>
                </c:pt>
                <c:pt idx="31">
                  <c:v>42,694773398887</c:v>
                </c:pt>
                <c:pt idx="32">
                  <c:v>42,693163309856</c:v>
                </c:pt>
                <c:pt idx="33">
                  <c:v>42,6808075151235</c:v>
                </c:pt>
                <c:pt idx="34">
                  <c:v>42,6726375784188</c:v>
                </c:pt>
                <c:pt idx="35">
                  <c:v>42,6684799554093</c:v>
                </c:pt>
                <c:pt idx="36">
                  <c:v>42,663753422847</c:v>
                </c:pt>
                <c:pt idx="37">
                  <c:v>42,657988432185</c:v>
                </c:pt>
                <c:pt idx="38">
                  <c:v>42,6051402172872</c:v>
                </c:pt>
                <c:pt idx="39">
                  <c:v>42,5422432967544</c:v>
                </c:pt>
                <c:pt idx="40">
                  <c:v>42,3608568910718</c:v>
                </c:pt>
                <c:pt idx="41">
                  <c:v>42,3333177660516</c:v>
                </c:pt>
                <c:pt idx="42">
                  <c:v>42,1752277883272</c:v>
                </c:pt>
                <c:pt idx="43">
                  <c:v>42,1342093989227</c:v>
                </c:pt>
                <c:pt idx="44">
                  <c:v>42,0846147609739</c:v>
                </c:pt>
                <c:pt idx="45">
                  <c:v>42,0819863537002</c:v>
                </c:pt>
                <c:pt idx="46">
                  <c:v>42,0793796082159</c:v>
                </c:pt>
                <c:pt idx="47">
                  <c:v>42,0788091557874</c:v>
                </c:pt>
                <c:pt idx="48">
                  <c:v>42,0779100359337</c:v>
                </c:pt>
                <c:pt idx="49">
                  <c:v>42,0762055556588</c:v>
                </c:pt>
                <c:pt idx="50">
                  <c:v>42,0757763784377</c:v>
                </c:pt>
                <c:pt idx="51">
                  <c:v>42,0736988742828</c:v>
                </c:pt>
                <c:pt idx="52">
                  <c:v>42,0736059199615</c:v>
                </c:pt>
                <c:pt idx="53">
                  <c:v>42,0734090038713</c:v>
                </c:pt>
                <c:pt idx="54">
                  <c:v>42,0729063206128</c:v>
                </c:pt>
                <c:pt idx="55">
                  <c:v>42,072456199019</c:v>
                </c:pt>
                <c:pt idx="56">
                  <c:v>42,0720595107</c:v>
                </c:pt>
                <c:pt idx="57">
                  <c:v>42,0702903683574</c:v>
                </c:pt>
                <c:pt idx="58">
                  <c:v>42,0700449189056</c:v>
                </c:pt>
                <c:pt idx="59">
                  <c:v>42,0693833288486</c:v>
                </c:pt>
                <c:pt idx="60">
                  <c:v>42,0692772845097</c:v>
                </c:pt>
                <c:pt idx="61">
                  <c:v>42,0682234553086</c:v>
                </c:pt>
                <c:pt idx="62">
                  <c:v>42,0671514241051</c:v>
                </c:pt>
                <c:pt idx="63">
                  <c:v>42,0657788792875</c:v>
                </c:pt>
                <c:pt idx="64">
                  <c:v>42,0654378340292</c:v>
                </c:pt>
                <c:pt idx="65">
                  <c:v>42,0653784223653</c:v>
                </c:pt>
                <c:pt idx="66">
                  <c:v>42,0647837491898</c:v>
                </c:pt>
                <c:pt idx="67">
                  <c:v>42,064162791889</c:v>
                </c:pt>
                <c:pt idx="68">
                  <c:v>42,0640576200527</c:v>
                </c:pt>
                <c:pt idx="69">
                  <c:v>42,0640238891299</c:v>
                </c:pt>
                <c:pt idx="70">
                  <c:v>42,0638151276014</c:v>
                </c:pt>
                <c:pt idx="71">
                  <c:v>42,063300934441</c:v>
                </c:pt>
                <c:pt idx="72">
                  <c:v>42,0624417603514</c:v>
                </c:pt>
                <c:pt idx="73">
                  <c:v>42,0623391908598</c:v>
                </c:pt>
                <c:pt idx="74">
                  <c:v>42,0620415717729</c:v>
                </c:pt>
                <c:pt idx="75">
                  <c:v>42,0602364280394</c:v>
                </c:pt>
                <c:pt idx="76">
                  <c:v>42,0600652513356</c:v>
                </c:pt>
                <c:pt idx="77">
                  <c:v>42,0596543698391</c:v>
                </c:pt>
                <c:pt idx="78">
                  <c:v>42,0590071113891</c:v>
                </c:pt>
                <c:pt idx="79">
                  <c:v>42,0586576401006</c:v>
                </c:pt>
                <c:pt idx="80">
                  <c:v>42,0580040214904</c:v>
                </c:pt>
                <c:pt idx="81">
                  <c:v>42,0578107237596</c:v>
                </c:pt>
                <c:pt idx="82">
                  <c:v>42,057422465259</c:v>
                </c:pt>
                <c:pt idx="83">
                  <c:v>42,0574190712134</c:v>
                </c:pt>
                <c:pt idx="84">
                  <c:v>42,0572793192035</c:v>
                </c:pt>
                <c:pt idx="85">
                  <c:v>42,0571660838901</c:v>
                </c:pt>
                <c:pt idx="86">
                  <c:v>42,057146217433</c:v>
                </c:pt>
                <c:pt idx="87">
                  <c:v>42,0568745650987</c:v>
                </c:pt>
                <c:pt idx="88">
                  <c:v>42,0562699097993</c:v>
                </c:pt>
                <c:pt idx="89">
                  <c:v>42,0554233243322</c:v>
                </c:pt>
                <c:pt idx="90">
                  <c:v>42,0553127213763</c:v>
                </c:pt>
                <c:pt idx="91">
                  <c:v>42,0551616308663</c:v>
                </c:pt>
                <c:pt idx="92">
                  <c:v>42,0548700968593</c:v>
                </c:pt>
                <c:pt idx="93">
                  <c:v>42,0543474955874</c:v>
                </c:pt>
                <c:pt idx="94">
                  <c:v>42,0529973963183</c:v>
                </c:pt>
                <c:pt idx="95">
                  <c:v>42,052961941885</c:v>
                </c:pt>
                <c:pt idx="96">
                  <c:v>42,0521235258198</c:v>
                </c:pt>
                <c:pt idx="97">
                  <c:v>42,0507130490258</c:v>
                </c:pt>
                <c:pt idx="98">
                  <c:v>42,0505261298603</c:v>
                </c:pt>
                <c:pt idx="99">
                  <c:v>42,0504960763544</c:v>
                </c:pt>
                <c:pt idx="100">
                  <c:v>42,0498894496219</c:v>
                </c:pt>
                <c:pt idx="101">
                  <c:v>42,0479990349035</c:v>
                </c:pt>
                <c:pt idx="102">
                  <c:v>42,0479347501372</c:v>
                </c:pt>
                <c:pt idx="103">
                  <c:v>42,0469245352396</c:v>
                </c:pt>
                <c:pt idx="104">
                  <c:v>42,045012866006</c:v>
                </c:pt>
                <c:pt idx="105">
                  <c:v>42,0448427946324</c:v>
                </c:pt>
                <c:pt idx="106">
                  <c:v>42,0445774839242</c:v>
                </c:pt>
                <c:pt idx="107">
                  <c:v>42,043180704995</c:v>
                </c:pt>
                <c:pt idx="108">
                  <c:v>42,0422841528471</c:v>
                </c:pt>
                <c:pt idx="109">
                  <c:v>42,0422327903429</c:v>
                </c:pt>
                <c:pt idx="110">
                  <c:v>42,0412665672268</c:v>
                </c:pt>
                <c:pt idx="111">
                  <c:v>42,0373733013638</c:v>
                </c:pt>
                <c:pt idx="112">
                  <c:v>42,0359545111216</c:v>
                </c:pt>
                <c:pt idx="113">
                  <c:v>42,0357320436142</c:v>
                </c:pt>
                <c:pt idx="114">
                  <c:v>42,0321351376053</c:v>
                </c:pt>
                <c:pt idx="115">
                  <c:v>42,0320360364248</c:v>
                </c:pt>
                <c:pt idx="116">
                  <c:v>42,0304536021485</c:v>
                </c:pt>
                <c:pt idx="117">
                  <c:v>42,0302430505363</c:v>
                </c:pt>
                <c:pt idx="118">
                  <c:v>42,0278214369031</c:v>
                </c:pt>
                <c:pt idx="119">
                  <c:v>42,0254522674189</c:v>
                </c:pt>
                <c:pt idx="120">
                  <c:v>42,0247017511359</c:v>
                </c:pt>
                <c:pt idx="121">
                  <c:v>42,0239038911385</c:v>
                </c:pt>
                <c:pt idx="122">
                  <c:v>42,0214497087141</c:v>
                </c:pt>
                <c:pt idx="123">
                  <c:v>42,020851481432</c:v>
                </c:pt>
                <c:pt idx="124">
                  <c:v>42,0193612417254</c:v>
                </c:pt>
                <c:pt idx="125">
                  <c:v>42,0158228175289</c:v>
                </c:pt>
                <c:pt idx="126">
                  <c:v>42,015427050509</c:v>
                </c:pt>
                <c:pt idx="127">
                  <c:v>42,0148274484317</c:v>
                </c:pt>
                <c:pt idx="128">
                  <c:v>42,012325841211</c:v>
                </c:pt>
                <c:pt idx="129">
                  <c:v>42,0092269690026</c:v>
                </c:pt>
                <c:pt idx="130">
                  <c:v>42,0061644000983</c:v>
                </c:pt>
                <c:pt idx="131">
                  <c:v>41,9981844573437</c:v>
                </c:pt>
                <c:pt idx="132">
                  <c:v>41,9952069923468</c:v>
                </c:pt>
                <c:pt idx="133">
                  <c:v>41,9940850066596</c:v>
                </c:pt>
                <c:pt idx="134">
                  <c:v>41,9901248914818</c:v>
                </c:pt>
                <c:pt idx="135">
                  <c:v>41,9882250171522</c:v>
                </c:pt>
                <c:pt idx="136">
                  <c:v>41,9879203850053</c:v>
                </c:pt>
                <c:pt idx="137">
                  <c:v>41,9876750925003</c:v>
                </c:pt>
                <c:pt idx="138">
                  <c:v>41,9776163270868</c:v>
                </c:pt>
                <c:pt idx="139">
                  <c:v>41,9771237351868</c:v>
                </c:pt>
                <c:pt idx="140">
                  <c:v>41,9529422933627</c:v>
                </c:pt>
                <c:pt idx="141">
                  <c:v>41,9489985085394</c:v>
                </c:pt>
                <c:pt idx="142">
                  <c:v>41,9416240996526</c:v>
                </c:pt>
                <c:pt idx="143">
                  <c:v>41,9292356348426</c:v>
                </c:pt>
                <c:pt idx="144">
                  <c:v>41,9193820178939</c:v>
                </c:pt>
                <c:pt idx="145">
                  <c:v>41,898107604679</c:v>
                </c:pt>
                <c:pt idx="146">
                  <c:v>41,8799566887063</c:v>
                </c:pt>
                <c:pt idx="147">
                  <c:v>41,8704982362397</c:v>
                </c:pt>
                <c:pt idx="148">
                  <c:v>41,8156616024661</c:v>
                </c:pt>
                <c:pt idx="149">
                  <c:v>41,7363117223875</c:v>
                </c:pt>
                <c:pt idx="150">
                  <c:v>41,6870228369459</c:v>
                </c:pt>
                <c:pt idx="151">
                  <c:v>41,6506915849543</c:v>
                </c:pt>
                <c:pt idx="152">
                  <c:v>41,1948269092198</c:v>
                </c:pt>
                <c:pt idx="153">
                  <c:v>41,1865708182444</c:v>
                </c:pt>
                <c:pt idx="154">
                  <c:v>41,1849142676489</c:v>
                </c:pt>
                <c:pt idx="155">
                  <c:v>41,1833657676528</c:v>
                </c:pt>
                <c:pt idx="156">
                  <c:v>41,18321462887</c:v>
                </c:pt>
                <c:pt idx="157">
                  <c:v>41,182543209827</c:v>
                </c:pt>
                <c:pt idx="158">
                  <c:v>41,1823815146208</c:v>
                </c:pt>
                <c:pt idx="159">
                  <c:v>41,1818741712014</c:v>
                </c:pt>
                <c:pt idx="160">
                  <c:v>41,1814232227331</c:v>
                </c:pt>
                <c:pt idx="161">
                  <c:v>41,1811622467718</c:v>
                </c:pt>
                <c:pt idx="162">
                  <c:v>41,1809247855359</c:v>
                </c:pt>
                <c:pt idx="163">
                  <c:v>41,1808739733378</c:v>
                </c:pt>
                <c:pt idx="164">
                  <c:v>41,1805214259889</c:v>
                </c:pt>
                <c:pt idx="165">
                  <c:v>41,1805061414863</c:v>
                </c:pt>
                <c:pt idx="166">
                  <c:v>41,1795524859999</c:v>
                </c:pt>
                <c:pt idx="167">
                  <c:v>41,1794502172301</c:v>
                </c:pt>
                <c:pt idx="168">
                  <c:v>41,1789849332336</c:v>
                </c:pt>
                <c:pt idx="169">
                  <c:v>41,1776912432265</c:v>
                </c:pt>
                <c:pt idx="170">
                  <c:v>41,1775296818179</c:v>
                </c:pt>
                <c:pt idx="171">
                  <c:v>41,1773470922327</c:v>
                </c:pt>
                <c:pt idx="172">
                  <c:v>41,1769928989051</c:v>
                </c:pt>
                <c:pt idx="173">
                  <c:v>41,1769523585303</c:v>
                </c:pt>
                <c:pt idx="174">
                  <c:v>41,1766582302984</c:v>
                </c:pt>
                <c:pt idx="175">
                  <c:v>41,1764759373269</c:v>
                </c:pt>
                <c:pt idx="176">
                  <c:v>41,1755140688255</c:v>
                </c:pt>
                <c:pt idx="177">
                  <c:v>41,1751567254546</c:v>
                </c:pt>
                <c:pt idx="178">
                  <c:v>41,1750701706803</c:v>
                </c:pt>
                <c:pt idx="179">
                  <c:v>41,175042317085</c:v>
                </c:pt>
                <c:pt idx="180">
                  <c:v>41,1748460692129</c:v>
                </c:pt>
                <c:pt idx="181">
                  <c:v>41,1745715156838</c:v>
                </c:pt>
                <c:pt idx="182">
                  <c:v>41,17455501682</c:v>
                </c:pt>
                <c:pt idx="183">
                  <c:v>41,1742021831957</c:v>
                </c:pt>
                <c:pt idx="184">
                  <c:v>41,1740806059563</c:v>
                </c:pt>
                <c:pt idx="185">
                  <c:v>41,1737644632943</c:v>
                </c:pt>
                <c:pt idx="186">
                  <c:v>41,1736559533964</c:v>
                </c:pt>
                <c:pt idx="187">
                  <c:v>41,1734277740814</c:v>
                </c:pt>
                <c:pt idx="188">
                  <c:v>41,1734033551166</c:v>
                </c:pt>
                <c:pt idx="189">
                  <c:v>41,1730494488622</c:v>
                </c:pt>
                <c:pt idx="190">
                  <c:v>41,1728993270114</c:v>
                </c:pt>
                <c:pt idx="191">
                  <c:v>41,1726928787222</c:v>
                </c:pt>
                <c:pt idx="192">
                  <c:v>41,1726438587463</c:v>
                </c:pt>
                <c:pt idx="193">
                  <c:v>41,172578144476</c:v>
                </c:pt>
                <c:pt idx="194">
                  <c:v>41,1724632223718</c:v>
                </c:pt>
                <c:pt idx="195">
                  <c:v>41,1717057173668</c:v>
                </c:pt>
                <c:pt idx="196">
                  <c:v>41,1711164097129</c:v>
                </c:pt>
                <c:pt idx="197">
                  <c:v>41,1692510275301</c:v>
                </c:pt>
                <c:pt idx="198">
                  <c:v>41,169097548127</c:v>
                </c:pt>
                <c:pt idx="199">
                  <c:v>41,1689762747055</c:v>
                </c:pt>
                <c:pt idx="200">
                  <c:v>41,1688454559631</c:v>
                </c:pt>
                <c:pt idx="201">
                  <c:v>41,1687225714011</c:v>
                </c:pt>
                <c:pt idx="202">
                  <c:v>41,1668150377597</c:v>
                </c:pt>
                <c:pt idx="203">
                  <c:v>41,1667159874993</c:v>
                </c:pt>
                <c:pt idx="204">
                  <c:v>41,1664533876785</c:v>
                </c:pt>
                <c:pt idx="205">
                  <c:v>41,1661976394468</c:v>
                </c:pt>
                <c:pt idx="206">
                  <c:v>41,1660845122006</c:v>
                </c:pt>
                <c:pt idx="207">
                  <c:v>41,1652908241774</c:v>
                </c:pt>
                <c:pt idx="208">
                  <c:v>41,1650560546206</c:v>
                </c:pt>
                <c:pt idx="209">
                  <c:v>41,1642287733969</c:v>
                </c:pt>
                <c:pt idx="210">
                  <c:v>41,1614544403218</c:v>
                </c:pt>
                <c:pt idx="211">
                  <c:v>41,1582002241457</c:v>
                </c:pt>
                <c:pt idx="212">
                  <c:v>41,1573646064484</c:v>
                </c:pt>
                <c:pt idx="213">
                  <c:v>41,1569248259328</c:v>
                </c:pt>
                <c:pt idx="214">
                  <c:v>41,155407254905</c:v>
                </c:pt>
                <c:pt idx="215">
                  <c:v>41,1541671421598</c:v>
                </c:pt>
                <c:pt idx="216">
                  <c:v>41,152082299484</c:v>
                </c:pt>
                <c:pt idx="217">
                  <c:v>41,1513910863311</c:v>
                </c:pt>
                <c:pt idx="218">
                  <c:v>41,1511146532193</c:v>
                </c:pt>
                <c:pt idx="219">
                  <c:v>41,1509732197696</c:v>
                </c:pt>
                <c:pt idx="220">
                  <c:v>41,1488130102911</c:v>
                </c:pt>
                <c:pt idx="221">
                  <c:v>41,1472262823156</c:v>
                </c:pt>
                <c:pt idx="222">
                  <c:v>41,1442106346625</c:v>
                </c:pt>
                <c:pt idx="223">
                  <c:v>41,1321189843422</c:v>
                </c:pt>
                <c:pt idx="224">
                  <c:v>41,1315461554854</c:v>
                </c:pt>
                <c:pt idx="225">
                  <c:v>41,1298835785723</c:v>
                </c:pt>
                <c:pt idx="226">
                  <c:v>41,1219294825188</c:v>
                </c:pt>
                <c:pt idx="227">
                  <c:v>41,1208485635095</c:v>
                </c:pt>
                <c:pt idx="228">
                  <c:v>41,1203206666184</c:v>
                </c:pt>
                <c:pt idx="229">
                  <c:v>41,1193795110711</c:v>
                </c:pt>
                <c:pt idx="230">
                  <c:v>41,116989714449</c:v>
                </c:pt>
                <c:pt idx="231">
                  <c:v>41,1153903792948</c:v>
                </c:pt>
                <c:pt idx="232">
                  <c:v>41,1140605826501</c:v>
                </c:pt>
                <c:pt idx="233">
                  <c:v>41,1116465511377</c:v>
                </c:pt>
                <c:pt idx="234">
                  <c:v>41,0992984507844</c:v>
                </c:pt>
                <c:pt idx="235">
                  <c:v>41,0918824195327</c:v>
                </c:pt>
                <c:pt idx="236">
                  <c:v>41,0891471477189</c:v>
                </c:pt>
                <c:pt idx="237">
                  <c:v>41,0857903779795</c:v>
                </c:pt>
                <c:pt idx="238">
                  <c:v>41,0715551992787</c:v>
                </c:pt>
                <c:pt idx="239">
                  <c:v>41,0667879866874</c:v>
                </c:pt>
                <c:pt idx="240">
                  <c:v>40,798779783688</c:v>
                </c:pt>
                <c:pt idx="241">
                  <c:v>40,6918399215389</c:v>
                </c:pt>
                <c:pt idx="242">
                  <c:v>40,6781603056453</c:v>
                </c:pt>
                <c:pt idx="243">
                  <c:v>40,6656399653796</c:v>
                </c:pt>
                <c:pt idx="244">
                  <c:v>40,6541592111198</c:v>
                </c:pt>
                <c:pt idx="245">
                  <c:v>40,558744588238</c:v>
                </c:pt>
                <c:pt idx="246">
                  <c:v>40,5295237497531</c:v>
                </c:pt>
                <c:pt idx="247">
                  <c:v>40,3949996942384</c:v>
                </c:pt>
                <c:pt idx="248">
                  <c:v>40,3905025246377</c:v>
                </c:pt>
                <c:pt idx="249">
                  <c:v>40,3617123194044</c:v>
                </c:pt>
                <c:pt idx="250">
                  <c:v>40,3584308638721</c:v>
                </c:pt>
                <c:pt idx="251">
                  <c:v>40,3558989040483</c:v>
                </c:pt>
                <c:pt idx="252">
                  <c:v>40,3510334868045</c:v>
                </c:pt>
                <c:pt idx="253">
                  <c:v>40,3447106791437</c:v>
                </c:pt>
                <c:pt idx="254">
                  <c:v>40,3444317614738</c:v>
                </c:pt>
                <c:pt idx="255">
                  <c:v>40,3442081258544</c:v>
                </c:pt>
                <c:pt idx="256">
                  <c:v>40,3421588928712</c:v>
                </c:pt>
                <c:pt idx="257">
                  <c:v>40,3387838426933</c:v>
                </c:pt>
                <c:pt idx="258">
                  <c:v>40,3387232285386</c:v>
                </c:pt>
                <c:pt idx="259">
                  <c:v>40,3384117342631</c:v>
                </c:pt>
                <c:pt idx="260">
                  <c:v>40,3370698501937</c:v>
                </c:pt>
                <c:pt idx="261">
                  <c:v>40,3345838551614</c:v>
                </c:pt>
                <c:pt idx="262">
                  <c:v>40,3285694329811</c:v>
                </c:pt>
                <c:pt idx="263">
                  <c:v>40,3273675484495</c:v>
                </c:pt>
                <c:pt idx="264">
                  <c:v>40,3271228327345</c:v>
                </c:pt>
                <c:pt idx="265">
                  <c:v>40,3257641963298</c:v>
                </c:pt>
                <c:pt idx="266">
                  <c:v>40,3234237038565</c:v>
                </c:pt>
                <c:pt idx="267">
                  <c:v>40,3212563092123</c:v>
                </c:pt>
                <c:pt idx="268">
                  <c:v>40,3212114629756</c:v>
                </c:pt>
                <c:pt idx="269">
                  <c:v>40,3172831619396</c:v>
                </c:pt>
                <c:pt idx="270">
                  <c:v>40,3158637677667</c:v>
                </c:pt>
                <c:pt idx="271">
                  <c:v>40,3143894923367</c:v>
                </c:pt>
                <c:pt idx="272">
                  <c:v>40,3135979579214</c:v>
                </c:pt>
                <c:pt idx="273">
                  <c:v>40,3094377792701</c:v>
                </c:pt>
                <c:pt idx="274">
                  <c:v>40,3091309677861</c:v>
                </c:pt>
                <c:pt idx="275">
                  <c:v>40,3082352976748</c:v>
                </c:pt>
                <c:pt idx="276">
                  <c:v>40,3057308846766</c:v>
                </c:pt>
                <c:pt idx="277">
                  <c:v>40,3048156128583</c:v>
                </c:pt>
                <c:pt idx="278">
                  <c:v>40,2976506711128</c:v>
                </c:pt>
                <c:pt idx="279">
                  <c:v>40,2022088396347</c:v>
                </c:pt>
                <c:pt idx="280">
                  <c:v>40,1291307675002</c:v>
                </c:pt>
                <c:pt idx="281">
                  <c:v>39,9955432709909</c:v>
                </c:pt>
                <c:pt idx="282">
                  <c:v>39,9389420248808</c:v>
                </c:pt>
                <c:pt idx="283">
                  <c:v>39,936854026504</c:v>
                </c:pt>
                <c:pt idx="284">
                  <c:v>39,8390263632823</c:v>
                </c:pt>
                <c:pt idx="285">
                  <c:v>39,8088896212961</c:v>
                </c:pt>
                <c:pt idx="286">
                  <c:v>39,7098445391485</c:v>
                </c:pt>
                <c:pt idx="287">
                  <c:v>39,6045018195345</c:v>
                </c:pt>
                <c:pt idx="288">
                  <c:v>39,5954356709524</c:v>
                </c:pt>
                <c:pt idx="289">
                  <c:v>39,5225419867335</c:v>
                </c:pt>
                <c:pt idx="290">
                  <c:v>39,4402491618518</c:v>
                </c:pt>
                <c:pt idx="291">
                  <c:v>39,4379670038134</c:v>
                </c:pt>
                <c:pt idx="292">
                  <c:v>39,4353433316357</c:v>
                </c:pt>
                <c:pt idx="293">
                  <c:v>39,433920215508</c:v>
                </c:pt>
                <c:pt idx="294">
                  <c:v>39,4326134582454</c:v>
                </c:pt>
                <c:pt idx="295">
                  <c:v>39,4322874190181</c:v>
                </c:pt>
                <c:pt idx="296">
                  <c:v>39,4320090847813</c:v>
                </c:pt>
                <c:pt idx="297">
                  <c:v>39,431346401736</c:v>
                </c:pt>
                <c:pt idx="298">
                  <c:v>39,4310609376771</c:v>
                </c:pt>
                <c:pt idx="299">
                  <c:v>39,425272688695</c:v>
                </c:pt>
                <c:pt idx="300">
                  <c:v>39,4243020537569</c:v>
                </c:pt>
                <c:pt idx="301">
                  <c:v>39,4241100937481</c:v>
                </c:pt>
                <c:pt idx="302">
                  <c:v>39,4233114215249</c:v>
                </c:pt>
                <c:pt idx="303">
                  <c:v>39,4227689889016</c:v>
                </c:pt>
                <c:pt idx="304">
                  <c:v>39,4192061014371</c:v>
                </c:pt>
                <c:pt idx="305">
                  <c:v>39,4184211240902</c:v>
                </c:pt>
                <c:pt idx="306">
                  <c:v>39,4158954500892</c:v>
                </c:pt>
                <c:pt idx="307">
                  <c:v>39,415199889433</c:v>
                </c:pt>
                <c:pt idx="308">
                  <c:v>39,4139460843067</c:v>
                </c:pt>
                <c:pt idx="309">
                  <c:v>39,4074514666278</c:v>
                </c:pt>
                <c:pt idx="310">
                  <c:v>39,3984445597654</c:v>
                </c:pt>
                <c:pt idx="311">
                  <c:v>39,3919128857989</c:v>
                </c:pt>
                <c:pt idx="312">
                  <c:v>39,3904288114104</c:v>
                </c:pt>
                <c:pt idx="313">
                  <c:v>39,3672456343987</c:v>
                </c:pt>
                <c:pt idx="314">
                  <c:v>39,3536680439989</c:v>
                </c:pt>
                <c:pt idx="315">
                  <c:v>39,3362304361679</c:v>
                </c:pt>
                <c:pt idx="316">
                  <c:v>39,291223333393</c:v>
                </c:pt>
                <c:pt idx="317">
                  <c:v>39,247692952156</c:v>
                </c:pt>
                <c:pt idx="318">
                  <c:v>39,2329535149963</c:v>
                </c:pt>
                <c:pt idx="319">
                  <c:v>39,2050715786537</c:v>
                </c:pt>
                <c:pt idx="320">
                  <c:v>39,1836296630489</c:v>
                </c:pt>
                <c:pt idx="321">
                  <c:v>39,1794890159893</c:v>
                </c:pt>
                <c:pt idx="322">
                  <c:v>39,1754540540465</c:v>
                </c:pt>
                <c:pt idx="323">
                  <c:v>39,1704771835871</c:v>
                </c:pt>
                <c:pt idx="324">
                  <c:v>39,1463455336252</c:v>
                </c:pt>
                <c:pt idx="325">
                  <c:v>39,1463399502455</c:v>
                </c:pt>
                <c:pt idx="326">
                  <c:v>39,1307500629267</c:v>
                </c:pt>
                <c:pt idx="327">
                  <c:v>39,123446406842</c:v>
                </c:pt>
                <c:pt idx="328">
                  <c:v>39,1165872703337</c:v>
                </c:pt>
                <c:pt idx="329">
                  <c:v>39,10656271609</c:v>
                </c:pt>
                <c:pt idx="330">
                  <c:v>39,0694007685677</c:v>
                </c:pt>
                <c:pt idx="331">
                  <c:v>39,0617777087715</c:v>
                </c:pt>
                <c:pt idx="332">
                  <c:v>39,0617282745344</c:v>
                </c:pt>
                <c:pt idx="333">
                  <c:v>39,0408940267449</c:v>
                </c:pt>
                <c:pt idx="334">
                  <c:v>39,0339825854902</c:v>
                </c:pt>
                <c:pt idx="335">
                  <c:v>38,9886480500217</c:v>
                </c:pt>
                <c:pt idx="336">
                  <c:v>38,9659573486716</c:v>
                </c:pt>
                <c:pt idx="337">
                  <c:v>38,9648641350802</c:v>
                </c:pt>
                <c:pt idx="338">
                  <c:v>38,9220760047274</c:v>
                </c:pt>
                <c:pt idx="339">
                  <c:v>38,9191346260819</c:v>
                </c:pt>
                <c:pt idx="340">
                  <c:v>38,9023109392444</c:v>
                </c:pt>
                <c:pt idx="341">
                  <c:v>38,8926802206924</c:v>
                </c:pt>
                <c:pt idx="342">
                  <c:v>38,8395075836525</c:v>
                </c:pt>
                <c:pt idx="343">
                  <c:v>38,8376741825429</c:v>
                </c:pt>
                <c:pt idx="344">
                  <c:v>38,8325954755638</c:v>
                </c:pt>
                <c:pt idx="345">
                  <c:v>38,8287653207643</c:v>
                </c:pt>
                <c:pt idx="346">
                  <c:v>38,8273921701301</c:v>
                </c:pt>
                <c:pt idx="347">
                  <c:v>38,8087751969863</c:v>
                </c:pt>
                <c:pt idx="348">
                  <c:v>38,7958829791683</c:v>
                </c:pt>
                <c:pt idx="349">
                  <c:v>38,7797113480525</c:v>
                </c:pt>
                <c:pt idx="350">
                  <c:v>38,7790403188944</c:v>
                </c:pt>
                <c:pt idx="351">
                  <c:v>38,7627118315709</c:v>
                </c:pt>
                <c:pt idx="352">
                  <c:v>38,7535128656033</c:v>
                </c:pt>
                <c:pt idx="353">
                  <c:v>38,7491902229469</c:v>
                </c:pt>
                <c:pt idx="354">
                  <c:v>38,7458726087152</c:v>
                </c:pt>
                <c:pt idx="355">
                  <c:v>38,744962627112</c:v>
                </c:pt>
                <c:pt idx="356">
                  <c:v>38,7345501150224</c:v>
                </c:pt>
                <c:pt idx="357">
                  <c:v>38,7009879311114</c:v>
                </c:pt>
                <c:pt idx="358">
                  <c:v>38,6972600357432</c:v>
                </c:pt>
                <c:pt idx="359">
                  <c:v>38,6920116057425</c:v>
                </c:pt>
                <c:pt idx="360">
                  <c:v>38,6889032364667</c:v>
                </c:pt>
                <c:pt idx="361">
                  <c:v>38,6860406358171</c:v>
                </c:pt>
                <c:pt idx="362">
                  <c:v>38,6706838586969</c:v>
                </c:pt>
                <c:pt idx="363">
                  <c:v>38,6545354707601</c:v>
                </c:pt>
                <c:pt idx="364">
                  <c:v>38,6400144487988</c:v>
                </c:pt>
                <c:pt idx="365">
                  <c:v>38,6379416742937</c:v>
                </c:pt>
                <c:pt idx="366">
                  <c:v>38,6259113177731</c:v>
                </c:pt>
                <c:pt idx="367">
                  <c:v>38,6165166971454</c:v>
                </c:pt>
                <c:pt idx="368">
                  <c:v>38,6137294145036</c:v>
                </c:pt>
                <c:pt idx="369">
                  <c:v>38,6097830006034</c:v>
                </c:pt>
                <c:pt idx="370">
                  <c:v>38,6062761713599</c:v>
                </c:pt>
                <c:pt idx="371">
                  <c:v>38,6023304652221</c:v>
                </c:pt>
                <c:pt idx="372">
                  <c:v>38,6019452755678</c:v>
                </c:pt>
                <c:pt idx="373">
                  <c:v>38,5977717408836</c:v>
                </c:pt>
                <c:pt idx="374">
                  <c:v>38,5971150867807</c:v>
                </c:pt>
                <c:pt idx="375">
                  <c:v>38,5927419776806</c:v>
                </c:pt>
                <c:pt idx="376">
                  <c:v>38,5832494522165</c:v>
                </c:pt>
                <c:pt idx="377">
                  <c:v>38,5831562254158</c:v>
                </c:pt>
                <c:pt idx="378">
                  <c:v>38,5801929060443</c:v>
                </c:pt>
                <c:pt idx="379">
                  <c:v>38,5730464933138</c:v>
                </c:pt>
                <c:pt idx="380">
                  <c:v>38,56692017211</c:v>
                </c:pt>
                <c:pt idx="381">
                  <c:v>38,560954377626</c:v>
                </c:pt>
                <c:pt idx="382">
                  <c:v>38,5593198328258</c:v>
                </c:pt>
                <c:pt idx="383">
                  <c:v>38,5417654896736</c:v>
                </c:pt>
                <c:pt idx="384">
                  <c:v>38,5280720207396</c:v>
                </c:pt>
                <c:pt idx="385">
                  <c:v>38,5234854270418</c:v>
                </c:pt>
                <c:pt idx="386">
                  <c:v>38,5074530052977</c:v>
                </c:pt>
                <c:pt idx="387">
                  <c:v>38,5008928270768</c:v>
                </c:pt>
                <c:pt idx="388">
                  <c:v>38,4991558037327</c:v>
                </c:pt>
                <c:pt idx="389">
                  <c:v>38,4671907204141</c:v>
                </c:pt>
                <c:pt idx="390">
                  <c:v>38,4624073678873</c:v>
                </c:pt>
                <c:pt idx="391">
                  <c:v>38,4479810214259</c:v>
                </c:pt>
                <c:pt idx="392">
                  <c:v>38,4477332905979</c:v>
                </c:pt>
                <c:pt idx="393">
                  <c:v>38,4181003144145</c:v>
                </c:pt>
                <c:pt idx="394">
                  <c:v>38,381796676059</c:v>
                </c:pt>
                <c:pt idx="395">
                  <c:v>38,3204032222817</c:v>
                </c:pt>
                <c:pt idx="396">
                  <c:v>38,3192782563735</c:v>
                </c:pt>
                <c:pt idx="397">
                  <c:v>38,2808632742598</c:v>
                </c:pt>
                <c:pt idx="398">
                  <c:v>38,2676140128349</c:v>
                </c:pt>
                <c:pt idx="399">
                  <c:v>38,2588553429561</c:v>
                </c:pt>
                <c:pt idx="400">
                  <c:v>38,2444270349413</c:v>
                </c:pt>
                <c:pt idx="401">
                  <c:v>38,2398493781534</c:v>
                </c:pt>
                <c:pt idx="402">
                  <c:v>38,2309486685222</c:v>
                </c:pt>
                <c:pt idx="403">
                  <c:v>38,2294687267933</c:v>
                </c:pt>
                <c:pt idx="404">
                  <c:v>38,1918918135755</c:v>
                </c:pt>
                <c:pt idx="405">
                  <c:v>38,188723120044</c:v>
                </c:pt>
                <c:pt idx="406">
                  <c:v>38,1816185592435</c:v>
                </c:pt>
                <c:pt idx="407">
                  <c:v>38,1713926140865</c:v>
                </c:pt>
                <c:pt idx="408">
                  <c:v>38,1533213779176</c:v>
                </c:pt>
                <c:pt idx="409">
                  <c:v>38,1409675517627</c:v>
                </c:pt>
                <c:pt idx="410">
                  <c:v>38,1288976424447</c:v>
                </c:pt>
                <c:pt idx="411">
                  <c:v>38,1030026351067</c:v>
                </c:pt>
                <c:pt idx="412">
                  <c:v>38,0793467330013</c:v>
                </c:pt>
                <c:pt idx="413">
                  <c:v>37,9166773402433</c:v>
                </c:pt>
                <c:pt idx="414">
                  <c:v>37,8973091923947</c:v>
                </c:pt>
                <c:pt idx="415">
                  <c:v>37,8372030048876</c:v>
                </c:pt>
                <c:pt idx="416">
                  <c:v>37,8371783159215</c:v>
                </c:pt>
                <c:pt idx="417">
                  <c:v>37,8246650811086</c:v>
                </c:pt>
                <c:pt idx="418">
                  <c:v>37,8200939756634</c:v>
                </c:pt>
                <c:pt idx="419">
                  <c:v>37,8189084687284</c:v>
                </c:pt>
                <c:pt idx="420">
                  <c:v>37,8152035515761</c:v>
                </c:pt>
                <c:pt idx="421">
                  <c:v>37,8029758843353</c:v>
                </c:pt>
                <c:pt idx="422">
                  <c:v>37,7938340539048</c:v>
                </c:pt>
                <c:pt idx="423">
                  <c:v>37,7908031996689</c:v>
                </c:pt>
                <c:pt idx="424">
                  <c:v>37,790260609609</c:v>
                </c:pt>
                <c:pt idx="425">
                  <c:v>37,7890683032359</c:v>
                </c:pt>
                <c:pt idx="426">
                  <c:v>37,7889010297956</c:v>
                </c:pt>
                <c:pt idx="427">
                  <c:v>37,7830068555756</c:v>
                </c:pt>
                <c:pt idx="428">
                  <c:v>37,7828461013349</c:v>
                </c:pt>
                <c:pt idx="429">
                  <c:v>37,7795057176903</c:v>
                </c:pt>
                <c:pt idx="430">
                  <c:v>37,7793879643793</c:v>
                </c:pt>
                <c:pt idx="431">
                  <c:v>37,7749938616004</c:v>
                </c:pt>
                <c:pt idx="432">
                  <c:v>37,7749148157208</c:v>
                </c:pt>
                <c:pt idx="433">
                  <c:v>37,7721454241959</c:v>
                </c:pt>
                <c:pt idx="434">
                  <c:v>37,771305376191</c:v>
                </c:pt>
                <c:pt idx="435">
                  <c:v>37,7681590437428</c:v>
                </c:pt>
                <c:pt idx="436">
                  <c:v>37,7668962222738</c:v>
                </c:pt>
                <c:pt idx="437">
                  <c:v>37,7654991511372</c:v>
                </c:pt>
                <c:pt idx="438">
                  <c:v>37,7643433483407</c:v>
                </c:pt>
                <c:pt idx="439">
                  <c:v>37,763265365889</c:v>
                </c:pt>
                <c:pt idx="440">
                  <c:v>37,7604663007099</c:v>
                </c:pt>
                <c:pt idx="441">
                  <c:v>37,7598755772151</c:v>
                </c:pt>
                <c:pt idx="442">
                  <c:v>37,7581452292414</c:v>
                </c:pt>
                <c:pt idx="443">
                  <c:v>37,7570389444798</c:v>
                </c:pt>
                <c:pt idx="444">
                  <c:v>37,7567934483822</c:v>
                </c:pt>
                <c:pt idx="445">
                  <c:v>37,7554758914145</c:v>
                </c:pt>
                <c:pt idx="446">
                  <c:v>37,7550701670743</c:v>
                </c:pt>
                <c:pt idx="447">
                  <c:v>37,7549995669835</c:v>
                </c:pt>
                <c:pt idx="448">
                  <c:v>37,7539718876788</c:v>
                </c:pt>
                <c:pt idx="449">
                  <c:v>37,7517192060245</c:v>
                </c:pt>
                <c:pt idx="450">
                  <c:v>37,7498361257419</c:v>
                </c:pt>
                <c:pt idx="451">
                  <c:v>37,7496485697101</c:v>
                </c:pt>
                <c:pt idx="452">
                  <c:v>37,748318937384</c:v>
                </c:pt>
                <c:pt idx="453">
                  <c:v>37,7481954101358</c:v>
                </c:pt>
                <c:pt idx="454">
                  <c:v>37,7476218322454</c:v>
                </c:pt>
                <c:pt idx="455">
                  <c:v>37,7475651877239</c:v>
                </c:pt>
                <c:pt idx="456">
                  <c:v>37,7472852313113</c:v>
                </c:pt>
                <c:pt idx="457">
                  <c:v>37,746823053868</c:v>
                </c:pt>
                <c:pt idx="458">
                  <c:v>37,7458386449403</c:v>
                </c:pt>
                <c:pt idx="459">
                  <c:v>37,7456331677829</c:v>
                </c:pt>
                <c:pt idx="460">
                  <c:v>37,7441908602168</c:v>
                </c:pt>
                <c:pt idx="461">
                  <c:v>37,7427900726105</c:v>
                </c:pt>
                <c:pt idx="462">
                  <c:v>37,7422230844335</c:v>
                </c:pt>
                <c:pt idx="463">
                  <c:v>37,7410396393849</c:v>
                </c:pt>
                <c:pt idx="464">
                  <c:v>37,7387063923582</c:v>
                </c:pt>
                <c:pt idx="465">
                  <c:v>37,7385534488979</c:v>
                </c:pt>
                <c:pt idx="466">
                  <c:v>37,7376105580324</c:v>
                </c:pt>
                <c:pt idx="467">
                  <c:v>37,7369382395481</c:v>
                </c:pt>
                <c:pt idx="468">
                  <c:v>37,7369001458892</c:v>
                </c:pt>
                <c:pt idx="469">
                  <c:v>37,7361337045141</c:v>
                </c:pt>
                <c:pt idx="470">
                  <c:v>37,7357075207219</c:v>
                </c:pt>
                <c:pt idx="471">
                  <c:v>37,7336896838379</c:v>
                </c:pt>
                <c:pt idx="472">
                  <c:v>37,7336612841879</c:v>
                </c:pt>
                <c:pt idx="473">
                  <c:v>37,7335797050332</c:v>
                </c:pt>
                <c:pt idx="474">
                  <c:v>37,7333703405768</c:v>
                </c:pt>
                <c:pt idx="475">
                  <c:v>37,7331353732024</c:v>
                </c:pt>
                <c:pt idx="476">
                  <c:v>37,7325956705893</c:v>
                </c:pt>
                <c:pt idx="477">
                  <c:v>37,7308220034451</c:v>
                </c:pt>
                <c:pt idx="478">
                  <c:v>37,7295656245319</c:v>
                </c:pt>
                <c:pt idx="479">
                  <c:v>37,7288172401332</c:v>
                </c:pt>
                <c:pt idx="480">
                  <c:v>37,7279525444628</c:v>
                </c:pt>
                <c:pt idx="481">
                  <c:v>37,7272412950193</c:v>
                </c:pt>
                <c:pt idx="482">
                  <c:v>37,7229636127627</c:v>
                </c:pt>
                <c:pt idx="483">
                  <c:v>37,7220640519708</c:v>
                </c:pt>
                <c:pt idx="484">
                  <c:v>37,7214240731866</c:v>
                </c:pt>
                <c:pt idx="485">
                  <c:v>37,7208893971445</c:v>
                </c:pt>
                <c:pt idx="486">
                  <c:v>37,7207376546488</c:v>
                </c:pt>
                <c:pt idx="487">
                  <c:v>37,7200825163663</c:v>
                </c:pt>
                <c:pt idx="488">
                  <c:v>37,7191599953499</c:v>
                </c:pt>
                <c:pt idx="489">
                  <c:v>37,7183731269502</c:v>
                </c:pt>
                <c:pt idx="490">
                  <c:v>37,7153099863929</c:v>
                </c:pt>
                <c:pt idx="491">
                  <c:v>37,7134230509243</c:v>
                </c:pt>
                <c:pt idx="492">
                  <c:v>37,713233652988</c:v>
                </c:pt>
                <c:pt idx="493">
                  <c:v>37,7121065844809</c:v>
                </c:pt>
                <c:pt idx="494">
                  <c:v>37,7107969309387</c:v>
                </c:pt>
                <c:pt idx="495">
                  <c:v>37,710224265284</c:v>
                </c:pt>
                <c:pt idx="496">
                  <c:v>37,708616525395</c:v>
                </c:pt>
                <c:pt idx="497">
                  <c:v>37,7072921966941</c:v>
                </c:pt>
                <c:pt idx="498">
                  <c:v>37,7051751565627</c:v>
                </c:pt>
                <c:pt idx="499">
                  <c:v>37,7028107795118</c:v>
                </c:pt>
                <c:pt idx="500">
                  <c:v>37,6881058379599</c:v>
                </c:pt>
                <c:pt idx="501">
                  <c:v>37,6603804758361</c:v>
                </c:pt>
                <c:pt idx="502">
                  <c:v>37,6592702477714</c:v>
                </c:pt>
                <c:pt idx="503">
                  <c:v>37,6586932481206</c:v>
                </c:pt>
                <c:pt idx="504">
                  <c:v>37,6271367617473</c:v>
                </c:pt>
                <c:pt idx="505">
                  <c:v>37,6231475376867</c:v>
                </c:pt>
                <c:pt idx="506">
                  <c:v>37,6212464619295</c:v>
                </c:pt>
                <c:pt idx="507">
                  <c:v>37,6166959471894</c:v>
                </c:pt>
                <c:pt idx="508">
                  <c:v>37,6159825310959</c:v>
                </c:pt>
                <c:pt idx="509">
                  <c:v>37,6107993150169</c:v>
                </c:pt>
                <c:pt idx="510">
                  <c:v>37,602451291347</c:v>
                </c:pt>
                <c:pt idx="511">
                  <c:v>37,590320186166</c:v>
                </c:pt>
                <c:pt idx="512">
                  <c:v>37,576549448485</c:v>
                </c:pt>
                <c:pt idx="513">
                  <c:v>37,539646933138</c:v>
                </c:pt>
                <c:pt idx="514">
                  <c:v>37,5024844732331</c:v>
                </c:pt>
                <c:pt idx="515">
                  <c:v>37,3717215809321</c:v>
                </c:pt>
                <c:pt idx="516">
                  <c:v>37,2373260043959</c:v>
                </c:pt>
                <c:pt idx="517">
                  <c:v>37,1896173407493</c:v>
                </c:pt>
                <c:pt idx="518">
                  <c:v>37,1703974389796</c:v>
                </c:pt>
                <c:pt idx="519">
                  <c:v>37,0877137731561</c:v>
                </c:pt>
                <c:pt idx="520">
                  <c:v>37,0438897369464</c:v>
                </c:pt>
                <c:pt idx="521">
                  <c:v>37,0186595036914</c:v>
                </c:pt>
                <c:pt idx="522">
                  <c:v>36,9962110757427</c:v>
                </c:pt>
                <c:pt idx="523">
                  <c:v>36,9825385672397</c:v>
                </c:pt>
                <c:pt idx="524">
                  <c:v>36,9810302425416</c:v>
                </c:pt>
                <c:pt idx="525">
                  <c:v>36,9072834898558</c:v>
                </c:pt>
                <c:pt idx="526">
                  <c:v>36,8929899391118</c:v>
                </c:pt>
                <c:pt idx="527">
                  <c:v>36,8832915240714</c:v>
                </c:pt>
                <c:pt idx="528">
                  <c:v>36,8805644617595</c:v>
                </c:pt>
                <c:pt idx="529">
                  <c:v>36,8751745347866</c:v>
                </c:pt>
                <c:pt idx="530">
                  <c:v>36,8681088374175</c:v>
                </c:pt>
                <c:pt idx="531">
                  <c:v>36,8609240839506</c:v>
                </c:pt>
                <c:pt idx="532">
                  <c:v>36,8507496455906</c:v>
                </c:pt>
                <c:pt idx="533">
                  <c:v>36,8499369788471</c:v>
                </c:pt>
                <c:pt idx="534">
                  <c:v>36,8493277249515</c:v>
                </c:pt>
                <c:pt idx="535">
                  <c:v>36,845376003684</c:v>
                </c:pt>
                <c:pt idx="536">
                  <c:v>36,8453338351849</c:v>
                </c:pt>
                <c:pt idx="537">
                  <c:v>36,8451700156479</c:v>
                </c:pt>
                <c:pt idx="538">
                  <c:v>36,8447047725235</c:v>
                </c:pt>
                <c:pt idx="539">
                  <c:v>36,8445903664527</c:v>
                </c:pt>
                <c:pt idx="540">
                  <c:v>36,8433808895094</c:v>
                </c:pt>
                <c:pt idx="541">
                  <c:v>36,8433356044705</c:v>
                </c:pt>
                <c:pt idx="542">
                  <c:v>36,8416684963058</c:v>
                </c:pt>
                <c:pt idx="543">
                  <c:v>36,8330781720809</c:v>
                </c:pt>
                <c:pt idx="544">
                  <c:v>36,8321387265295</c:v>
                </c:pt>
                <c:pt idx="545">
                  <c:v>36,7978718212509</c:v>
                </c:pt>
                <c:pt idx="546">
                  <c:v>36,7795590906956</c:v>
                </c:pt>
                <c:pt idx="547">
                  <c:v>36,7746210104967</c:v>
                </c:pt>
                <c:pt idx="548">
                  <c:v>36,7698695112909</c:v>
                </c:pt>
                <c:pt idx="549">
                  <c:v>36,7697328403108</c:v>
                </c:pt>
                <c:pt idx="550">
                  <c:v>36,7695755260551</c:v>
                </c:pt>
                <c:pt idx="551">
                  <c:v>36,7686630290115</c:v>
                </c:pt>
                <c:pt idx="552">
                  <c:v>36,767999660937</c:v>
                </c:pt>
                <c:pt idx="553">
                  <c:v>36,7669637091835</c:v>
                </c:pt>
                <c:pt idx="554">
                  <c:v>36,7650717488187</c:v>
                </c:pt>
                <c:pt idx="555">
                  <c:v>36,7621807723969</c:v>
                </c:pt>
                <c:pt idx="556">
                  <c:v>36,7596869193938</c:v>
                </c:pt>
                <c:pt idx="557">
                  <c:v>36,7540615515559</c:v>
                </c:pt>
                <c:pt idx="558">
                  <c:v>36,7474787657859</c:v>
                </c:pt>
                <c:pt idx="559">
                  <c:v>36,747315994936</c:v>
                </c:pt>
                <c:pt idx="560">
                  <c:v>36,7347145346824</c:v>
                </c:pt>
                <c:pt idx="561">
                  <c:v>36,7320493488388</c:v>
                </c:pt>
                <c:pt idx="562">
                  <c:v>36,7318480976909</c:v>
                </c:pt>
                <c:pt idx="563">
                  <c:v>36,7318360172685</c:v>
                </c:pt>
                <c:pt idx="564">
                  <c:v>36,7302633281501</c:v>
                </c:pt>
                <c:pt idx="565">
                  <c:v>36,7252324091625</c:v>
                </c:pt>
                <c:pt idx="566">
                  <c:v>36,7238911439214</c:v>
                </c:pt>
                <c:pt idx="567">
                  <c:v>36,7165097747819</c:v>
                </c:pt>
                <c:pt idx="568">
                  <c:v>36,6992369514431</c:v>
                </c:pt>
                <c:pt idx="569">
                  <c:v>36,6979856104255</c:v>
                </c:pt>
                <c:pt idx="570">
                  <c:v>36,6837053747177</c:v>
                </c:pt>
                <c:pt idx="571">
                  <c:v>36,6810807463983</c:v>
                </c:pt>
                <c:pt idx="572">
                  <c:v>36,666215700229</c:v>
                </c:pt>
                <c:pt idx="573">
                  <c:v>36,5457612716139</c:v>
                </c:pt>
                <c:pt idx="574">
                  <c:v>35,9162380770027</c:v>
                </c:pt>
                <c:pt idx="575">
                  <c:v>35,9058699036107</c:v>
                </c:pt>
                <c:pt idx="576">
                  <c:v>35,7670892446368</c:v>
                </c:pt>
                <c:pt idx="577">
                  <c:v>35,6063889438552</c:v>
                </c:pt>
                <c:pt idx="578">
                  <c:v>35,5644666405922</c:v>
                </c:pt>
                <c:pt idx="579">
                  <c:v>35,5522835941145</c:v>
                </c:pt>
                <c:pt idx="580">
                  <c:v>35,4996169081917</c:v>
                </c:pt>
                <c:pt idx="581">
                  <c:v>35,4590665462404</c:v>
                </c:pt>
                <c:pt idx="582">
                  <c:v>35,4433555139586</c:v>
                </c:pt>
                <c:pt idx="583">
                  <c:v>35,3946930459372</c:v>
                </c:pt>
                <c:pt idx="584">
                  <c:v>35,3919634612774</c:v>
                </c:pt>
                <c:pt idx="585">
                  <c:v>35,329497070125</c:v>
                </c:pt>
                <c:pt idx="586">
                  <c:v>35,3293898612304</c:v>
                </c:pt>
                <c:pt idx="587">
                  <c:v>35,3273894246637</c:v>
                </c:pt>
                <c:pt idx="588">
                  <c:v>35,2984535221024</c:v>
                </c:pt>
                <c:pt idx="589">
                  <c:v>35,2907983231085</c:v>
                </c:pt>
                <c:pt idx="590">
                  <c:v>35,2629547732759</c:v>
                </c:pt>
                <c:pt idx="591">
                  <c:v>35,254528510493</c:v>
                </c:pt>
                <c:pt idx="592">
                  <c:v>35,2495861388846</c:v>
                </c:pt>
                <c:pt idx="593">
                  <c:v>35,2459978245762</c:v>
                </c:pt>
                <c:pt idx="594">
                  <c:v>35,245597136867</c:v>
                </c:pt>
                <c:pt idx="595">
                  <c:v>35,2397776595076</c:v>
                </c:pt>
                <c:pt idx="596">
                  <c:v>35,2316593326619</c:v>
                </c:pt>
                <c:pt idx="597">
                  <c:v>35,2307189072796</c:v>
                </c:pt>
                <c:pt idx="598">
                  <c:v>35,2096905409419</c:v>
                </c:pt>
                <c:pt idx="599">
                  <c:v>35,2094262048035</c:v>
                </c:pt>
                <c:pt idx="600">
                  <c:v>35,2091990126606</c:v>
                </c:pt>
                <c:pt idx="601">
                  <c:v>35,2020946224302</c:v>
                </c:pt>
                <c:pt idx="602">
                  <c:v>35,1953834422061</c:v>
                </c:pt>
                <c:pt idx="603">
                  <c:v>35,1902208811807</c:v>
                </c:pt>
                <c:pt idx="604">
                  <c:v>35,1862351151498</c:v>
                </c:pt>
                <c:pt idx="605">
                  <c:v>35,1575818951212</c:v>
                </c:pt>
                <c:pt idx="606">
                  <c:v>35,153963869974</c:v>
                </c:pt>
                <c:pt idx="607">
                  <c:v>35,1505599619442</c:v>
                </c:pt>
                <c:pt idx="608">
                  <c:v>35,1500417171007</c:v>
                </c:pt>
                <c:pt idx="609">
                  <c:v>35,143310158096</c:v>
                </c:pt>
                <c:pt idx="610">
                  <c:v>35,1387867996641</c:v>
                </c:pt>
                <c:pt idx="611">
                  <c:v>35,1365882004888</c:v>
                </c:pt>
                <c:pt idx="612">
                  <c:v>35,1333478208857</c:v>
                </c:pt>
                <c:pt idx="613">
                  <c:v>35,1324194997821</c:v>
                </c:pt>
                <c:pt idx="614">
                  <c:v>35,1301191761834</c:v>
                </c:pt>
                <c:pt idx="615">
                  <c:v>35,1285974431148</c:v>
                </c:pt>
                <c:pt idx="616">
                  <c:v>35,1245799532196</c:v>
                </c:pt>
                <c:pt idx="617">
                  <c:v>35,1238425427886</c:v>
                </c:pt>
                <c:pt idx="618">
                  <c:v>35,1223207640884</c:v>
                </c:pt>
                <c:pt idx="619">
                  <c:v>35,121182690808</c:v>
                </c:pt>
                <c:pt idx="620">
                  <c:v>35,1204186600845</c:v>
                </c:pt>
                <c:pt idx="621">
                  <c:v>35,1192335783618</c:v>
                </c:pt>
                <c:pt idx="622">
                  <c:v>35,1186105189614</c:v>
                </c:pt>
                <c:pt idx="623">
                  <c:v>35,114329376734</c:v>
                </c:pt>
                <c:pt idx="624">
                  <c:v>35,112414774755</c:v>
                </c:pt>
                <c:pt idx="625">
                  <c:v>35,1076772836873</c:v>
                </c:pt>
                <c:pt idx="626">
                  <c:v>35,1058220765856</c:v>
                </c:pt>
                <c:pt idx="627">
                  <c:v>35,1022906707845</c:v>
                </c:pt>
                <c:pt idx="628">
                  <c:v>35,1012254293303</c:v>
                </c:pt>
                <c:pt idx="629">
                  <c:v>35,1011241525128</c:v>
                </c:pt>
                <c:pt idx="630">
                  <c:v>35,1005635238471</c:v>
                </c:pt>
                <c:pt idx="631">
                  <c:v>35,099289805434</c:v>
                </c:pt>
                <c:pt idx="632">
                  <c:v>35,0989235773449</c:v>
                </c:pt>
                <c:pt idx="633">
                  <c:v>35,0988795690113</c:v>
                </c:pt>
                <c:pt idx="634">
                  <c:v>35,0956223035498</c:v>
                </c:pt>
                <c:pt idx="635">
                  <c:v>35,094914912942</c:v>
                </c:pt>
                <c:pt idx="636">
                  <c:v>35,0926231543059</c:v>
                </c:pt>
                <c:pt idx="637">
                  <c:v>35,0918353506325</c:v>
                </c:pt>
                <c:pt idx="638">
                  <c:v>35,0912446222984</c:v>
                </c:pt>
                <c:pt idx="639">
                  <c:v>35,0900518924848</c:v>
                </c:pt>
                <c:pt idx="640">
                  <c:v>35,0877499484634</c:v>
                </c:pt>
                <c:pt idx="641">
                  <c:v>35,0875277272319</c:v>
                </c:pt>
                <c:pt idx="642">
                  <c:v>35,0869370283778</c:v>
                </c:pt>
                <c:pt idx="643">
                  <c:v>35,0854866257957</c:v>
                </c:pt>
                <c:pt idx="644">
                  <c:v>35,0846355524533</c:v>
                </c:pt>
                <c:pt idx="645">
                  <c:v>35,0793240323112</c:v>
                </c:pt>
                <c:pt idx="646">
                  <c:v>35,0792081287895</c:v>
                </c:pt>
                <c:pt idx="647">
                  <c:v>35,0748134092244</c:v>
                </c:pt>
                <c:pt idx="648">
                  <c:v>35,0618572611499</c:v>
                </c:pt>
                <c:pt idx="649">
                  <c:v>35,0595976276178</c:v>
                </c:pt>
                <c:pt idx="650">
                  <c:v>35,0506047961984</c:v>
                </c:pt>
                <c:pt idx="651">
                  <c:v>35,0462922132642</c:v>
                </c:pt>
                <c:pt idx="652">
                  <c:v>35,0456838089943</c:v>
                </c:pt>
                <c:pt idx="653">
                  <c:v>35,0455395051581</c:v>
                </c:pt>
                <c:pt idx="654">
                  <c:v>35,0448325201504</c:v>
                </c:pt>
                <c:pt idx="655">
                  <c:v>35,0441970237154</c:v>
                </c:pt>
                <c:pt idx="656">
                  <c:v>35,0437856034086</c:v>
                </c:pt>
                <c:pt idx="657">
                  <c:v>35,0433059767053</c:v>
                </c:pt>
                <c:pt idx="658">
                  <c:v>35,0431696092519</c:v>
                </c:pt>
                <c:pt idx="659">
                  <c:v>35,0415637980284</c:v>
                </c:pt>
                <c:pt idx="660">
                  <c:v>35,0414989870886</c:v>
                </c:pt>
                <c:pt idx="661">
                  <c:v>35,0412889746814</c:v>
                </c:pt>
                <c:pt idx="662">
                  <c:v>35,0411773863476</c:v>
                </c:pt>
                <c:pt idx="663">
                  <c:v>35,0409804589856</c:v>
                </c:pt>
                <c:pt idx="664">
                  <c:v>35,0409129375109</c:v>
                </c:pt>
                <c:pt idx="665">
                  <c:v>35,0406777212823</c:v>
                </c:pt>
                <c:pt idx="666">
                  <c:v>35,0404628045453</c:v>
                </c:pt>
                <c:pt idx="667">
                  <c:v>35,0403402087674</c:v>
                </c:pt>
                <c:pt idx="668">
                  <c:v>35,0399460018297</c:v>
                </c:pt>
                <c:pt idx="669">
                  <c:v>35,0395701855682</c:v>
                </c:pt>
                <c:pt idx="670">
                  <c:v>35,0395426238448</c:v>
                </c:pt>
                <c:pt idx="671">
                  <c:v>35,0392878262642</c:v>
                </c:pt>
                <c:pt idx="672">
                  <c:v>35,038753278377</c:v>
                </c:pt>
                <c:pt idx="673">
                  <c:v>35,0387326631165</c:v>
                </c:pt>
                <c:pt idx="674">
                  <c:v>35,0386936829592</c:v>
                </c:pt>
                <c:pt idx="675">
                  <c:v>35,0386881780374</c:v>
                </c:pt>
                <c:pt idx="676">
                  <c:v>35,0381328218221</c:v>
                </c:pt>
                <c:pt idx="677">
                  <c:v>35,037833933203</c:v>
                </c:pt>
                <c:pt idx="678">
                  <c:v>35,0374354601472</c:v>
                </c:pt>
                <c:pt idx="679">
                  <c:v>35,0374314123227</c:v>
                </c:pt>
                <c:pt idx="680">
                  <c:v>35,0374089577719</c:v>
                </c:pt>
                <c:pt idx="681">
                  <c:v>35,037367885964</c:v>
                </c:pt>
                <c:pt idx="682">
                  <c:v>35,0373234811851</c:v>
                </c:pt>
                <c:pt idx="683">
                  <c:v>35,0370254969197</c:v>
                </c:pt>
                <c:pt idx="684">
                  <c:v>35,0370099585999</c:v>
                </c:pt>
                <c:pt idx="685">
                  <c:v>35,0367648297329</c:v>
                </c:pt>
                <c:pt idx="686">
                  <c:v>35,0360026698919</c:v>
                </c:pt>
                <c:pt idx="687">
                  <c:v>35,0357326394901</c:v>
                </c:pt>
                <c:pt idx="688">
                  <c:v>35,0349247823733</c:v>
                </c:pt>
                <c:pt idx="689">
                  <c:v>35,0348058652164</c:v>
                </c:pt>
                <c:pt idx="690">
                  <c:v>35,0346567813846</c:v>
                </c:pt>
                <c:pt idx="691">
                  <c:v>35,0346162465509</c:v>
                </c:pt>
                <c:pt idx="692">
                  <c:v>35,0346008523179</c:v>
                </c:pt>
                <c:pt idx="693">
                  <c:v>35,0343818850669</c:v>
                </c:pt>
                <c:pt idx="694">
                  <c:v>35,033929043691</c:v>
                </c:pt>
                <c:pt idx="695">
                  <c:v>35,0338527690472</c:v>
                </c:pt>
                <c:pt idx="696">
                  <c:v>35,0338358031735</c:v>
                </c:pt>
                <c:pt idx="697">
                  <c:v>35,0333459764973</c:v>
                </c:pt>
                <c:pt idx="698">
                  <c:v>35,0332369201289</c:v>
                </c:pt>
                <c:pt idx="699">
                  <c:v>35,0331938921562</c:v>
                </c:pt>
                <c:pt idx="700">
                  <c:v>35,0316445524254</c:v>
                </c:pt>
                <c:pt idx="701">
                  <c:v>35,0315172757946</c:v>
                </c:pt>
                <c:pt idx="702">
                  <c:v>35,0302400750457</c:v>
                </c:pt>
                <c:pt idx="703">
                  <c:v>35,0283523607616</c:v>
                </c:pt>
                <c:pt idx="704">
                  <c:v>35,0279743268269</c:v>
                </c:pt>
                <c:pt idx="705">
                  <c:v>35,0269566202848</c:v>
                </c:pt>
                <c:pt idx="706">
                  <c:v>35,0265725747225</c:v>
                </c:pt>
                <c:pt idx="707">
                  <c:v>35,0026940798333</c:v>
                </c:pt>
                <c:pt idx="708">
                  <c:v>34,833390170592</c:v>
                </c:pt>
                <c:pt idx="709">
                  <c:v>34,789754027856</c:v>
                </c:pt>
                <c:pt idx="710">
                  <c:v>34,7392325845084</c:v>
                </c:pt>
                <c:pt idx="711">
                  <c:v>34,7247786219683</c:v>
                </c:pt>
                <c:pt idx="712">
                  <c:v>34,7245681487547</c:v>
                </c:pt>
                <c:pt idx="713">
                  <c:v>34,6867654178462</c:v>
                </c:pt>
                <c:pt idx="714">
                  <c:v>34,6423037322107</c:v>
                </c:pt>
                <c:pt idx="715">
                  <c:v>34,6374322231959</c:v>
                </c:pt>
                <c:pt idx="716">
                  <c:v>34,6316185007207</c:v>
                </c:pt>
                <c:pt idx="717">
                  <c:v>34,6234417858995</c:v>
                </c:pt>
                <c:pt idx="718">
                  <c:v>34,613827111093</c:v>
                </c:pt>
                <c:pt idx="719">
                  <c:v>34,5924512072925</c:v>
                </c:pt>
                <c:pt idx="720">
                  <c:v>34,5864385014415</c:v>
                </c:pt>
                <c:pt idx="721">
                  <c:v>34,5779228263871</c:v>
                </c:pt>
                <c:pt idx="722">
                  <c:v>34,4821245873421</c:v>
                </c:pt>
                <c:pt idx="723">
                  <c:v>34,4194740127</c:v>
                </c:pt>
                <c:pt idx="724">
                  <c:v>34,3934365086482</c:v>
                </c:pt>
                <c:pt idx="725">
                  <c:v>34,3529276153673</c:v>
                </c:pt>
                <c:pt idx="726">
                  <c:v>34,3424437820036</c:v>
                </c:pt>
                <c:pt idx="727">
                  <c:v>34,3371326054342</c:v>
                </c:pt>
                <c:pt idx="728">
                  <c:v>34,3207931386956</c:v>
                </c:pt>
                <c:pt idx="729">
                  <c:v>34,3190344228336</c:v>
                </c:pt>
                <c:pt idx="730">
                  <c:v>34,3165842690865</c:v>
                </c:pt>
                <c:pt idx="731">
                  <c:v>34,305694015687</c:v>
                </c:pt>
                <c:pt idx="732">
                  <c:v>34,295113845947</c:v>
                </c:pt>
                <c:pt idx="733">
                  <c:v>34,2876729394965</c:v>
                </c:pt>
                <c:pt idx="734">
                  <c:v>34,2857603312227</c:v>
                </c:pt>
                <c:pt idx="735">
                  <c:v>34,285720484624</c:v>
                </c:pt>
                <c:pt idx="736">
                  <c:v>34,2856940469175</c:v>
                </c:pt>
                <c:pt idx="737">
                  <c:v>34,2823655129055</c:v>
                </c:pt>
                <c:pt idx="738">
                  <c:v>34,2769350910714</c:v>
                </c:pt>
                <c:pt idx="739">
                  <c:v>34,2769297905965</c:v>
                </c:pt>
                <c:pt idx="740">
                  <c:v>34,2738194013651</c:v>
                </c:pt>
                <c:pt idx="741">
                  <c:v>34,2709388181368</c:v>
                </c:pt>
                <c:pt idx="742">
                  <c:v>34,2702771366651</c:v>
                </c:pt>
                <c:pt idx="743">
                  <c:v>34,2681418306071</c:v>
                </c:pt>
                <c:pt idx="744">
                  <c:v>34,2676650231103</c:v>
                </c:pt>
                <c:pt idx="745">
                  <c:v>34,2669461403037</c:v>
                </c:pt>
                <c:pt idx="746">
                  <c:v>34,2647071256072</c:v>
                </c:pt>
                <c:pt idx="747">
                  <c:v>34,2633057027059</c:v>
                </c:pt>
                <c:pt idx="748">
                  <c:v>34,2628367455256</c:v>
                </c:pt>
                <c:pt idx="749">
                  <c:v>34,2620804552998</c:v>
                </c:pt>
                <c:pt idx="750">
                  <c:v>34,2578495900649</c:v>
                </c:pt>
                <c:pt idx="751">
                  <c:v>34,2530213447061</c:v>
                </c:pt>
                <c:pt idx="752">
                  <c:v>34,2515803218878</c:v>
                </c:pt>
                <c:pt idx="753">
                  <c:v>34,2501994264006</c:v>
                </c:pt>
                <c:pt idx="754">
                  <c:v>34,248000135828</c:v>
                </c:pt>
                <c:pt idx="755">
                  <c:v>34,2466211479634</c:v>
                </c:pt>
                <c:pt idx="756">
                  <c:v>34,2453101397144</c:v>
                </c:pt>
                <c:pt idx="757">
                  <c:v>34,245244651385</c:v>
                </c:pt>
                <c:pt idx="758">
                  <c:v>34,2400386716281</c:v>
                </c:pt>
                <c:pt idx="759">
                  <c:v>34,2386603049761</c:v>
                </c:pt>
                <c:pt idx="760">
                  <c:v>34,2315119187972</c:v>
                </c:pt>
                <c:pt idx="761">
                  <c:v>34,2309697176043</c:v>
                </c:pt>
                <c:pt idx="762">
                  <c:v>34,2302072511883</c:v>
                </c:pt>
                <c:pt idx="763">
                  <c:v>34,2284943853074</c:v>
                </c:pt>
                <c:pt idx="764">
                  <c:v>34,2269437522052</c:v>
                </c:pt>
                <c:pt idx="765">
                  <c:v>34,2268286070401</c:v>
                </c:pt>
                <c:pt idx="766">
                  <c:v>34,2236226757338</c:v>
                </c:pt>
                <c:pt idx="767">
                  <c:v>34,2186972182101</c:v>
                </c:pt>
                <c:pt idx="768">
                  <c:v>34,2138856767666</c:v>
                </c:pt>
                <c:pt idx="769">
                  <c:v>34,2135145630646</c:v>
                </c:pt>
                <c:pt idx="770">
                  <c:v>34,2104479970256</c:v>
                </c:pt>
                <c:pt idx="771">
                  <c:v>34,2090066894377</c:v>
                </c:pt>
                <c:pt idx="772">
                  <c:v>34,2072293472021</c:v>
                </c:pt>
                <c:pt idx="773">
                  <c:v>34,204241023072</c:v>
                </c:pt>
                <c:pt idx="774">
                  <c:v>34,2027740080784</c:v>
                </c:pt>
                <c:pt idx="775">
                  <c:v>34,2026108611491</c:v>
                </c:pt>
                <c:pt idx="776">
                  <c:v>34,1982085465227</c:v>
                </c:pt>
                <c:pt idx="777">
                  <c:v>34,1979552643021</c:v>
                </c:pt>
                <c:pt idx="778">
                  <c:v>34,1971377409271</c:v>
                </c:pt>
                <c:pt idx="779">
                  <c:v>34,1947625863516</c:v>
                </c:pt>
                <c:pt idx="780">
                  <c:v>34,1917837525079</c:v>
                </c:pt>
                <c:pt idx="781">
                  <c:v>34,1903978697417</c:v>
                </c:pt>
                <c:pt idx="782">
                  <c:v>34,1878251934433</c:v>
                </c:pt>
                <c:pt idx="783">
                  <c:v>34,1837764574912</c:v>
                </c:pt>
                <c:pt idx="784">
                  <c:v>34,1816793256557</c:v>
                </c:pt>
                <c:pt idx="785">
                  <c:v>34,1774296465316</c:v>
                </c:pt>
                <c:pt idx="786">
                  <c:v>34,1773386312958</c:v>
                </c:pt>
                <c:pt idx="787">
                  <c:v>34,1768281237545</c:v>
                </c:pt>
                <c:pt idx="788">
                  <c:v>34,1761486906643</c:v>
                </c:pt>
                <c:pt idx="789">
                  <c:v>34,1750977215276</c:v>
                </c:pt>
                <c:pt idx="790">
                  <c:v>34,1734052134112</c:v>
                </c:pt>
                <c:pt idx="791">
                  <c:v>34,1734001838952</c:v>
                </c:pt>
                <c:pt idx="792">
                  <c:v>34,1709561631779</c:v>
                </c:pt>
                <c:pt idx="793">
                  <c:v>34,1685071130447</c:v>
                </c:pt>
                <c:pt idx="794">
                  <c:v>34,1683652954972</c:v>
                </c:pt>
                <c:pt idx="795">
                  <c:v>34,1672142680723</c:v>
                </c:pt>
                <c:pt idx="796">
                  <c:v>34,1667412787521</c:v>
                </c:pt>
                <c:pt idx="797">
                  <c:v>34,1666746256684</c:v>
                </c:pt>
                <c:pt idx="798">
                  <c:v>34,1664685193547</c:v>
                </c:pt>
                <c:pt idx="799">
                  <c:v>34,1653816610728</c:v>
                </c:pt>
                <c:pt idx="800">
                  <c:v>34,1651000598276</c:v>
                </c:pt>
                <c:pt idx="801">
                  <c:v>34,1646169836374</c:v>
                </c:pt>
                <c:pt idx="802">
                  <c:v>34,1642971333414</c:v>
                </c:pt>
                <c:pt idx="803">
                  <c:v>34,1629430015441</c:v>
                </c:pt>
                <c:pt idx="804">
                  <c:v>34,1627354097313</c:v>
                </c:pt>
                <c:pt idx="805">
                  <c:v>34,1624220217837</c:v>
                </c:pt>
                <c:pt idx="806">
                  <c:v>34,1607763798316</c:v>
                </c:pt>
                <c:pt idx="807">
                  <c:v>34,1601891530696</c:v>
                </c:pt>
                <c:pt idx="808">
                  <c:v>34,1601601032781</c:v>
                </c:pt>
                <c:pt idx="809">
                  <c:v>34,159196375712</c:v>
                </c:pt>
                <c:pt idx="810">
                  <c:v>34,1580162426245</c:v>
                </c:pt>
                <c:pt idx="811">
                  <c:v>34,1571163701824</c:v>
                </c:pt>
                <c:pt idx="812">
                  <c:v>34,1484834489471</c:v>
                </c:pt>
                <c:pt idx="813">
                  <c:v>34,1465923443226</c:v>
                </c:pt>
                <c:pt idx="814">
                  <c:v>34,1454815238629</c:v>
                </c:pt>
                <c:pt idx="815">
                  <c:v>34,1439830809664</c:v>
                </c:pt>
                <c:pt idx="816">
                  <c:v>34,1401340154848</c:v>
                </c:pt>
                <c:pt idx="817">
                  <c:v>34,1397893979742</c:v>
                </c:pt>
                <c:pt idx="818">
                  <c:v>34,1391353192792</c:v>
                </c:pt>
                <c:pt idx="819">
                  <c:v>34,1388986808834</c:v>
                </c:pt>
                <c:pt idx="820">
                  <c:v>34,1382701860846</c:v>
                </c:pt>
                <c:pt idx="821">
                  <c:v>34,1382610141092</c:v>
                </c:pt>
                <c:pt idx="822">
                  <c:v>34,1358019291728</c:v>
                </c:pt>
                <c:pt idx="823">
                  <c:v>34,1327325026223</c:v>
                </c:pt>
                <c:pt idx="824">
                  <c:v>34,1287913237038</c:v>
                </c:pt>
                <c:pt idx="825">
                  <c:v>34,1283290884988</c:v>
                </c:pt>
                <c:pt idx="826">
                  <c:v>34,1281734543337</c:v>
                </c:pt>
                <c:pt idx="827">
                  <c:v>34,1260857699372</c:v>
                </c:pt>
                <c:pt idx="828">
                  <c:v>34,1205176263621</c:v>
                </c:pt>
                <c:pt idx="829">
                  <c:v>34,1102214991025</c:v>
                </c:pt>
                <c:pt idx="830">
                  <c:v>34,1101890512544</c:v>
                </c:pt>
                <c:pt idx="831">
                  <c:v>34,1097401610764</c:v>
                </c:pt>
                <c:pt idx="832">
                  <c:v>34,108726212587</c:v>
                </c:pt>
                <c:pt idx="833">
                  <c:v>34,1037725306415</c:v>
                </c:pt>
                <c:pt idx="834">
                  <c:v>34,1000812677816</c:v>
                </c:pt>
                <c:pt idx="835">
                  <c:v>34,0871926786098</c:v>
                </c:pt>
                <c:pt idx="836">
                  <c:v>34,0846654813761</c:v>
                </c:pt>
                <c:pt idx="837">
                  <c:v>34,0838343641329</c:v>
                </c:pt>
                <c:pt idx="838">
                  <c:v>34,0730022801096</c:v>
                </c:pt>
                <c:pt idx="839">
                  <c:v>34,0589974034238</c:v>
                </c:pt>
                <c:pt idx="840">
                  <c:v>34,0567990273501</c:v>
                </c:pt>
                <c:pt idx="841">
                  <c:v>34,0260140505573</c:v>
                </c:pt>
                <c:pt idx="842">
                  <c:v>34,0154106642246</c:v>
                </c:pt>
                <c:pt idx="843">
                  <c:v>33,9769221278429</c:v>
                </c:pt>
                <c:pt idx="844">
                  <c:v>33,9698363247581</c:v>
                </c:pt>
                <c:pt idx="845">
                  <c:v>33,9271381425369</c:v>
                </c:pt>
                <c:pt idx="846">
                  <c:v>33,9238866080393</c:v>
                </c:pt>
                <c:pt idx="847">
                  <c:v>33,7895342128481</c:v>
                </c:pt>
                <c:pt idx="848">
                  <c:v>33,7547783970359</c:v>
                </c:pt>
                <c:pt idx="849">
                  <c:v>33,7150267102879</c:v>
                </c:pt>
                <c:pt idx="850">
                  <c:v>33,6100844251448</c:v>
                </c:pt>
                <c:pt idx="851">
                  <c:v>33,6061093061336</c:v>
                </c:pt>
                <c:pt idx="852">
                  <c:v>33,5860219165208</c:v>
                </c:pt>
                <c:pt idx="853">
                  <c:v>33,4780723639134</c:v>
                </c:pt>
                <c:pt idx="854">
                  <c:v>33,4619429578917</c:v>
                </c:pt>
                <c:pt idx="855">
                  <c:v>33,45450676198</c:v>
                </c:pt>
                <c:pt idx="856">
                  <c:v>33,4440612825956</c:v>
                </c:pt>
                <c:pt idx="857">
                  <c:v>33,4431077780595</c:v>
                </c:pt>
                <c:pt idx="858">
                  <c:v>33,4273450560942</c:v>
                </c:pt>
                <c:pt idx="859">
                  <c:v>33,4259106420186</c:v>
                </c:pt>
                <c:pt idx="860">
                  <c:v>33,4193887507211</c:v>
                </c:pt>
                <c:pt idx="861">
                  <c:v>33,4150942355949</c:v>
                </c:pt>
                <c:pt idx="862">
                  <c:v>33,4126462500486</c:v>
                </c:pt>
                <c:pt idx="863">
                  <c:v>33,4052201663749</c:v>
                </c:pt>
                <c:pt idx="864">
                  <c:v>33,4008915943049</c:v>
                </c:pt>
                <c:pt idx="865">
                  <c:v>33,4001973516636</c:v>
                </c:pt>
                <c:pt idx="866">
                  <c:v>33,3970494728382</c:v>
                </c:pt>
                <c:pt idx="867">
                  <c:v>33,3963725508635</c:v>
                </c:pt>
                <c:pt idx="868">
                  <c:v>33,3950296177715</c:v>
                </c:pt>
                <c:pt idx="869">
                  <c:v>33,3944615663512</c:v>
                </c:pt>
                <c:pt idx="870">
                  <c:v>33,3924428366717</c:v>
                </c:pt>
                <c:pt idx="871">
                  <c:v>33,3920410593842</c:v>
                </c:pt>
                <c:pt idx="872">
                  <c:v>33,3904249286624</c:v>
                </c:pt>
                <c:pt idx="873">
                  <c:v>33,3895732184342</c:v>
                </c:pt>
                <c:pt idx="874">
                  <c:v>33,385026422557</c:v>
                </c:pt>
                <c:pt idx="875">
                  <c:v>33,3796332757731</c:v>
                </c:pt>
                <c:pt idx="876">
                  <c:v>33,3736614029814</c:v>
                </c:pt>
                <c:pt idx="877">
                  <c:v>33,3728075153106</c:v>
                </c:pt>
                <c:pt idx="878">
                  <c:v>33,3700264123366</c:v>
                </c:pt>
                <c:pt idx="879">
                  <c:v>33,3680348101137</c:v>
                </c:pt>
                <c:pt idx="880">
                  <c:v>33,3669711645203</c:v>
                </c:pt>
                <c:pt idx="881">
                  <c:v>33,366294332377</c:v>
                </c:pt>
                <c:pt idx="882">
                  <c:v>33,3652607775277</c:v>
                </c:pt>
                <c:pt idx="883">
                  <c:v>33,3649823730828</c:v>
                </c:pt>
                <c:pt idx="884">
                  <c:v>33,3634358317368</c:v>
                </c:pt>
                <c:pt idx="885">
                  <c:v>33,3585161734022</c:v>
                </c:pt>
                <c:pt idx="886">
                  <c:v>33,3530819728811</c:v>
                </c:pt>
                <c:pt idx="887">
                  <c:v>33,345406809693</c:v>
                </c:pt>
                <c:pt idx="888">
                  <c:v>33,3453989389324</c:v>
                </c:pt>
                <c:pt idx="889">
                  <c:v>33,3447206082704</c:v>
                </c:pt>
                <c:pt idx="890">
                  <c:v>33,3440113248599</c:v>
                </c:pt>
                <c:pt idx="891">
                  <c:v>33,3410882090878</c:v>
                </c:pt>
                <c:pt idx="892">
                  <c:v>33,3362074327514</c:v>
                </c:pt>
                <c:pt idx="893">
                  <c:v>33,3360986064612</c:v>
                </c:pt>
                <c:pt idx="894">
                  <c:v>33,3352937927277</c:v>
                </c:pt>
                <c:pt idx="895">
                  <c:v>33,3346532688679</c:v>
                </c:pt>
                <c:pt idx="896">
                  <c:v>33,3322084670729</c:v>
                </c:pt>
                <c:pt idx="897">
                  <c:v>33,3320613806871</c:v>
                </c:pt>
                <c:pt idx="898">
                  <c:v>33,3308653645144</c:v>
                </c:pt>
                <c:pt idx="899">
                  <c:v>33,3302550676357</c:v>
                </c:pt>
                <c:pt idx="900">
                  <c:v>33,3302499022891</c:v>
                </c:pt>
                <c:pt idx="901">
                  <c:v>33,3273774435023</c:v>
                </c:pt>
                <c:pt idx="902">
                  <c:v>33,3235491058783</c:v>
                </c:pt>
                <c:pt idx="903">
                  <c:v>33,3214408710623</c:v>
                </c:pt>
                <c:pt idx="904">
                  <c:v>33,3207305873671</c:v>
                </c:pt>
                <c:pt idx="905">
                  <c:v>33,3176451536781</c:v>
                </c:pt>
                <c:pt idx="906">
                  <c:v>33,3167243526835</c:v>
                </c:pt>
                <c:pt idx="907">
                  <c:v>33,3114603479985</c:v>
                </c:pt>
                <c:pt idx="908">
                  <c:v>33,2023342008727</c:v>
                </c:pt>
                <c:pt idx="909">
                  <c:v>33,0843177791983</c:v>
                </c:pt>
                <c:pt idx="910">
                  <c:v>33,0052336576457</c:v>
                </c:pt>
                <c:pt idx="911">
                  <c:v>32,8018116112094</c:v>
                </c:pt>
                <c:pt idx="912">
                  <c:v>32,6203622211231</c:v>
                </c:pt>
                <c:pt idx="913">
                  <c:v>32,5680315670099</c:v>
                </c:pt>
                <c:pt idx="914">
                  <c:v>32,5422326894191</c:v>
                </c:pt>
                <c:pt idx="915">
                  <c:v>32,5226686194419</c:v>
                </c:pt>
                <c:pt idx="916">
                  <c:v>32,5203992457135</c:v>
                </c:pt>
                <c:pt idx="917">
                  <c:v>32,5086546556667</c:v>
                </c:pt>
                <c:pt idx="918">
                  <c:v>32,5071074565024</c:v>
                </c:pt>
                <c:pt idx="919">
                  <c:v>32,4810256952916</c:v>
                </c:pt>
                <c:pt idx="920">
                  <c:v>32,4781271439085</c:v>
                </c:pt>
                <c:pt idx="921">
                  <c:v>32,4750786258233</c:v>
                </c:pt>
                <c:pt idx="922">
                  <c:v>32,4713049614658</c:v>
                </c:pt>
                <c:pt idx="923">
                  <c:v>32,4712819992446</c:v>
                </c:pt>
                <c:pt idx="924">
                  <c:v>32,4704468940094</c:v>
                </c:pt>
                <c:pt idx="925">
                  <c:v>32,4697898240353</c:v>
                </c:pt>
                <c:pt idx="926">
                  <c:v>32,4651347914373</c:v>
                </c:pt>
                <c:pt idx="927">
                  <c:v>32,4636002327016</c:v>
                </c:pt>
                <c:pt idx="928">
                  <c:v>32,4620810410003</c:v>
                </c:pt>
                <c:pt idx="929">
                  <c:v>32,461043190859</c:v>
                </c:pt>
                <c:pt idx="930">
                  <c:v>32,4608558442759</c:v>
                </c:pt>
                <c:pt idx="931">
                  <c:v>32,4607841302759</c:v>
                </c:pt>
                <c:pt idx="932">
                  <c:v>32,4602762366301</c:v>
                </c:pt>
                <c:pt idx="933">
                  <c:v>32,4598270319303</c:v>
                </c:pt>
                <c:pt idx="934">
                  <c:v>32,4598146366708</c:v>
                </c:pt>
                <c:pt idx="935">
                  <c:v>32,458401783503</c:v>
                </c:pt>
                <c:pt idx="936">
                  <c:v>32,4574053246367</c:v>
                </c:pt>
                <c:pt idx="937">
                  <c:v>32,4562433614122</c:v>
                </c:pt>
                <c:pt idx="938">
                  <c:v>32,4547587172372</c:v>
                </c:pt>
                <c:pt idx="939">
                  <c:v>32,4544687049671</c:v>
                </c:pt>
                <c:pt idx="940">
                  <c:v>32,4536529910509</c:v>
                </c:pt>
                <c:pt idx="941">
                  <c:v>32,4533207790671</c:v>
                </c:pt>
                <c:pt idx="942">
                  <c:v>32,4520877463626</c:v>
                </c:pt>
                <c:pt idx="943">
                  <c:v>32,4515457377148</c:v>
                </c:pt>
                <c:pt idx="944">
                  <c:v>32,4511943644106</c:v>
                </c:pt>
                <c:pt idx="945">
                  <c:v>32,4505178445475</c:v>
                </c:pt>
                <c:pt idx="946">
                  <c:v>32,4504686954787</c:v>
                </c:pt>
                <c:pt idx="947">
                  <c:v>32,4500716004457</c:v>
                </c:pt>
                <c:pt idx="948">
                  <c:v>32,4487831979821</c:v>
                </c:pt>
                <c:pt idx="949">
                  <c:v>32,4486323735803</c:v>
                </c:pt>
                <c:pt idx="950">
                  <c:v>32,448229073756</c:v>
                </c:pt>
                <c:pt idx="951">
                  <c:v>32,4481992494518</c:v>
                </c:pt>
                <c:pt idx="952">
                  <c:v>32,4475863418796</c:v>
                </c:pt>
                <c:pt idx="953">
                  <c:v>32,446736435936</c:v>
                </c:pt>
                <c:pt idx="954">
                  <c:v>32,4464651985869</c:v>
                </c:pt>
                <c:pt idx="955">
                  <c:v>32,4456587019204</c:v>
                </c:pt>
                <c:pt idx="956">
                  <c:v>32,4453756143174</c:v>
                </c:pt>
                <c:pt idx="957">
                  <c:v>32,4452576779735</c:v>
                </c:pt>
                <c:pt idx="958">
                  <c:v>32,4452501670059</c:v>
                </c:pt>
                <c:pt idx="959">
                  <c:v>32,4449195536085</c:v>
                </c:pt>
                <c:pt idx="960">
                  <c:v>32,4436877474358</c:v>
                </c:pt>
                <c:pt idx="961">
                  <c:v>32,4434896732669</c:v>
                </c:pt>
                <c:pt idx="962">
                  <c:v>32,4428365192583</c:v>
                </c:pt>
                <c:pt idx="963">
                  <c:v>32,4421813158264</c:v>
                </c:pt>
                <c:pt idx="964">
                  <c:v>32,4420921908873</c:v>
                </c:pt>
                <c:pt idx="965">
                  <c:v>32,4415532211694</c:v>
                </c:pt>
                <c:pt idx="966">
                  <c:v>32,4400072822655</c:v>
                </c:pt>
                <c:pt idx="967">
                  <c:v>32,4390455254478</c:v>
                </c:pt>
                <c:pt idx="968">
                  <c:v>32,4382484590532</c:v>
                </c:pt>
                <c:pt idx="969">
                  <c:v>32,4374251261274</c:v>
                </c:pt>
                <c:pt idx="970">
                  <c:v>32,4371578869998</c:v>
                </c:pt>
                <c:pt idx="971">
                  <c:v>32,4366814873807</c:v>
                </c:pt>
                <c:pt idx="972">
                  <c:v>32,4355215323334</c:v>
                </c:pt>
                <c:pt idx="973">
                  <c:v>32,4339997380557</c:v>
                </c:pt>
                <c:pt idx="974">
                  <c:v>32,4338214505748</c:v>
                </c:pt>
                <c:pt idx="975">
                  <c:v>32,4336182553776</c:v>
                </c:pt>
                <c:pt idx="976">
                  <c:v>32,4332036126886</c:v>
                </c:pt>
                <c:pt idx="977">
                  <c:v>32,4327255214931</c:v>
                </c:pt>
                <c:pt idx="978">
                  <c:v>32,4320068469258</c:v>
                </c:pt>
                <c:pt idx="979">
                  <c:v>32,4314283869811</c:v>
                </c:pt>
                <c:pt idx="980">
                  <c:v>32,4298025521167</c:v>
                </c:pt>
                <c:pt idx="981">
                  <c:v>32,4272338541734</c:v>
                </c:pt>
                <c:pt idx="982">
                  <c:v>32,4253412234294</c:v>
                </c:pt>
                <c:pt idx="983">
                  <c:v>32,4250583042963</c:v>
                </c:pt>
                <c:pt idx="984">
                  <c:v>32,4248660206051</c:v>
                </c:pt>
                <c:pt idx="985">
                  <c:v>32,4228020509147</c:v>
                </c:pt>
                <c:pt idx="986">
                  <c:v>32,418293750132</c:v>
                </c:pt>
                <c:pt idx="987">
                  <c:v>32,4177737364316</c:v>
                </c:pt>
                <c:pt idx="988">
                  <c:v>32,4168281281396</c:v>
                </c:pt>
                <c:pt idx="989">
                  <c:v>32,4166990692595</c:v>
                </c:pt>
                <c:pt idx="990">
                  <c:v>32,4150499158556</c:v>
                </c:pt>
                <c:pt idx="991">
                  <c:v>32,4067203888634</c:v>
                </c:pt>
                <c:pt idx="992">
                  <c:v>32,4057011678184</c:v>
                </c:pt>
                <c:pt idx="993">
                  <c:v>32,3736961932036</c:v>
                </c:pt>
                <c:pt idx="994">
                  <c:v>32,314773181494</c:v>
                </c:pt>
                <c:pt idx="995">
                  <c:v>32,1988415106596</c:v>
                </c:pt>
                <c:pt idx="996">
                  <c:v>32,1770988047856</c:v>
                </c:pt>
                <c:pt idx="997">
                  <c:v>32,1768517839322</c:v>
                </c:pt>
                <c:pt idx="998">
                  <c:v>32,1695764652816</c:v>
                </c:pt>
                <c:pt idx="999">
                  <c:v>32,1668428376162</c:v>
                </c:pt>
                <c:pt idx="1000">
                  <c:v>32,1659926777295</c:v>
                </c:pt>
                <c:pt idx="1001">
                  <c:v>32,163877761205</c:v>
                </c:pt>
                <c:pt idx="1002">
                  <c:v>32,1586921301918</c:v>
                </c:pt>
                <c:pt idx="1003">
                  <c:v>32,1573912185073</c:v>
                </c:pt>
                <c:pt idx="1004">
                  <c:v>32,1570593622411</c:v>
                </c:pt>
                <c:pt idx="1005">
                  <c:v>32,1554586256923</c:v>
                </c:pt>
                <c:pt idx="1006">
                  <c:v>32,1410673169352</c:v>
                </c:pt>
                <c:pt idx="1007">
                  <c:v>32,1360019762933</c:v>
                </c:pt>
                <c:pt idx="1008">
                  <c:v>32,1358676841902</c:v>
                </c:pt>
                <c:pt idx="1009">
                  <c:v>32,1269684613854</c:v>
                </c:pt>
                <c:pt idx="1010">
                  <c:v>32,1247130389802</c:v>
                </c:pt>
                <c:pt idx="1011">
                  <c:v>32,1099640477914</c:v>
                </c:pt>
                <c:pt idx="1012">
                  <c:v>32,1075452124075</c:v>
                </c:pt>
                <c:pt idx="1013">
                  <c:v>32,1058172701406</c:v>
                </c:pt>
                <c:pt idx="1014">
                  <c:v>32,1052393137777</c:v>
                </c:pt>
                <c:pt idx="1015">
                  <c:v>32,0974956284242</c:v>
                </c:pt>
                <c:pt idx="1016">
                  <c:v>32,0943301098261</c:v>
                </c:pt>
                <c:pt idx="1017">
                  <c:v>32,074398709068</c:v>
                </c:pt>
                <c:pt idx="1018">
                  <c:v>32,0731627112709</c:v>
                </c:pt>
                <c:pt idx="1019">
                  <c:v>32,0698898393866</c:v>
                </c:pt>
                <c:pt idx="1020">
                  <c:v>32,0676548854247</c:v>
                </c:pt>
                <c:pt idx="1021">
                  <c:v>32,0674283024697</c:v>
                </c:pt>
                <c:pt idx="1022">
                  <c:v>32,0590075032489</c:v>
                </c:pt>
                <c:pt idx="1023">
                  <c:v>32,0455305526577</c:v>
                </c:pt>
                <c:pt idx="1024">
                  <c:v>32,0358216166827</c:v>
                </c:pt>
                <c:pt idx="1025">
                  <c:v>32,0340216309979</c:v>
                </c:pt>
                <c:pt idx="1026">
                  <c:v>31,9953697331988</c:v>
                </c:pt>
                <c:pt idx="1027">
                  <c:v>31,9885679866637</c:v>
                </c:pt>
                <c:pt idx="1028">
                  <c:v>31,9854107514199</c:v>
                </c:pt>
                <c:pt idx="1029">
                  <c:v>31,9784222054543</c:v>
                </c:pt>
                <c:pt idx="1030">
                  <c:v>31,9183087757813</c:v>
                </c:pt>
                <c:pt idx="1031">
                  <c:v>31,9134803442634</c:v>
                </c:pt>
                <c:pt idx="1032">
                  <c:v>31,8709149941534</c:v>
                </c:pt>
                <c:pt idx="1033">
                  <c:v>31,8133381398534</c:v>
                </c:pt>
                <c:pt idx="1034">
                  <c:v>31,7875394515873</c:v>
                </c:pt>
                <c:pt idx="1035">
                  <c:v>31,7354279255443</c:v>
                </c:pt>
                <c:pt idx="1036">
                  <c:v>31,7035571853657</c:v>
                </c:pt>
                <c:pt idx="1037">
                  <c:v>31,6432537415602</c:v>
                </c:pt>
                <c:pt idx="1038">
                  <c:v>31,0683705505441</c:v>
                </c:pt>
                <c:pt idx="1039">
                  <c:v>30,8353634845852</c:v>
                </c:pt>
                <c:pt idx="1040">
                  <c:v>30,7634797433874</c:v>
                </c:pt>
                <c:pt idx="1041">
                  <c:v>30,7548511359108</c:v>
                </c:pt>
                <c:pt idx="1042">
                  <c:v>30,7504898899266</c:v>
                </c:pt>
                <c:pt idx="1043">
                  <c:v>30,7344574153575</c:v>
                </c:pt>
                <c:pt idx="1044">
                  <c:v>30,7329668437227</c:v>
                </c:pt>
                <c:pt idx="1045">
                  <c:v>30,7313819159384</c:v>
                </c:pt>
                <c:pt idx="1046">
                  <c:v>30,7288401851333</c:v>
                </c:pt>
                <c:pt idx="1047">
                  <c:v>30,7272681996449</c:v>
                </c:pt>
                <c:pt idx="1048">
                  <c:v>30,7221630232125</c:v>
                </c:pt>
                <c:pt idx="1049">
                  <c:v>30,7215550400929</c:v>
                </c:pt>
                <c:pt idx="1050">
                  <c:v>30,7214749597017</c:v>
                </c:pt>
                <c:pt idx="1051">
                  <c:v>30,7023700886226</c:v>
                </c:pt>
              </c:strCache>
            </c:strRef>
          </c:cat>
          <c:val>
            <c:numRef>
              <c:f>Sheet4!$B$4:$B$1056</c:f>
              <c:numCache>
                <c:formatCode>General</c:formatCode>
                <c:ptCount val="1052"/>
                <c:pt idx="0">
                  <c:v>1763</c:v>
                </c:pt>
                <c:pt idx="1">
                  <c:v>2181</c:v>
                </c:pt>
                <c:pt idx="2">
                  <c:v>877</c:v>
                </c:pt>
                <c:pt idx="3">
                  <c:v>1901</c:v>
                </c:pt>
                <c:pt idx="4">
                  <c:v>2281</c:v>
                </c:pt>
                <c:pt idx="5">
                  <c:v>3748</c:v>
                </c:pt>
                <c:pt idx="6">
                  <c:v>2621</c:v>
                </c:pt>
                <c:pt idx="7">
                  <c:v>3843</c:v>
                </c:pt>
                <c:pt idx="8">
                  <c:v>1666</c:v>
                </c:pt>
                <c:pt idx="9">
                  <c:v>1332</c:v>
                </c:pt>
                <c:pt idx="10">
                  <c:v>2046</c:v>
                </c:pt>
                <c:pt idx="11">
                  <c:v>880</c:v>
                </c:pt>
                <c:pt idx="12">
                  <c:v>954</c:v>
                </c:pt>
                <c:pt idx="13">
                  <c:v>2147</c:v>
                </c:pt>
                <c:pt idx="14">
                  <c:v>2341</c:v>
                </c:pt>
                <c:pt idx="15">
                  <c:v>1335</c:v>
                </c:pt>
                <c:pt idx="16">
                  <c:v>1618</c:v>
                </c:pt>
                <c:pt idx="17">
                  <c:v>521</c:v>
                </c:pt>
                <c:pt idx="18">
                  <c:v>709</c:v>
                </c:pt>
                <c:pt idx="19">
                  <c:v>2266</c:v>
                </c:pt>
                <c:pt idx="20">
                  <c:v>4720</c:v>
                </c:pt>
                <c:pt idx="21">
                  <c:v>1280</c:v>
                </c:pt>
                <c:pt idx="22">
                  <c:v>2537</c:v>
                </c:pt>
                <c:pt idx="23">
                  <c:v>3938</c:v>
                </c:pt>
                <c:pt idx="24">
                  <c:v>2472</c:v>
                </c:pt>
                <c:pt idx="25">
                  <c:v>2971</c:v>
                </c:pt>
                <c:pt idx="26">
                  <c:v>1639</c:v>
                </c:pt>
                <c:pt idx="27">
                  <c:v>1096</c:v>
                </c:pt>
                <c:pt idx="28">
                  <c:v>2284</c:v>
                </c:pt>
                <c:pt idx="29">
                  <c:v>2068</c:v>
                </c:pt>
                <c:pt idx="30">
                  <c:v>1257</c:v>
                </c:pt>
                <c:pt idx="31">
                  <c:v>2249</c:v>
                </c:pt>
                <c:pt idx="32">
                  <c:v>940</c:v>
                </c:pt>
                <c:pt idx="33">
                  <c:v>1582</c:v>
                </c:pt>
                <c:pt idx="34">
                  <c:v>2929</c:v>
                </c:pt>
                <c:pt idx="35">
                  <c:v>1650</c:v>
                </c:pt>
                <c:pt idx="36">
                  <c:v>2405</c:v>
                </c:pt>
                <c:pt idx="37">
                  <c:v>906</c:v>
                </c:pt>
                <c:pt idx="38">
                  <c:v>1467</c:v>
                </c:pt>
                <c:pt idx="39">
                  <c:v>2375</c:v>
                </c:pt>
                <c:pt idx="40">
                  <c:v>737</c:v>
                </c:pt>
                <c:pt idx="41">
                  <c:v>1122</c:v>
                </c:pt>
                <c:pt idx="42">
                  <c:v>2492</c:v>
                </c:pt>
                <c:pt idx="43">
                  <c:v>1281</c:v>
                </c:pt>
                <c:pt idx="44">
                  <c:v>832</c:v>
                </c:pt>
                <c:pt idx="45">
                  <c:v>946</c:v>
                </c:pt>
                <c:pt idx="46">
                  <c:v>723</c:v>
                </c:pt>
                <c:pt idx="47">
                  <c:v>883</c:v>
                </c:pt>
                <c:pt idx="48">
                  <c:v>900</c:v>
                </c:pt>
                <c:pt idx="49">
                  <c:v>1548</c:v>
                </c:pt>
                <c:pt idx="50">
                  <c:v>1024</c:v>
                </c:pt>
                <c:pt idx="51">
                  <c:v>1611</c:v>
                </c:pt>
                <c:pt idx="52">
                  <c:v>1303</c:v>
                </c:pt>
                <c:pt idx="53">
                  <c:v>1679</c:v>
                </c:pt>
                <c:pt idx="54">
                  <c:v>1224</c:v>
                </c:pt>
                <c:pt idx="55">
                  <c:v>1019</c:v>
                </c:pt>
                <c:pt idx="56">
                  <c:v>1029</c:v>
                </c:pt>
                <c:pt idx="57">
                  <c:v>1644</c:v>
                </c:pt>
                <c:pt idx="58">
                  <c:v>1206</c:v>
                </c:pt>
                <c:pt idx="59">
                  <c:v>1746</c:v>
                </c:pt>
                <c:pt idx="60">
                  <c:v>836</c:v>
                </c:pt>
                <c:pt idx="61">
                  <c:v>876</c:v>
                </c:pt>
                <c:pt idx="62">
                  <c:v>1654</c:v>
                </c:pt>
                <c:pt idx="63">
                  <c:v>1910</c:v>
                </c:pt>
                <c:pt idx="64">
                  <c:v>1035</c:v>
                </c:pt>
                <c:pt idx="65">
                  <c:v>1898</c:v>
                </c:pt>
                <c:pt idx="66">
                  <c:v>1234</c:v>
                </c:pt>
                <c:pt idx="67">
                  <c:v>2223</c:v>
                </c:pt>
                <c:pt idx="68">
                  <c:v>1700</c:v>
                </c:pt>
                <c:pt idx="69">
                  <c:v>2128</c:v>
                </c:pt>
                <c:pt idx="70">
                  <c:v>2302</c:v>
                </c:pt>
                <c:pt idx="71">
                  <c:v>1871</c:v>
                </c:pt>
                <c:pt idx="72">
                  <c:v>1961</c:v>
                </c:pt>
                <c:pt idx="73">
                  <c:v>733</c:v>
                </c:pt>
                <c:pt idx="74">
                  <c:v>818</c:v>
                </c:pt>
                <c:pt idx="75">
                  <c:v>1071</c:v>
                </c:pt>
                <c:pt idx="76">
                  <c:v>1415</c:v>
                </c:pt>
                <c:pt idx="77">
                  <c:v>1304</c:v>
                </c:pt>
                <c:pt idx="78">
                  <c:v>972</c:v>
                </c:pt>
                <c:pt idx="79">
                  <c:v>897</c:v>
                </c:pt>
                <c:pt idx="80">
                  <c:v>1992</c:v>
                </c:pt>
                <c:pt idx="81">
                  <c:v>790</c:v>
                </c:pt>
                <c:pt idx="82">
                  <c:v>1466</c:v>
                </c:pt>
                <c:pt idx="83">
                  <c:v>1434</c:v>
                </c:pt>
                <c:pt idx="84">
                  <c:v>2073</c:v>
                </c:pt>
                <c:pt idx="85">
                  <c:v>2267</c:v>
                </c:pt>
                <c:pt idx="86">
                  <c:v>1227</c:v>
                </c:pt>
                <c:pt idx="87">
                  <c:v>2363</c:v>
                </c:pt>
                <c:pt idx="88">
                  <c:v>647</c:v>
                </c:pt>
                <c:pt idx="89">
                  <c:v>1835</c:v>
                </c:pt>
                <c:pt idx="90">
                  <c:v>2266</c:v>
                </c:pt>
                <c:pt idx="91">
                  <c:v>1454</c:v>
                </c:pt>
                <c:pt idx="92">
                  <c:v>1675</c:v>
                </c:pt>
                <c:pt idx="93">
                  <c:v>1090</c:v>
                </c:pt>
                <c:pt idx="94">
                  <c:v>937</c:v>
                </c:pt>
                <c:pt idx="95">
                  <c:v>1830</c:v>
                </c:pt>
                <c:pt idx="96">
                  <c:v>1579</c:v>
                </c:pt>
                <c:pt idx="97">
                  <c:v>2032</c:v>
                </c:pt>
                <c:pt idx="98">
                  <c:v>715</c:v>
                </c:pt>
                <c:pt idx="99">
                  <c:v>1152</c:v>
                </c:pt>
                <c:pt idx="100">
                  <c:v>2012</c:v>
                </c:pt>
                <c:pt idx="101">
                  <c:v>930</c:v>
                </c:pt>
                <c:pt idx="102">
                  <c:v>3690</c:v>
                </c:pt>
                <c:pt idx="103">
                  <c:v>1855</c:v>
                </c:pt>
                <c:pt idx="104">
                  <c:v>1044</c:v>
                </c:pt>
                <c:pt idx="105">
                  <c:v>1101</c:v>
                </c:pt>
                <c:pt idx="106">
                  <c:v>1078</c:v>
                </c:pt>
                <c:pt idx="107">
                  <c:v>953</c:v>
                </c:pt>
                <c:pt idx="108">
                  <c:v>4027</c:v>
                </c:pt>
                <c:pt idx="109">
                  <c:v>817</c:v>
                </c:pt>
                <c:pt idx="110">
                  <c:v>1897</c:v>
                </c:pt>
                <c:pt idx="111">
                  <c:v>1320</c:v>
                </c:pt>
                <c:pt idx="112">
                  <c:v>3376</c:v>
                </c:pt>
                <c:pt idx="113">
                  <c:v>1353</c:v>
                </c:pt>
                <c:pt idx="114">
                  <c:v>4404</c:v>
                </c:pt>
                <c:pt idx="115">
                  <c:v>4105</c:v>
                </c:pt>
                <c:pt idx="116">
                  <c:v>1694</c:v>
                </c:pt>
                <c:pt idx="117">
                  <c:v>3557</c:v>
                </c:pt>
                <c:pt idx="118">
                  <c:v>1143</c:v>
                </c:pt>
                <c:pt idx="119">
                  <c:v>2046</c:v>
                </c:pt>
                <c:pt idx="120">
                  <c:v>2613</c:v>
                </c:pt>
                <c:pt idx="121">
                  <c:v>2028</c:v>
                </c:pt>
                <c:pt idx="122">
                  <c:v>3542</c:v>
                </c:pt>
                <c:pt idx="123">
                  <c:v>2094</c:v>
                </c:pt>
                <c:pt idx="124">
                  <c:v>997</c:v>
                </c:pt>
                <c:pt idx="125">
                  <c:v>1546</c:v>
                </c:pt>
                <c:pt idx="126">
                  <c:v>2120</c:v>
                </c:pt>
                <c:pt idx="127">
                  <c:v>1642</c:v>
                </c:pt>
                <c:pt idx="128">
                  <c:v>1841</c:v>
                </c:pt>
                <c:pt idx="129">
                  <c:v>2308</c:v>
                </c:pt>
                <c:pt idx="130">
                  <c:v>1825</c:v>
                </c:pt>
                <c:pt idx="131">
                  <c:v>1875</c:v>
                </c:pt>
                <c:pt idx="132">
                  <c:v>2211</c:v>
                </c:pt>
                <c:pt idx="133">
                  <c:v>913</c:v>
                </c:pt>
                <c:pt idx="134">
                  <c:v>1525</c:v>
                </c:pt>
                <c:pt idx="135">
                  <c:v>2940</c:v>
                </c:pt>
                <c:pt idx="136">
                  <c:v>3841</c:v>
                </c:pt>
                <c:pt idx="137">
                  <c:v>892</c:v>
                </c:pt>
                <c:pt idx="138">
                  <c:v>1301</c:v>
                </c:pt>
                <c:pt idx="139">
                  <c:v>1658</c:v>
                </c:pt>
                <c:pt idx="140">
                  <c:v>2395</c:v>
                </c:pt>
                <c:pt idx="141">
                  <c:v>1866</c:v>
                </c:pt>
                <c:pt idx="142">
                  <c:v>1497</c:v>
                </c:pt>
                <c:pt idx="143">
                  <c:v>1365</c:v>
                </c:pt>
                <c:pt idx="144">
                  <c:v>641</c:v>
                </c:pt>
                <c:pt idx="145">
                  <c:v>1573</c:v>
                </c:pt>
                <c:pt idx="146">
                  <c:v>3172</c:v>
                </c:pt>
                <c:pt idx="147">
                  <c:v>968</c:v>
                </c:pt>
                <c:pt idx="148">
                  <c:v>2485</c:v>
                </c:pt>
                <c:pt idx="149">
                  <c:v>1198</c:v>
                </c:pt>
                <c:pt idx="150">
                  <c:v>1398</c:v>
                </c:pt>
                <c:pt idx="151">
                  <c:v>979</c:v>
                </c:pt>
                <c:pt idx="152">
                  <c:v>1230</c:v>
                </c:pt>
                <c:pt idx="153">
                  <c:v>1122</c:v>
                </c:pt>
                <c:pt idx="154">
                  <c:v>1446</c:v>
                </c:pt>
                <c:pt idx="155">
                  <c:v>1934</c:v>
                </c:pt>
                <c:pt idx="156">
                  <c:v>1628</c:v>
                </c:pt>
                <c:pt idx="157">
                  <c:v>1616</c:v>
                </c:pt>
                <c:pt idx="158">
                  <c:v>3237</c:v>
                </c:pt>
                <c:pt idx="159">
                  <c:v>1690</c:v>
                </c:pt>
                <c:pt idx="160">
                  <c:v>1815</c:v>
                </c:pt>
                <c:pt idx="161">
                  <c:v>2947</c:v>
                </c:pt>
                <c:pt idx="162">
                  <c:v>3072</c:v>
                </c:pt>
                <c:pt idx="163">
                  <c:v>1570</c:v>
                </c:pt>
                <c:pt idx="164">
                  <c:v>2189</c:v>
                </c:pt>
                <c:pt idx="165">
                  <c:v>3629</c:v>
                </c:pt>
                <c:pt idx="166">
                  <c:v>2230</c:v>
                </c:pt>
                <c:pt idx="167">
                  <c:v>2770</c:v>
                </c:pt>
                <c:pt idx="168">
                  <c:v>3657</c:v>
                </c:pt>
                <c:pt idx="169">
                  <c:v>1525</c:v>
                </c:pt>
                <c:pt idx="170">
                  <c:v>2019</c:v>
                </c:pt>
                <c:pt idx="171">
                  <c:v>1626</c:v>
                </c:pt>
                <c:pt idx="172">
                  <c:v>3685</c:v>
                </c:pt>
                <c:pt idx="173">
                  <c:v>2082</c:v>
                </c:pt>
                <c:pt idx="174">
                  <c:v>3008</c:v>
                </c:pt>
                <c:pt idx="175">
                  <c:v>2020</c:v>
                </c:pt>
                <c:pt idx="176">
                  <c:v>1677</c:v>
                </c:pt>
                <c:pt idx="177">
                  <c:v>4862</c:v>
                </c:pt>
                <c:pt idx="178">
                  <c:v>2058</c:v>
                </c:pt>
                <c:pt idx="179">
                  <c:v>2934</c:v>
                </c:pt>
                <c:pt idx="180">
                  <c:v>2479</c:v>
                </c:pt>
                <c:pt idx="181">
                  <c:v>1814</c:v>
                </c:pt>
                <c:pt idx="182">
                  <c:v>11809</c:v>
                </c:pt>
                <c:pt idx="183">
                  <c:v>3344</c:v>
                </c:pt>
                <c:pt idx="184">
                  <c:v>2451</c:v>
                </c:pt>
                <c:pt idx="185">
                  <c:v>4144</c:v>
                </c:pt>
                <c:pt idx="186">
                  <c:v>1166</c:v>
                </c:pt>
                <c:pt idx="187">
                  <c:v>1774</c:v>
                </c:pt>
                <c:pt idx="188">
                  <c:v>2353</c:v>
                </c:pt>
                <c:pt idx="189">
                  <c:v>3855</c:v>
                </c:pt>
                <c:pt idx="190">
                  <c:v>2376</c:v>
                </c:pt>
                <c:pt idx="191">
                  <c:v>1870</c:v>
                </c:pt>
                <c:pt idx="192">
                  <c:v>2378</c:v>
                </c:pt>
                <c:pt idx="193">
                  <c:v>1631</c:v>
                </c:pt>
                <c:pt idx="194">
                  <c:v>1518</c:v>
                </c:pt>
                <c:pt idx="195">
                  <c:v>1386</c:v>
                </c:pt>
                <c:pt idx="196">
                  <c:v>1392</c:v>
                </c:pt>
                <c:pt idx="197">
                  <c:v>4165</c:v>
                </c:pt>
                <c:pt idx="198">
                  <c:v>2858</c:v>
                </c:pt>
                <c:pt idx="199">
                  <c:v>3268</c:v>
                </c:pt>
                <c:pt idx="200">
                  <c:v>2966</c:v>
                </c:pt>
                <c:pt idx="201">
                  <c:v>3757</c:v>
                </c:pt>
                <c:pt idx="202">
                  <c:v>1455</c:v>
                </c:pt>
                <c:pt idx="203">
                  <c:v>2676</c:v>
                </c:pt>
                <c:pt idx="204">
                  <c:v>1921</c:v>
                </c:pt>
                <c:pt idx="205">
                  <c:v>1897</c:v>
                </c:pt>
                <c:pt idx="206">
                  <c:v>2853</c:v>
                </c:pt>
                <c:pt idx="207">
                  <c:v>2573</c:v>
                </c:pt>
                <c:pt idx="208">
                  <c:v>1976</c:v>
                </c:pt>
                <c:pt idx="209">
                  <c:v>1868</c:v>
                </c:pt>
                <c:pt idx="210">
                  <c:v>1959</c:v>
                </c:pt>
                <c:pt idx="211">
                  <c:v>1182</c:v>
                </c:pt>
                <c:pt idx="212">
                  <c:v>2949</c:v>
                </c:pt>
                <c:pt idx="213">
                  <c:v>2053</c:v>
                </c:pt>
                <c:pt idx="214">
                  <c:v>1050</c:v>
                </c:pt>
                <c:pt idx="215">
                  <c:v>2005</c:v>
                </c:pt>
                <c:pt idx="216">
                  <c:v>1937</c:v>
                </c:pt>
                <c:pt idx="217">
                  <c:v>1499</c:v>
                </c:pt>
                <c:pt idx="218">
                  <c:v>1808</c:v>
                </c:pt>
                <c:pt idx="219">
                  <c:v>2848</c:v>
                </c:pt>
                <c:pt idx="220">
                  <c:v>1169</c:v>
                </c:pt>
                <c:pt idx="221">
                  <c:v>2198</c:v>
                </c:pt>
                <c:pt idx="222">
                  <c:v>2417</c:v>
                </c:pt>
                <c:pt idx="223">
                  <c:v>3234</c:v>
                </c:pt>
                <c:pt idx="224">
                  <c:v>2357</c:v>
                </c:pt>
                <c:pt idx="225">
                  <c:v>2207</c:v>
                </c:pt>
                <c:pt idx="226">
                  <c:v>2013</c:v>
                </c:pt>
                <c:pt idx="227">
                  <c:v>3274</c:v>
                </c:pt>
                <c:pt idx="228">
                  <c:v>3648</c:v>
                </c:pt>
                <c:pt idx="229">
                  <c:v>4652</c:v>
                </c:pt>
                <c:pt idx="230">
                  <c:v>2252</c:v>
                </c:pt>
                <c:pt idx="231">
                  <c:v>1715</c:v>
                </c:pt>
                <c:pt idx="232">
                  <c:v>9540</c:v>
                </c:pt>
                <c:pt idx="233">
                  <c:v>1644</c:v>
                </c:pt>
                <c:pt idx="234">
                  <c:v>2065</c:v>
                </c:pt>
                <c:pt idx="235">
                  <c:v>2594</c:v>
                </c:pt>
                <c:pt idx="236">
                  <c:v>1692</c:v>
                </c:pt>
                <c:pt idx="237">
                  <c:v>2401</c:v>
                </c:pt>
                <c:pt idx="238">
                  <c:v>3256</c:v>
                </c:pt>
                <c:pt idx="239">
                  <c:v>6534</c:v>
                </c:pt>
                <c:pt idx="240">
                  <c:v>5014</c:v>
                </c:pt>
                <c:pt idx="241">
                  <c:v>1914</c:v>
                </c:pt>
                <c:pt idx="242">
                  <c:v>7778</c:v>
                </c:pt>
                <c:pt idx="243">
                  <c:v>4348</c:v>
                </c:pt>
                <c:pt idx="244">
                  <c:v>2170</c:v>
                </c:pt>
                <c:pt idx="245">
                  <c:v>2222</c:v>
                </c:pt>
                <c:pt idx="246">
                  <c:v>1861</c:v>
                </c:pt>
                <c:pt idx="247">
                  <c:v>768</c:v>
                </c:pt>
                <c:pt idx="248">
                  <c:v>1740</c:v>
                </c:pt>
                <c:pt idx="249">
                  <c:v>5652</c:v>
                </c:pt>
                <c:pt idx="250">
                  <c:v>1241</c:v>
                </c:pt>
                <c:pt idx="251">
                  <c:v>2108</c:v>
                </c:pt>
                <c:pt idx="252">
                  <c:v>3758</c:v>
                </c:pt>
                <c:pt idx="253">
                  <c:v>508</c:v>
                </c:pt>
                <c:pt idx="254">
                  <c:v>940</c:v>
                </c:pt>
                <c:pt idx="255">
                  <c:v>1235</c:v>
                </c:pt>
                <c:pt idx="256">
                  <c:v>1917</c:v>
                </c:pt>
                <c:pt idx="257">
                  <c:v>1010</c:v>
                </c:pt>
                <c:pt idx="258">
                  <c:v>2482</c:v>
                </c:pt>
                <c:pt idx="259">
                  <c:v>1955</c:v>
                </c:pt>
                <c:pt idx="260">
                  <c:v>1291</c:v>
                </c:pt>
                <c:pt idx="261">
                  <c:v>3657</c:v>
                </c:pt>
                <c:pt idx="262">
                  <c:v>1263</c:v>
                </c:pt>
                <c:pt idx="263">
                  <c:v>3540</c:v>
                </c:pt>
                <c:pt idx="264">
                  <c:v>2150</c:v>
                </c:pt>
                <c:pt idx="265">
                  <c:v>2176</c:v>
                </c:pt>
                <c:pt idx="266">
                  <c:v>1211</c:v>
                </c:pt>
                <c:pt idx="267">
                  <c:v>1797</c:v>
                </c:pt>
                <c:pt idx="268">
                  <c:v>2283</c:v>
                </c:pt>
                <c:pt idx="269">
                  <c:v>1155</c:v>
                </c:pt>
                <c:pt idx="270">
                  <c:v>1462</c:v>
                </c:pt>
                <c:pt idx="271">
                  <c:v>1733</c:v>
                </c:pt>
                <c:pt idx="272">
                  <c:v>1039</c:v>
                </c:pt>
                <c:pt idx="273">
                  <c:v>2338</c:v>
                </c:pt>
                <c:pt idx="274">
                  <c:v>2397</c:v>
                </c:pt>
                <c:pt idx="275">
                  <c:v>1671</c:v>
                </c:pt>
                <c:pt idx="276">
                  <c:v>896</c:v>
                </c:pt>
                <c:pt idx="277">
                  <c:v>1284</c:v>
                </c:pt>
                <c:pt idx="278">
                  <c:v>755</c:v>
                </c:pt>
                <c:pt idx="279">
                  <c:v>1368</c:v>
                </c:pt>
                <c:pt idx="280">
                  <c:v>1784</c:v>
                </c:pt>
                <c:pt idx="281">
                  <c:v>2048</c:v>
                </c:pt>
                <c:pt idx="282">
                  <c:v>3765</c:v>
                </c:pt>
                <c:pt idx="283">
                  <c:v>2114</c:v>
                </c:pt>
                <c:pt idx="284">
                  <c:v>6588</c:v>
                </c:pt>
                <c:pt idx="285">
                  <c:v>1466</c:v>
                </c:pt>
                <c:pt idx="286">
                  <c:v>4103</c:v>
                </c:pt>
                <c:pt idx="287">
                  <c:v>3595</c:v>
                </c:pt>
                <c:pt idx="288">
                  <c:v>2162</c:v>
                </c:pt>
                <c:pt idx="289">
                  <c:v>4095</c:v>
                </c:pt>
                <c:pt idx="290">
                  <c:v>1361</c:v>
                </c:pt>
                <c:pt idx="291">
                  <c:v>1622</c:v>
                </c:pt>
                <c:pt idx="292">
                  <c:v>1070</c:v>
                </c:pt>
                <c:pt idx="293">
                  <c:v>2810</c:v>
                </c:pt>
                <c:pt idx="294">
                  <c:v>1399</c:v>
                </c:pt>
                <c:pt idx="295">
                  <c:v>1456</c:v>
                </c:pt>
                <c:pt idx="296">
                  <c:v>3037</c:v>
                </c:pt>
                <c:pt idx="297">
                  <c:v>3195</c:v>
                </c:pt>
                <c:pt idx="298">
                  <c:v>1018</c:v>
                </c:pt>
                <c:pt idx="299">
                  <c:v>1517</c:v>
                </c:pt>
                <c:pt idx="300">
                  <c:v>1512</c:v>
                </c:pt>
                <c:pt idx="301">
                  <c:v>1182</c:v>
                </c:pt>
                <c:pt idx="302">
                  <c:v>3211</c:v>
                </c:pt>
                <c:pt idx="303">
                  <c:v>2829</c:v>
                </c:pt>
                <c:pt idx="304">
                  <c:v>1465</c:v>
                </c:pt>
                <c:pt idx="305">
                  <c:v>1357</c:v>
                </c:pt>
                <c:pt idx="306">
                  <c:v>1124</c:v>
                </c:pt>
                <c:pt idx="307">
                  <c:v>1419</c:v>
                </c:pt>
                <c:pt idx="308">
                  <c:v>1067</c:v>
                </c:pt>
                <c:pt idx="309">
                  <c:v>1797</c:v>
                </c:pt>
                <c:pt idx="310">
                  <c:v>2519</c:v>
                </c:pt>
                <c:pt idx="311">
                  <c:v>1847</c:v>
                </c:pt>
                <c:pt idx="312">
                  <c:v>1882</c:v>
                </c:pt>
                <c:pt idx="313">
                  <c:v>2155</c:v>
                </c:pt>
                <c:pt idx="314">
                  <c:v>3345</c:v>
                </c:pt>
                <c:pt idx="315">
                  <c:v>1610</c:v>
                </c:pt>
                <c:pt idx="316">
                  <c:v>1232</c:v>
                </c:pt>
                <c:pt idx="317">
                  <c:v>1329</c:v>
                </c:pt>
                <c:pt idx="318">
                  <c:v>1300</c:v>
                </c:pt>
                <c:pt idx="319">
                  <c:v>1307</c:v>
                </c:pt>
                <c:pt idx="320">
                  <c:v>2050</c:v>
                </c:pt>
                <c:pt idx="321">
                  <c:v>829</c:v>
                </c:pt>
                <c:pt idx="322">
                  <c:v>1982</c:v>
                </c:pt>
                <c:pt idx="323">
                  <c:v>2194</c:v>
                </c:pt>
                <c:pt idx="324">
                  <c:v>760</c:v>
                </c:pt>
                <c:pt idx="325">
                  <c:v>1467</c:v>
                </c:pt>
                <c:pt idx="326">
                  <c:v>1787</c:v>
                </c:pt>
                <c:pt idx="327">
                  <c:v>2074</c:v>
                </c:pt>
                <c:pt idx="328">
                  <c:v>3889</c:v>
                </c:pt>
                <c:pt idx="329">
                  <c:v>3452</c:v>
                </c:pt>
                <c:pt idx="330">
                  <c:v>1766</c:v>
                </c:pt>
                <c:pt idx="331">
                  <c:v>1469</c:v>
                </c:pt>
                <c:pt idx="332">
                  <c:v>773</c:v>
                </c:pt>
                <c:pt idx="333">
                  <c:v>2258</c:v>
                </c:pt>
                <c:pt idx="334">
                  <c:v>1755</c:v>
                </c:pt>
                <c:pt idx="335">
                  <c:v>1846</c:v>
                </c:pt>
                <c:pt idx="336">
                  <c:v>3088</c:v>
                </c:pt>
                <c:pt idx="337">
                  <c:v>3322</c:v>
                </c:pt>
                <c:pt idx="338">
                  <c:v>3388</c:v>
                </c:pt>
                <c:pt idx="339">
                  <c:v>4453</c:v>
                </c:pt>
                <c:pt idx="340">
                  <c:v>1528</c:v>
                </c:pt>
                <c:pt idx="341">
                  <c:v>1849</c:v>
                </c:pt>
                <c:pt idx="342">
                  <c:v>1944</c:v>
                </c:pt>
                <c:pt idx="343">
                  <c:v>1467</c:v>
                </c:pt>
                <c:pt idx="344">
                  <c:v>1810</c:v>
                </c:pt>
                <c:pt idx="345">
                  <c:v>3070</c:v>
                </c:pt>
                <c:pt idx="346">
                  <c:v>1078</c:v>
                </c:pt>
                <c:pt idx="347">
                  <c:v>3572</c:v>
                </c:pt>
                <c:pt idx="348">
                  <c:v>1142</c:v>
                </c:pt>
                <c:pt idx="349">
                  <c:v>3665</c:v>
                </c:pt>
                <c:pt idx="350">
                  <c:v>3740</c:v>
                </c:pt>
                <c:pt idx="351">
                  <c:v>1961</c:v>
                </c:pt>
                <c:pt idx="352">
                  <c:v>6191</c:v>
                </c:pt>
                <c:pt idx="353">
                  <c:v>1948</c:v>
                </c:pt>
                <c:pt idx="354">
                  <c:v>2109</c:v>
                </c:pt>
                <c:pt idx="355">
                  <c:v>1423</c:v>
                </c:pt>
                <c:pt idx="356">
                  <c:v>2242</c:v>
                </c:pt>
                <c:pt idx="357">
                  <c:v>2007</c:v>
                </c:pt>
                <c:pt idx="358">
                  <c:v>5014</c:v>
                </c:pt>
                <c:pt idx="359">
                  <c:v>1381</c:v>
                </c:pt>
                <c:pt idx="360">
                  <c:v>5179</c:v>
                </c:pt>
                <c:pt idx="361">
                  <c:v>1922</c:v>
                </c:pt>
                <c:pt idx="362">
                  <c:v>8283</c:v>
                </c:pt>
                <c:pt idx="363">
                  <c:v>1474</c:v>
                </c:pt>
                <c:pt idx="364">
                  <c:v>8892</c:v>
                </c:pt>
                <c:pt idx="365">
                  <c:v>5150</c:v>
                </c:pt>
                <c:pt idx="366">
                  <c:v>12937</c:v>
                </c:pt>
                <c:pt idx="367">
                  <c:v>6721</c:v>
                </c:pt>
                <c:pt idx="368">
                  <c:v>1812</c:v>
                </c:pt>
                <c:pt idx="369">
                  <c:v>2905</c:v>
                </c:pt>
                <c:pt idx="370">
                  <c:v>4936</c:v>
                </c:pt>
                <c:pt idx="371">
                  <c:v>9986</c:v>
                </c:pt>
                <c:pt idx="372">
                  <c:v>7023</c:v>
                </c:pt>
                <c:pt idx="373">
                  <c:v>3439</c:v>
                </c:pt>
                <c:pt idx="374">
                  <c:v>2712</c:v>
                </c:pt>
                <c:pt idx="375">
                  <c:v>5607</c:v>
                </c:pt>
                <c:pt idx="376">
                  <c:v>4705</c:v>
                </c:pt>
                <c:pt idx="377">
                  <c:v>6371</c:v>
                </c:pt>
                <c:pt idx="378">
                  <c:v>4624</c:v>
                </c:pt>
                <c:pt idx="379">
                  <c:v>9464</c:v>
                </c:pt>
                <c:pt idx="380">
                  <c:v>3259</c:v>
                </c:pt>
                <c:pt idx="381">
                  <c:v>3364</c:v>
                </c:pt>
                <c:pt idx="382">
                  <c:v>5717</c:v>
                </c:pt>
                <c:pt idx="383">
                  <c:v>4308</c:v>
                </c:pt>
                <c:pt idx="384">
                  <c:v>3865</c:v>
                </c:pt>
                <c:pt idx="385">
                  <c:v>1734</c:v>
                </c:pt>
                <c:pt idx="386">
                  <c:v>1563</c:v>
                </c:pt>
                <c:pt idx="387">
                  <c:v>5609</c:v>
                </c:pt>
                <c:pt idx="388">
                  <c:v>643</c:v>
                </c:pt>
                <c:pt idx="389">
                  <c:v>604</c:v>
                </c:pt>
                <c:pt idx="390">
                  <c:v>4451</c:v>
                </c:pt>
                <c:pt idx="391">
                  <c:v>7341</c:v>
                </c:pt>
                <c:pt idx="392">
                  <c:v>7259</c:v>
                </c:pt>
                <c:pt idx="393">
                  <c:v>7141</c:v>
                </c:pt>
                <c:pt idx="394">
                  <c:v>1577</c:v>
                </c:pt>
                <c:pt idx="395">
                  <c:v>4632</c:v>
                </c:pt>
                <c:pt idx="396">
                  <c:v>4719</c:v>
                </c:pt>
                <c:pt idx="397">
                  <c:v>4541</c:v>
                </c:pt>
                <c:pt idx="398">
                  <c:v>5288</c:v>
                </c:pt>
                <c:pt idx="399">
                  <c:v>9654</c:v>
                </c:pt>
                <c:pt idx="400">
                  <c:v>4935</c:v>
                </c:pt>
                <c:pt idx="401">
                  <c:v>8268</c:v>
                </c:pt>
                <c:pt idx="402">
                  <c:v>2006</c:v>
                </c:pt>
                <c:pt idx="403">
                  <c:v>3068</c:v>
                </c:pt>
                <c:pt idx="404">
                  <c:v>4270</c:v>
                </c:pt>
                <c:pt idx="405">
                  <c:v>2677</c:v>
                </c:pt>
                <c:pt idx="406">
                  <c:v>2247</c:v>
                </c:pt>
                <c:pt idx="407">
                  <c:v>1171</c:v>
                </c:pt>
                <c:pt idx="408">
                  <c:v>4157</c:v>
                </c:pt>
                <c:pt idx="409">
                  <c:v>922</c:v>
                </c:pt>
                <c:pt idx="410">
                  <c:v>1035</c:v>
                </c:pt>
                <c:pt idx="411">
                  <c:v>1690</c:v>
                </c:pt>
                <c:pt idx="412">
                  <c:v>1866</c:v>
                </c:pt>
                <c:pt idx="413">
                  <c:v>3638</c:v>
                </c:pt>
                <c:pt idx="414">
                  <c:v>2405</c:v>
                </c:pt>
                <c:pt idx="415">
                  <c:v>4146</c:v>
                </c:pt>
                <c:pt idx="416">
                  <c:v>3858</c:v>
                </c:pt>
                <c:pt idx="417">
                  <c:v>8364</c:v>
                </c:pt>
                <c:pt idx="418">
                  <c:v>8450</c:v>
                </c:pt>
                <c:pt idx="419">
                  <c:v>4394</c:v>
                </c:pt>
                <c:pt idx="420">
                  <c:v>4601</c:v>
                </c:pt>
                <c:pt idx="421">
                  <c:v>13144</c:v>
                </c:pt>
                <c:pt idx="422">
                  <c:v>9770</c:v>
                </c:pt>
                <c:pt idx="423">
                  <c:v>13503</c:v>
                </c:pt>
                <c:pt idx="424">
                  <c:v>8748</c:v>
                </c:pt>
                <c:pt idx="425">
                  <c:v>4865</c:v>
                </c:pt>
                <c:pt idx="426">
                  <c:v>12217</c:v>
                </c:pt>
                <c:pt idx="427">
                  <c:v>7104</c:v>
                </c:pt>
                <c:pt idx="428">
                  <c:v>3593</c:v>
                </c:pt>
                <c:pt idx="429">
                  <c:v>4914</c:v>
                </c:pt>
                <c:pt idx="430">
                  <c:v>2822</c:v>
                </c:pt>
                <c:pt idx="431">
                  <c:v>13207</c:v>
                </c:pt>
                <c:pt idx="432">
                  <c:v>5253</c:v>
                </c:pt>
                <c:pt idx="433">
                  <c:v>7128</c:v>
                </c:pt>
                <c:pt idx="434">
                  <c:v>6704</c:v>
                </c:pt>
                <c:pt idx="435">
                  <c:v>4489</c:v>
                </c:pt>
                <c:pt idx="436">
                  <c:v>5326</c:v>
                </c:pt>
                <c:pt idx="437">
                  <c:v>8127</c:v>
                </c:pt>
                <c:pt idx="438">
                  <c:v>10600</c:v>
                </c:pt>
                <c:pt idx="439">
                  <c:v>4410</c:v>
                </c:pt>
                <c:pt idx="440">
                  <c:v>18936</c:v>
                </c:pt>
                <c:pt idx="441">
                  <c:v>3312</c:v>
                </c:pt>
                <c:pt idx="442">
                  <c:v>5627</c:v>
                </c:pt>
                <c:pt idx="443">
                  <c:v>5959</c:v>
                </c:pt>
                <c:pt idx="444">
                  <c:v>7009</c:v>
                </c:pt>
                <c:pt idx="445">
                  <c:v>4385</c:v>
                </c:pt>
                <c:pt idx="446">
                  <c:v>10329</c:v>
                </c:pt>
                <c:pt idx="447">
                  <c:v>3591</c:v>
                </c:pt>
                <c:pt idx="448">
                  <c:v>9255</c:v>
                </c:pt>
                <c:pt idx="449">
                  <c:v>12507</c:v>
                </c:pt>
                <c:pt idx="450">
                  <c:v>7148</c:v>
                </c:pt>
                <c:pt idx="451">
                  <c:v>2016</c:v>
                </c:pt>
                <c:pt idx="452">
                  <c:v>5257</c:v>
                </c:pt>
                <c:pt idx="453">
                  <c:v>8086</c:v>
                </c:pt>
                <c:pt idx="454">
                  <c:v>3952</c:v>
                </c:pt>
                <c:pt idx="455">
                  <c:v>4758</c:v>
                </c:pt>
                <c:pt idx="456">
                  <c:v>9296</c:v>
                </c:pt>
                <c:pt idx="457">
                  <c:v>5937</c:v>
                </c:pt>
                <c:pt idx="458">
                  <c:v>8526</c:v>
                </c:pt>
                <c:pt idx="459">
                  <c:v>5118</c:v>
                </c:pt>
                <c:pt idx="460">
                  <c:v>7775</c:v>
                </c:pt>
                <c:pt idx="461">
                  <c:v>6453</c:v>
                </c:pt>
                <c:pt idx="462">
                  <c:v>10084</c:v>
                </c:pt>
                <c:pt idx="463">
                  <c:v>5283</c:v>
                </c:pt>
                <c:pt idx="464">
                  <c:v>6795</c:v>
                </c:pt>
                <c:pt idx="465">
                  <c:v>9421</c:v>
                </c:pt>
                <c:pt idx="466">
                  <c:v>5770</c:v>
                </c:pt>
                <c:pt idx="467">
                  <c:v>5205</c:v>
                </c:pt>
                <c:pt idx="468">
                  <c:v>2530</c:v>
                </c:pt>
                <c:pt idx="469">
                  <c:v>9386</c:v>
                </c:pt>
                <c:pt idx="470">
                  <c:v>11096</c:v>
                </c:pt>
                <c:pt idx="471">
                  <c:v>4695</c:v>
                </c:pt>
                <c:pt idx="472">
                  <c:v>6843</c:v>
                </c:pt>
                <c:pt idx="473">
                  <c:v>6803</c:v>
                </c:pt>
                <c:pt idx="474">
                  <c:v>11237</c:v>
                </c:pt>
                <c:pt idx="475">
                  <c:v>4410</c:v>
                </c:pt>
                <c:pt idx="476">
                  <c:v>10964</c:v>
                </c:pt>
                <c:pt idx="477">
                  <c:v>4836</c:v>
                </c:pt>
                <c:pt idx="478">
                  <c:v>14475</c:v>
                </c:pt>
                <c:pt idx="479">
                  <c:v>6639</c:v>
                </c:pt>
                <c:pt idx="480">
                  <c:v>6221</c:v>
                </c:pt>
                <c:pt idx="481">
                  <c:v>9505</c:v>
                </c:pt>
                <c:pt idx="482">
                  <c:v>11688</c:v>
                </c:pt>
                <c:pt idx="483">
                  <c:v>6611</c:v>
                </c:pt>
                <c:pt idx="484">
                  <c:v>12181</c:v>
                </c:pt>
                <c:pt idx="485">
                  <c:v>4299</c:v>
                </c:pt>
                <c:pt idx="486">
                  <c:v>8863</c:v>
                </c:pt>
                <c:pt idx="487">
                  <c:v>4270</c:v>
                </c:pt>
                <c:pt idx="488">
                  <c:v>5846</c:v>
                </c:pt>
                <c:pt idx="489">
                  <c:v>7770</c:v>
                </c:pt>
                <c:pt idx="490">
                  <c:v>5706</c:v>
                </c:pt>
                <c:pt idx="491">
                  <c:v>6077</c:v>
                </c:pt>
                <c:pt idx="492">
                  <c:v>3827</c:v>
                </c:pt>
                <c:pt idx="493">
                  <c:v>3677</c:v>
                </c:pt>
                <c:pt idx="494">
                  <c:v>4171</c:v>
                </c:pt>
                <c:pt idx="495">
                  <c:v>5406</c:v>
                </c:pt>
                <c:pt idx="496">
                  <c:v>3608</c:v>
                </c:pt>
                <c:pt idx="497">
                  <c:v>8156</c:v>
                </c:pt>
                <c:pt idx="498">
                  <c:v>7102</c:v>
                </c:pt>
                <c:pt idx="499">
                  <c:v>3674</c:v>
                </c:pt>
                <c:pt idx="500">
                  <c:v>3713</c:v>
                </c:pt>
                <c:pt idx="501">
                  <c:v>1968</c:v>
                </c:pt>
                <c:pt idx="502">
                  <c:v>3722</c:v>
                </c:pt>
                <c:pt idx="503">
                  <c:v>4268</c:v>
                </c:pt>
                <c:pt idx="504">
                  <c:v>4802</c:v>
                </c:pt>
                <c:pt idx="505">
                  <c:v>1314</c:v>
                </c:pt>
                <c:pt idx="506">
                  <c:v>2309</c:v>
                </c:pt>
                <c:pt idx="507">
                  <c:v>1665</c:v>
                </c:pt>
                <c:pt idx="508">
                  <c:v>2017</c:v>
                </c:pt>
                <c:pt idx="509">
                  <c:v>1497</c:v>
                </c:pt>
                <c:pt idx="510">
                  <c:v>3984</c:v>
                </c:pt>
                <c:pt idx="511">
                  <c:v>1291</c:v>
                </c:pt>
                <c:pt idx="512">
                  <c:v>2297</c:v>
                </c:pt>
                <c:pt idx="513">
                  <c:v>1466</c:v>
                </c:pt>
                <c:pt idx="514">
                  <c:v>1361</c:v>
                </c:pt>
                <c:pt idx="515">
                  <c:v>3173</c:v>
                </c:pt>
                <c:pt idx="516">
                  <c:v>5259</c:v>
                </c:pt>
                <c:pt idx="517">
                  <c:v>1581</c:v>
                </c:pt>
                <c:pt idx="518">
                  <c:v>1534</c:v>
                </c:pt>
                <c:pt idx="519">
                  <c:v>2446</c:v>
                </c:pt>
                <c:pt idx="520">
                  <c:v>3814</c:v>
                </c:pt>
                <c:pt idx="521">
                  <c:v>5632</c:v>
                </c:pt>
                <c:pt idx="522">
                  <c:v>6282</c:v>
                </c:pt>
                <c:pt idx="523">
                  <c:v>4216</c:v>
                </c:pt>
                <c:pt idx="524">
                  <c:v>5014</c:v>
                </c:pt>
                <c:pt idx="525">
                  <c:v>3554</c:v>
                </c:pt>
                <c:pt idx="526">
                  <c:v>3610</c:v>
                </c:pt>
                <c:pt idx="527">
                  <c:v>6227</c:v>
                </c:pt>
                <c:pt idx="528">
                  <c:v>3190</c:v>
                </c:pt>
                <c:pt idx="529">
                  <c:v>7731</c:v>
                </c:pt>
                <c:pt idx="530">
                  <c:v>4715</c:v>
                </c:pt>
                <c:pt idx="531">
                  <c:v>3218</c:v>
                </c:pt>
                <c:pt idx="532">
                  <c:v>3640</c:v>
                </c:pt>
                <c:pt idx="533">
                  <c:v>5822</c:v>
                </c:pt>
                <c:pt idx="534">
                  <c:v>3036</c:v>
                </c:pt>
                <c:pt idx="535">
                  <c:v>3231</c:v>
                </c:pt>
                <c:pt idx="536">
                  <c:v>5211</c:v>
                </c:pt>
                <c:pt idx="537">
                  <c:v>3347</c:v>
                </c:pt>
                <c:pt idx="538">
                  <c:v>5042</c:v>
                </c:pt>
                <c:pt idx="539">
                  <c:v>7316</c:v>
                </c:pt>
                <c:pt idx="540">
                  <c:v>7459</c:v>
                </c:pt>
                <c:pt idx="541">
                  <c:v>3177</c:v>
                </c:pt>
                <c:pt idx="542">
                  <c:v>2213</c:v>
                </c:pt>
                <c:pt idx="543">
                  <c:v>6872</c:v>
                </c:pt>
                <c:pt idx="544">
                  <c:v>1746</c:v>
                </c:pt>
                <c:pt idx="545">
                  <c:v>5581</c:v>
                </c:pt>
                <c:pt idx="546">
                  <c:v>2360</c:v>
                </c:pt>
                <c:pt idx="547">
                  <c:v>3548</c:v>
                </c:pt>
                <c:pt idx="548">
                  <c:v>4891</c:v>
                </c:pt>
                <c:pt idx="549">
                  <c:v>4038</c:v>
                </c:pt>
                <c:pt idx="550">
                  <c:v>2651</c:v>
                </c:pt>
                <c:pt idx="551">
                  <c:v>6730</c:v>
                </c:pt>
                <c:pt idx="552">
                  <c:v>2809</c:v>
                </c:pt>
                <c:pt idx="553">
                  <c:v>2435</c:v>
                </c:pt>
                <c:pt idx="554">
                  <c:v>3949</c:v>
                </c:pt>
                <c:pt idx="555">
                  <c:v>3293</c:v>
                </c:pt>
                <c:pt idx="556">
                  <c:v>4611</c:v>
                </c:pt>
                <c:pt idx="557">
                  <c:v>2591</c:v>
                </c:pt>
                <c:pt idx="558">
                  <c:v>1661</c:v>
                </c:pt>
                <c:pt idx="559">
                  <c:v>2468</c:v>
                </c:pt>
                <c:pt idx="560">
                  <c:v>2232</c:v>
                </c:pt>
                <c:pt idx="561">
                  <c:v>1894</c:v>
                </c:pt>
                <c:pt idx="562">
                  <c:v>4537</c:v>
                </c:pt>
                <c:pt idx="563">
                  <c:v>3758</c:v>
                </c:pt>
                <c:pt idx="564">
                  <c:v>2815</c:v>
                </c:pt>
                <c:pt idx="565">
                  <c:v>1898</c:v>
                </c:pt>
                <c:pt idx="566">
                  <c:v>2127</c:v>
                </c:pt>
                <c:pt idx="567">
                  <c:v>6781</c:v>
                </c:pt>
                <c:pt idx="568">
                  <c:v>3502</c:v>
                </c:pt>
                <c:pt idx="569">
                  <c:v>8249</c:v>
                </c:pt>
                <c:pt idx="570">
                  <c:v>2773</c:v>
                </c:pt>
                <c:pt idx="571">
                  <c:v>2701</c:v>
                </c:pt>
                <c:pt idx="572">
                  <c:v>1923</c:v>
                </c:pt>
                <c:pt idx="573">
                  <c:v>4404</c:v>
                </c:pt>
                <c:pt idx="574">
                  <c:v>3324</c:v>
                </c:pt>
                <c:pt idx="575">
                  <c:v>2683</c:v>
                </c:pt>
                <c:pt idx="576">
                  <c:v>4581</c:v>
                </c:pt>
                <c:pt idx="577">
                  <c:v>6585</c:v>
                </c:pt>
                <c:pt idx="578">
                  <c:v>9490</c:v>
                </c:pt>
                <c:pt idx="579">
                  <c:v>3697</c:v>
                </c:pt>
                <c:pt idx="580">
                  <c:v>5505</c:v>
                </c:pt>
                <c:pt idx="581">
                  <c:v>6212</c:v>
                </c:pt>
                <c:pt idx="582">
                  <c:v>4382</c:v>
                </c:pt>
                <c:pt idx="583">
                  <c:v>9422</c:v>
                </c:pt>
                <c:pt idx="584">
                  <c:v>2958</c:v>
                </c:pt>
                <c:pt idx="585">
                  <c:v>8863</c:v>
                </c:pt>
                <c:pt idx="586">
                  <c:v>6051</c:v>
                </c:pt>
                <c:pt idx="587">
                  <c:v>3713</c:v>
                </c:pt>
                <c:pt idx="588">
                  <c:v>7750</c:v>
                </c:pt>
                <c:pt idx="589">
                  <c:v>8196</c:v>
                </c:pt>
                <c:pt idx="590">
                  <c:v>4413</c:v>
                </c:pt>
                <c:pt idx="591">
                  <c:v>10737</c:v>
                </c:pt>
                <c:pt idx="592">
                  <c:v>7738</c:v>
                </c:pt>
                <c:pt idx="593">
                  <c:v>4601</c:v>
                </c:pt>
                <c:pt idx="594">
                  <c:v>10045</c:v>
                </c:pt>
                <c:pt idx="595">
                  <c:v>7494</c:v>
                </c:pt>
                <c:pt idx="596">
                  <c:v>2642</c:v>
                </c:pt>
                <c:pt idx="597">
                  <c:v>4678</c:v>
                </c:pt>
                <c:pt idx="598">
                  <c:v>3534</c:v>
                </c:pt>
                <c:pt idx="599">
                  <c:v>7056</c:v>
                </c:pt>
                <c:pt idx="600">
                  <c:v>4398</c:v>
                </c:pt>
                <c:pt idx="601">
                  <c:v>4294</c:v>
                </c:pt>
                <c:pt idx="602">
                  <c:v>9301</c:v>
                </c:pt>
                <c:pt idx="603">
                  <c:v>3606</c:v>
                </c:pt>
                <c:pt idx="604">
                  <c:v>5124</c:v>
                </c:pt>
                <c:pt idx="605">
                  <c:v>3154</c:v>
                </c:pt>
                <c:pt idx="606">
                  <c:v>3504</c:v>
                </c:pt>
                <c:pt idx="607">
                  <c:v>9038</c:v>
                </c:pt>
                <c:pt idx="608">
                  <c:v>4532</c:v>
                </c:pt>
                <c:pt idx="609">
                  <c:v>5042</c:v>
                </c:pt>
                <c:pt idx="610">
                  <c:v>8567</c:v>
                </c:pt>
                <c:pt idx="611">
                  <c:v>5731</c:v>
                </c:pt>
                <c:pt idx="612">
                  <c:v>3160</c:v>
                </c:pt>
                <c:pt idx="613">
                  <c:v>11148</c:v>
                </c:pt>
                <c:pt idx="614">
                  <c:v>4803</c:v>
                </c:pt>
                <c:pt idx="615">
                  <c:v>8811</c:v>
                </c:pt>
                <c:pt idx="616">
                  <c:v>3509</c:v>
                </c:pt>
                <c:pt idx="617">
                  <c:v>9266</c:v>
                </c:pt>
                <c:pt idx="618">
                  <c:v>5749</c:v>
                </c:pt>
                <c:pt idx="619">
                  <c:v>3179</c:v>
                </c:pt>
                <c:pt idx="620">
                  <c:v>9260</c:v>
                </c:pt>
                <c:pt idx="621">
                  <c:v>4592</c:v>
                </c:pt>
                <c:pt idx="622">
                  <c:v>6924</c:v>
                </c:pt>
                <c:pt idx="623">
                  <c:v>7423</c:v>
                </c:pt>
                <c:pt idx="624">
                  <c:v>7190</c:v>
                </c:pt>
                <c:pt idx="625">
                  <c:v>7474</c:v>
                </c:pt>
                <c:pt idx="626">
                  <c:v>3744</c:v>
                </c:pt>
                <c:pt idx="627">
                  <c:v>10204</c:v>
                </c:pt>
                <c:pt idx="628">
                  <c:v>4097</c:v>
                </c:pt>
                <c:pt idx="629">
                  <c:v>3831</c:v>
                </c:pt>
                <c:pt idx="630">
                  <c:v>3953</c:v>
                </c:pt>
                <c:pt idx="631">
                  <c:v>4151</c:v>
                </c:pt>
                <c:pt idx="632">
                  <c:v>4529</c:v>
                </c:pt>
                <c:pt idx="633">
                  <c:v>4345</c:v>
                </c:pt>
                <c:pt idx="634">
                  <c:v>4202</c:v>
                </c:pt>
                <c:pt idx="635">
                  <c:v>10769</c:v>
                </c:pt>
                <c:pt idx="636">
                  <c:v>9385</c:v>
                </c:pt>
                <c:pt idx="637">
                  <c:v>4342</c:v>
                </c:pt>
                <c:pt idx="638">
                  <c:v>3054</c:v>
                </c:pt>
                <c:pt idx="639">
                  <c:v>7987</c:v>
                </c:pt>
                <c:pt idx="640">
                  <c:v>7479</c:v>
                </c:pt>
                <c:pt idx="641">
                  <c:v>3943</c:v>
                </c:pt>
                <c:pt idx="642">
                  <c:v>3707</c:v>
                </c:pt>
                <c:pt idx="643">
                  <c:v>5945</c:v>
                </c:pt>
                <c:pt idx="644">
                  <c:v>3224</c:v>
                </c:pt>
                <c:pt idx="645">
                  <c:v>6150</c:v>
                </c:pt>
                <c:pt idx="646">
                  <c:v>4216</c:v>
                </c:pt>
                <c:pt idx="647">
                  <c:v>5732</c:v>
                </c:pt>
                <c:pt idx="648">
                  <c:v>7843</c:v>
                </c:pt>
                <c:pt idx="649">
                  <c:v>4000</c:v>
                </c:pt>
                <c:pt idx="650">
                  <c:v>4694</c:v>
                </c:pt>
                <c:pt idx="651">
                  <c:v>2151</c:v>
                </c:pt>
                <c:pt idx="652">
                  <c:v>2475</c:v>
                </c:pt>
                <c:pt idx="653">
                  <c:v>1047</c:v>
                </c:pt>
                <c:pt idx="654">
                  <c:v>2003</c:v>
                </c:pt>
                <c:pt idx="655">
                  <c:v>2105</c:v>
                </c:pt>
                <c:pt idx="656">
                  <c:v>2799</c:v>
                </c:pt>
                <c:pt idx="657">
                  <c:v>2947</c:v>
                </c:pt>
                <c:pt idx="658">
                  <c:v>2833</c:v>
                </c:pt>
                <c:pt idx="659">
                  <c:v>3759</c:v>
                </c:pt>
                <c:pt idx="660">
                  <c:v>2002</c:v>
                </c:pt>
                <c:pt idx="661">
                  <c:v>3503</c:v>
                </c:pt>
                <c:pt idx="662">
                  <c:v>3094</c:v>
                </c:pt>
                <c:pt idx="663">
                  <c:v>2809</c:v>
                </c:pt>
                <c:pt idx="664">
                  <c:v>3355</c:v>
                </c:pt>
                <c:pt idx="665">
                  <c:v>2247</c:v>
                </c:pt>
                <c:pt idx="666">
                  <c:v>2428</c:v>
                </c:pt>
                <c:pt idx="667">
                  <c:v>2303</c:v>
                </c:pt>
                <c:pt idx="668">
                  <c:v>2968</c:v>
                </c:pt>
                <c:pt idx="669">
                  <c:v>2667</c:v>
                </c:pt>
                <c:pt idx="670">
                  <c:v>3121</c:v>
                </c:pt>
                <c:pt idx="671">
                  <c:v>4936</c:v>
                </c:pt>
                <c:pt idx="672">
                  <c:v>4242</c:v>
                </c:pt>
                <c:pt idx="673">
                  <c:v>4901</c:v>
                </c:pt>
                <c:pt idx="674">
                  <c:v>2707</c:v>
                </c:pt>
                <c:pt idx="675">
                  <c:v>3394</c:v>
                </c:pt>
                <c:pt idx="676">
                  <c:v>1592</c:v>
                </c:pt>
                <c:pt idx="677">
                  <c:v>2729</c:v>
                </c:pt>
                <c:pt idx="678">
                  <c:v>5735</c:v>
                </c:pt>
                <c:pt idx="679">
                  <c:v>4383</c:v>
                </c:pt>
                <c:pt idx="680">
                  <c:v>3825</c:v>
                </c:pt>
                <c:pt idx="681">
                  <c:v>2672</c:v>
                </c:pt>
                <c:pt idx="682">
                  <c:v>1967</c:v>
                </c:pt>
                <c:pt idx="683">
                  <c:v>2990</c:v>
                </c:pt>
                <c:pt idx="684">
                  <c:v>2592</c:v>
                </c:pt>
                <c:pt idx="685">
                  <c:v>2467</c:v>
                </c:pt>
                <c:pt idx="686">
                  <c:v>3143</c:v>
                </c:pt>
                <c:pt idx="687">
                  <c:v>4172</c:v>
                </c:pt>
                <c:pt idx="688">
                  <c:v>5149</c:v>
                </c:pt>
                <c:pt idx="689">
                  <c:v>2637</c:v>
                </c:pt>
                <c:pt idx="690">
                  <c:v>2023</c:v>
                </c:pt>
                <c:pt idx="691">
                  <c:v>5143</c:v>
                </c:pt>
                <c:pt idx="692">
                  <c:v>3563</c:v>
                </c:pt>
                <c:pt idx="693">
                  <c:v>3148</c:v>
                </c:pt>
                <c:pt idx="694">
                  <c:v>3557</c:v>
                </c:pt>
                <c:pt idx="695">
                  <c:v>3432</c:v>
                </c:pt>
                <c:pt idx="696">
                  <c:v>2307</c:v>
                </c:pt>
                <c:pt idx="697">
                  <c:v>2375</c:v>
                </c:pt>
                <c:pt idx="698">
                  <c:v>2335</c:v>
                </c:pt>
                <c:pt idx="699">
                  <c:v>3915</c:v>
                </c:pt>
                <c:pt idx="700">
                  <c:v>2159</c:v>
                </c:pt>
                <c:pt idx="701">
                  <c:v>2323</c:v>
                </c:pt>
                <c:pt idx="702">
                  <c:v>1772</c:v>
                </c:pt>
                <c:pt idx="703">
                  <c:v>1419</c:v>
                </c:pt>
                <c:pt idx="704">
                  <c:v>1982</c:v>
                </c:pt>
                <c:pt idx="705">
                  <c:v>1618</c:v>
                </c:pt>
                <c:pt idx="706">
                  <c:v>1601</c:v>
                </c:pt>
                <c:pt idx="707">
                  <c:v>4649</c:v>
                </c:pt>
                <c:pt idx="708">
                  <c:v>2867</c:v>
                </c:pt>
                <c:pt idx="709">
                  <c:v>3592</c:v>
                </c:pt>
                <c:pt idx="710">
                  <c:v>3302</c:v>
                </c:pt>
                <c:pt idx="711">
                  <c:v>3576</c:v>
                </c:pt>
                <c:pt idx="712">
                  <c:v>8209</c:v>
                </c:pt>
                <c:pt idx="713">
                  <c:v>3672</c:v>
                </c:pt>
                <c:pt idx="714">
                  <c:v>8537</c:v>
                </c:pt>
                <c:pt idx="715">
                  <c:v>6082</c:v>
                </c:pt>
                <c:pt idx="716">
                  <c:v>3807</c:v>
                </c:pt>
                <c:pt idx="717">
                  <c:v>7220</c:v>
                </c:pt>
                <c:pt idx="718">
                  <c:v>3236</c:v>
                </c:pt>
                <c:pt idx="719">
                  <c:v>3536</c:v>
                </c:pt>
                <c:pt idx="720">
                  <c:v>6646</c:v>
                </c:pt>
                <c:pt idx="721">
                  <c:v>3447</c:v>
                </c:pt>
                <c:pt idx="722">
                  <c:v>3958</c:v>
                </c:pt>
                <c:pt idx="723">
                  <c:v>3576</c:v>
                </c:pt>
                <c:pt idx="724">
                  <c:v>4838</c:v>
                </c:pt>
                <c:pt idx="725">
                  <c:v>6320</c:v>
                </c:pt>
                <c:pt idx="726">
                  <c:v>5759</c:v>
                </c:pt>
                <c:pt idx="727">
                  <c:v>7542</c:v>
                </c:pt>
                <c:pt idx="728">
                  <c:v>10896</c:v>
                </c:pt>
                <c:pt idx="729">
                  <c:v>7392</c:v>
                </c:pt>
                <c:pt idx="730">
                  <c:v>4800</c:v>
                </c:pt>
                <c:pt idx="731">
                  <c:v>5089</c:v>
                </c:pt>
                <c:pt idx="732">
                  <c:v>11590</c:v>
                </c:pt>
                <c:pt idx="733">
                  <c:v>11726</c:v>
                </c:pt>
                <c:pt idx="734">
                  <c:v>9501</c:v>
                </c:pt>
                <c:pt idx="735">
                  <c:v>4282</c:v>
                </c:pt>
                <c:pt idx="736">
                  <c:v>5558</c:v>
                </c:pt>
                <c:pt idx="737">
                  <c:v>8035</c:v>
                </c:pt>
                <c:pt idx="738">
                  <c:v>10840</c:v>
                </c:pt>
                <c:pt idx="739">
                  <c:v>4351</c:v>
                </c:pt>
                <c:pt idx="740">
                  <c:v>6278</c:v>
                </c:pt>
                <c:pt idx="741">
                  <c:v>10761</c:v>
                </c:pt>
                <c:pt idx="742">
                  <c:v>10624</c:v>
                </c:pt>
                <c:pt idx="743">
                  <c:v>8577</c:v>
                </c:pt>
                <c:pt idx="744">
                  <c:v>8116</c:v>
                </c:pt>
                <c:pt idx="745">
                  <c:v>6675</c:v>
                </c:pt>
                <c:pt idx="746">
                  <c:v>7771</c:v>
                </c:pt>
                <c:pt idx="747">
                  <c:v>9936</c:v>
                </c:pt>
                <c:pt idx="748">
                  <c:v>6138</c:v>
                </c:pt>
                <c:pt idx="749">
                  <c:v>2677</c:v>
                </c:pt>
                <c:pt idx="750">
                  <c:v>5185</c:v>
                </c:pt>
                <c:pt idx="751">
                  <c:v>7712</c:v>
                </c:pt>
                <c:pt idx="752">
                  <c:v>6087</c:v>
                </c:pt>
                <c:pt idx="753">
                  <c:v>6541</c:v>
                </c:pt>
                <c:pt idx="754">
                  <c:v>9012</c:v>
                </c:pt>
                <c:pt idx="755">
                  <c:v>6007</c:v>
                </c:pt>
                <c:pt idx="756">
                  <c:v>5992</c:v>
                </c:pt>
                <c:pt idx="757">
                  <c:v>8120</c:v>
                </c:pt>
                <c:pt idx="758">
                  <c:v>10643</c:v>
                </c:pt>
                <c:pt idx="759">
                  <c:v>5959</c:v>
                </c:pt>
                <c:pt idx="760">
                  <c:v>9210</c:v>
                </c:pt>
                <c:pt idx="761">
                  <c:v>5048</c:v>
                </c:pt>
                <c:pt idx="762">
                  <c:v>6265</c:v>
                </c:pt>
                <c:pt idx="763">
                  <c:v>10102</c:v>
                </c:pt>
                <c:pt idx="764">
                  <c:v>6360</c:v>
                </c:pt>
                <c:pt idx="765">
                  <c:v>3854</c:v>
                </c:pt>
                <c:pt idx="766">
                  <c:v>5228</c:v>
                </c:pt>
                <c:pt idx="767">
                  <c:v>7520</c:v>
                </c:pt>
                <c:pt idx="768">
                  <c:v>16276</c:v>
                </c:pt>
                <c:pt idx="769">
                  <c:v>11330</c:v>
                </c:pt>
                <c:pt idx="770">
                  <c:v>9721</c:v>
                </c:pt>
                <c:pt idx="771">
                  <c:v>7938</c:v>
                </c:pt>
                <c:pt idx="772">
                  <c:v>5723</c:v>
                </c:pt>
                <c:pt idx="773">
                  <c:v>5913</c:v>
                </c:pt>
                <c:pt idx="774">
                  <c:v>4791</c:v>
                </c:pt>
                <c:pt idx="775">
                  <c:v>13484</c:v>
                </c:pt>
                <c:pt idx="776">
                  <c:v>13321</c:v>
                </c:pt>
                <c:pt idx="777">
                  <c:v>7806</c:v>
                </c:pt>
                <c:pt idx="778">
                  <c:v>10830</c:v>
                </c:pt>
                <c:pt idx="779">
                  <c:v>10269</c:v>
                </c:pt>
                <c:pt idx="780">
                  <c:v>4765</c:v>
                </c:pt>
                <c:pt idx="781">
                  <c:v>8364</c:v>
                </c:pt>
                <c:pt idx="782">
                  <c:v>4519</c:v>
                </c:pt>
                <c:pt idx="783">
                  <c:v>11257</c:v>
                </c:pt>
                <c:pt idx="784">
                  <c:v>3666</c:v>
                </c:pt>
                <c:pt idx="785">
                  <c:v>9973</c:v>
                </c:pt>
                <c:pt idx="786">
                  <c:v>2117</c:v>
                </c:pt>
                <c:pt idx="787">
                  <c:v>7155</c:v>
                </c:pt>
                <c:pt idx="788">
                  <c:v>1872</c:v>
                </c:pt>
                <c:pt idx="789">
                  <c:v>10800</c:v>
                </c:pt>
                <c:pt idx="790">
                  <c:v>1974</c:v>
                </c:pt>
                <c:pt idx="791">
                  <c:v>2310</c:v>
                </c:pt>
                <c:pt idx="792">
                  <c:v>4544</c:v>
                </c:pt>
                <c:pt idx="793">
                  <c:v>3423</c:v>
                </c:pt>
                <c:pt idx="794">
                  <c:v>1627</c:v>
                </c:pt>
                <c:pt idx="795">
                  <c:v>4030</c:v>
                </c:pt>
                <c:pt idx="796">
                  <c:v>3320</c:v>
                </c:pt>
                <c:pt idx="797">
                  <c:v>4191</c:v>
                </c:pt>
                <c:pt idx="798">
                  <c:v>4672</c:v>
                </c:pt>
                <c:pt idx="799">
                  <c:v>2426</c:v>
                </c:pt>
                <c:pt idx="800">
                  <c:v>1892</c:v>
                </c:pt>
                <c:pt idx="801">
                  <c:v>5304</c:v>
                </c:pt>
                <c:pt idx="802">
                  <c:v>10393</c:v>
                </c:pt>
                <c:pt idx="803">
                  <c:v>3809</c:v>
                </c:pt>
                <c:pt idx="804">
                  <c:v>4074</c:v>
                </c:pt>
                <c:pt idx="805">
                  <c:v>11363</c:v>
                </c:pt>
                <c:pt idx="806">
                  <c:v>5583</c:v>
                </c:pt>
                <c:pt idx="807">
                  <c:v>10388</c:v>
                </c:pt>
                <c:pt idx="808">
                  <c:v>6119</c:v>
                </c:pt>
                <c:pt idx="809">
                  <c:v>12317</c:v>
                </c:pt>
                <c:pt idx="810">
                  <c:v>6918</c:v>
                </c:pt>
                <c:pt idx="811">
                  <c:v>1476</c:v>
                </c:pt>
                <c:pt idx="812">
                  <c:v>6968</c:v>
                </c:pt>
                <c:pt idx="813">
                  <c:v>4914</c:v>
                </c:pt>
                <c:pt idx="814">
                  <c:v>4507</c:v>
                </c:pt>
                <c:pt idx="815">
                  <c:v>2176</c:v>
                </c:pt>
                <c:pt idx="816">
                  <c:v>5453</c:v>
                </c:pt>
                <c:pt idx="817">
                  <c:v>8211</c:v>
                </c:pt>
                <c:pt idx="818">
                  <c:v>3924</c:v>
                </c:pt>
                <c:pt idx="819">
                  <c:v>8298</c:v>
                </c:pt>
                <c:pt idx="820">
                  <c:v>9183</c:v>
                </c:pt>
                <c:pt idx="821">
                  <c:v>3968</c:v>
                </c:pt>
                <c:pt idx="822">
                  <c:v>9182</c:v>
                </c:pt>
                <c:pt idx="823">
                  <c:v>6685</c:v>
                </c:pt>
                <c:pt idx="824">
                  <c:v>8717</c:v>
                </c:pt>
                <c:pt idx="825">
                  <c:v>4393</c:v>
                </c:pt>
                <c:pt idx="826">
                  <c:v>2796</c:v>
                </c:pt>
                <c:pt idx="827">
                  <c:v>3159</c:v>
                </c:pt>
                <c:pt idx="828">
                  <c:v>2443</c:v>
                </c:pt>
                <c:pt idx="829">
                  <c:v>2348</c:v>
                </c:pt>
                <c:pt idx="830">
                  <c:v>4297</c:v>
                </c:pt>
                <c:pt idx="831">
                  <c:v>4246</c:v>
                </c:pt>
                <c:pt idx="832">
                  <c:v>7372</c:v>
                </c:pt>
                <c:pt idx="833">
                  <c:v>9908</c:v>
                </c:pt>
                <c:pt idx="834">
                  <c:v>3369</c:v>
                </c:pt>
                <c:pt idx="835">
                  <c:v>2638</c:v>
                </c:pt>
                <c:pt idx="836">
                  <c:v>2491</c:v>
                </c:pt>
                <c:pt idx="837">
                  <c:v>2903</c:v>
                </c:pt>
                <c:pt idx="838">
                  <c:v>3822</c:v>
                </c:pt>
                <c:pt idx="839">
                  <c:v>2990</c:v>
                </c:pt>
                <c:pt idx="840">
                  <c:v>6647</c:v>
                </c:pt>
                <c:pt idx="841">
                  <c:v>3997</c:v>
                </c:pt>
                <c:pt idx="842">
                  <c:v>4575</c:v>
                </c:pt>
                <c:pt idx="843">
                  <c:v>10518</c:v>
                </c:pt>
                <c:pt idx="844">
                  <c:v>8130</c:v>
                </c:pt>
                <c:pt idx="845">
                  <c:v>3549</c:v>
                </c:pt>
                <c:pt idx="846">
                  <c:v>1704</c:v>
                </c:pt>
                <c:pt idx="847">
                  <c:v>3028</c:v>
                </c:pt>
                <c:pt idx="848">
                  <c:v>3421</c:v>
                </c:pt>
                <c:pt idx="849">
                  <c:v>3543</c:v>
                </c:pt>
                <c:pt idx="850">
                  <c:v>4015</c:v>
                </c:pt>
                <c:pt idx="851">
                  <c:v>3725</c:v>
                </c:pt>
                <c:pt idx="852">
                  <c:v>9273</c:v>
                </c:pt>
                <c:pt idx="853">
                  <c:v>11758</c:v>
                </c:pt>
                <c:pt idx="854">
                  <c:v>4133</c:v>
                </c:pt>
                <c:pt idx="855">
                  <c:v>6098</c:v>
                </c:pt>
                <c:pt idx="856">
                  <c:v>11900</c:v>
                </c:pt>
                <c:pt idx="857">
                  <c:v>13793</c:v>
                </c:pt>
                <c:pt idx="858">
                  <c:v>7139</c:v>
                </c:pt>
                <c:pt idx="859">
                  <c:v>6525</c:v>
                </c:pt>
                <c:pt idx="860">
                  <c:v>11667</c:v>
                </c:pt>
                <c:pt idx="861">
                  <c:v>4776</c:v>
                </c:pt>
                <c:pt idx="862">
                  <c:v>7593</c:v>
                </c:pt>
                <c:pt idx="863">
                  <c:v>15345</c:v>
                </c:pt>
                <c:pt idx="864">
                  <c:v>4492</c:v>
                </c:pt>
                <c:pt idx="865">
                  <c:v>13609</c:v>
                </c:pt>
                <c:pt idx="866">
                  <c:v>6007</c:v>
                </c:pt>
                <c:pt idx="867">
                  <c:v>6636</c:v>
                </c:pt>
                <c:pt idx="868">
                  <c:v>13508</c:v>
                </c:pt>
                <c:pt idx="869">
                  <c:v>14344</c:v>
                </c:pt>
                <c:pt idx="870">
                  <c:v>8431</c:v>
                </c:pt>
                <c:pt idx="871">
                  <c:v>4305</c:v>
                </c:pt>
                <c:pt idx="872">
                  <c:v>11257</c:v>
                </c:pt>
                <c:pt idx="873">
                  <c:v>10153</c:v>
                </c:pt>
                <c:pt idx="874">
                  <c:v>13019</c:v>
                </c:pt>
                <c:pt idx="875">
                  <c:v>9693</c:v>
                </c:pt>
                <c:pt idx="876">
                  <c:v>6424</c:v>
                </c:pt>
                <c:pt idx="877">
                  <c:v>5720</c:v>
                </c:pt>
                <c:pt idx="878">
                  <c:v>10528</c:v>
                </c:pt>
                <c:pt idx="879">
                  <c:v>4288</c:v>
                </c:pt>
                <c:pt idx="880">
                  <c:v>11030</c:v>
                </c:pt>
                <c:pt idx="881">
                  <c:v>8828</c:v>
                </c:pt>
                <c:pt idx="882">
                  <c:v>6641</c:v>
                </c:pt>
                <c:pt idx="883">
                  <c:v>6345</c:v>
                </c:pt>
                <c:pt idx="884">
                  <c:v>7259</c:v>
                </c:pt>
                <c:pt idx="885">
                  <c:v>4895</c:v>
                </c:pt>
                <c:pt idx="886">
                  <c:v>6577</c:v>
                </c:pt>
                <c:pt idx="887">
                  <c:v>12065</c:v>
                </c:pt>
                <c:pt idx="888">
                  <c:v>4990</c:v>
                </c:pt>
                <c:pt idx="889">
                  <c:v>6085</c:v>
                </c:pt>
                <c:pt idx="890">
                  <c:v>13940</c:v>
                </c:pt>
                <c:pt idx="891">
                  <c:v>4834</c:v>
                </c:pt>
                <c:pt idx="892">
                  <c:v>8482</c:v>
                </c:pt>
                <c:pt idx="893">
                  <c:v>11250</c:v>
                </c:pt>
                <c:pt idx="894">
                  <c:v>18366</c:v>
                </c:pt>
                <c:pt idx="895">
                  <c:v>10814</c:v>
                </c:pt>
                <c:pt idx="896">
                  <c:v>8821</c:v>
                </c:pt>
                <c:pt idx="897">
                  <c:v>5380</c:v>
                </c:pt>
                <c:pt idx="898">
                  <c:v>5810</c:v>
                </c:pt>
                <c:pt idx="899">
                  <c:v>5475</c:v>
                </c:pt>
                <c:pt idx="900">
                  <c:v>9493</c:v>
                </c:pt>
                <c:pt idx="901">
                  <c:v>3429</c:v>
                </c:pt>
                <c:pt idx="902">
                  <c:v>13613</c:v>
                </c:pt>
                <c:pt idx="903">
                  <c:v>4928</c:v>
                </c:pt>
                <c:pt idx="904">
                  <c:v>7497</c:v>
                </c:pt>
                <c:pt idx="905">
                  <c:v>9573</c:v>
                </c:pt>
                <c:pt idx="906">
                  <c:v>11309</c:v>
                </c:pt>
                <c:pt idx="907">
                  <c:v>5151</c:v>
                </c:pt>
                <c:pt idx="908">
                  <c:v>6119</c:v>
                </c:pt>
                <c:pt idx="909">
                  <c:v>5072</c:v>
                </c:pt>
                <c:pt idx="910">
                  <c:v>6161</c:v>
                </c:pt>
                <c:pt idx="911">
                  <c:v>6827</c:v>
                </c:pt>
                <c:pt idx="912">
                  <c:v>5737</c:v>
                </c:pt>
                <c:pt idx="913">
                  <c:v>5056</c:v>
                </c:pt>
                <c:pt idx="914">
                  <c:v>12167</c:v>
                </c:pt>
                <c:pt idx="915">
                  <c:v>6968</c:v>
                </c:pt>
                <c:pt idx="916">
                  <c:v>7494</c:v>
                </c:pt>
                <c:pt idx="917">
                  <c:v>6457</c:v>
                </c:pt>
                <c:pt idx="918">
                  <c:v>9328</c:v>
                </c:pt>
                <c:pt idx="919">
                  <c:v>9284</c:v>
                </c:pt>
                <c:pt idx="920">
                  <c:v>4172</c:v>
                </c:pt>
                <c:pt idx="921">
                  <c:v>5903</c:v>
                </c:pt>
                <c:pt idx="922">
                  <c:v>4163</c:v>
                </c:pt>
                <c:pt idx="923">
                  <c:v>6032</c:v>
                </c:pt>
                <c:pt idx="924">
                  <c:v>4259</c:v>
                </c:pt>
                <c:pt idx="925">
                  <c:v>5764</c:v>
                </c:pt>
                <c:pt idx="926">
                  <c:v>6173</c:v>
                </c:pt>
                <c:pt idx="927">
                  <c:v>11039</c:v>
                </c:pt>
                <c:pt idx="928">
                  <c:v>5863</c:v>
                </c:pt>
                <c:pt idx="929">
                  <c:v>9737</c:v>
                </c:pt>
                <c:pt idx="930">
                  <c:v>18036</c:v>
                </c:pt>
                <c:pt idx="931">
                  <c:v>12588</c:v>
                </c:pt>
                <c:pt idx="932">
                  <c:v>5106</c:v>
                </c:pt>
                <c:pt idx="933">
                  <c:v>4503</c:v>
                </c:pt>
                <c:pt idx="934">
                  <c:v>7158</c:v>
                </c:pt>
                <c:pt idx="935">
                  <c:v>16686</c:v>
                </c:pt>
                <c:pt idx="936">
                  <c:v>4941</c:v>
                </c:pt>
                <c:pt idx="937">
                  <c:v>6934</c:v>
                </c:pt>
                <c:pt idx="938">
                  <c:v>7864</c:v>
                </c:pt>
                <c:pt idx="939">
                  <c:v>7380</c:v>
                </c:pt>
                <c:pt idx="940">
                  <c:v>10381</c:v>
                </c:pt>
                <c:pt idx="941">
                  <c:v>4552</c:v>
                </c:pt>
                <c:pt idx="942">
                  <c:v>6092</c:v>
                </c:pt>
                <c:pt idx="943">
                  <c:v>6102</c:v>
                </c:pt>
                <c:pt idx="944">
                  <c:v>8747</c:v>
                </c:pt>
                <c:pt idx="945">
                  <c:v>11332</c:v>
                </c:pt>
                <c:pt idx="946">
                  <c:v>20223</c:v>
                </c:pt>
                <c:pt idx="947">
                  <c:v>9018</c:v>
                </c:pt>
                <c:pt idx="948">
                  <c:v>13542</c:v>
                </c:pt>
                <c:pt idx="949">
                  <c:v>8207</c:v>
                </c:pt>
                <c:pt idx="950">
                  <c:v>4127</c:v>
                </c:pt>
                <c:pt idx="951">
                  <c:v>14587</c:v>
                </c:pt>
                <c:pt idx="952">
                  <c:v>8631</c:v>
                </c:pt>
                <c:pt idx="953">
                  <c:v>15986</c:v>
                </c:pt>
                <c:pt idx="954">
                  <c:v>5037</c:v>
                </c:pt>
                <c:pt idx="955">
                  <c:v>19017</c:v>
                </c:pt>
                <c:pt idx="956">
                  <c:v>5653</c:v>
                </c:pt>
                <c:pt idx="957">
                  <c:v>15971</c:v>
                </c:pt>
                <c:pt idx="958">
                  <c:v>5194</c:v>
                </c:pt>
                <c:pt idx="959">
                  <c:v>9108</c:v>
                </c:pt>
                <c:pt idx="960">
                  <c:v>13306</c:v>
                </c:pt>
                <c:pt idx="961">
                  <c:v>8147</c:v>
                </c:pt>
                <c:pt idx="962">
                  <c:v>4825</c:v>
                </c:pt>
                <c:pt idx="963">
                  <c:v>11579</c:v>
                </c:pt>
                <c:pt idx="964">
                  <c:v>14503</c:v>
                </c:pt>
                <c:pt idx="965">
                  <c:v>11036</c:v>
                </c:pt>
                <c:pt idx="966">
                  <c:v>15897</c:v>
                </c:pt>
                <c:pt idx="967">
                  <c:v>17343</c:v>
                </c:pt>
                <c:pt idx="968">
                  <c:v>5524</c:v>
                </c:pt>
                <c:pt idx="969">
                  <c:v>3281</c:v>
                </c:pt>
                <c:pt idx="970">
                  <c:v>4649</c:v>
                </c:pt>
                <c:pt idx="971">
                  <c:v>9473</c:v>
                </c:pt>
                <c:pt idx="972">
                  <c:v>5485</c:v>
                </c:pt>
                <c:pt idx="973">
                  <c:v>6937</c:v>
                </c:pt>
                <c:pt idx="974">
                  <c:v>9802</c:v>
                </c:pt>
                <c:pt idx="975">
                  <c:v>4270</c:v>
                </c:pt>
                <c:pt idx="976">
                  <c:v>19384</c:v>
                </c:pt>
                <c:pt idx="977">
                  <c:v>7485</c:v>
                </c:pt>
                <c:pt idx="978">
                  <c:v>18867</c:v>
                </c:pt>
                <c:pt idx="979">
                  <c:v>6548</c:v>
                </c:pt>
                <c:pt idx="980">
                  <c:v>18330</c:v>
                </c:pt>
                <c:pt idx="981">
                  <c:v>4106</c:v>
                </c:pt>
                <c:pt idx="982">
                  <c:v>6500</c:v>
                </c:pt>
                <c:pt idx="983">
                  <c:v>9448</c:v>
                </c:pt>
                <c:pt idx="984">
                  <c:v>8091</c:v>
                </c:pt>
                <c:pt idx="985">
                  <c:v>9470</c:v>
                </c:pt>
                <c:pt idx="986">
                  <c:v>10084</c:v>
                </c:pt>
                <c:pt idx="987">
                  <c:v>11170</c:v>
                </c:pt>
                <c:pt idx="988">
                  <c:v>6607</c:v>
                </c:pt>
                <c:pt idx="989">
                  <c:v>6175</c:v>
                </c:pt>
                <c:pt idx="990">
                  <c:v>6911</c:v>
                </c:pt>
                <c:pt idx="991">
                  <c:v>9268</c:v>
                </c:pt>
                <c:pt idx="992">
                  <c:v>2678</c:v>
                </c:pt>
                <c:pt idx="993">
                  <c:v>5141</c:v>
                </c:pt>
                <c:pt idx="994">
                  <c:v>6752</c:v>
                </c:pt>
                <c:pt idx="995">
                  <c:v>7023</c:v>
                </c:pt>
                <c:pt idx="996">
                  <c:v>18356</c:v>
                </c:pt>
                <c:pt idx="997">
                  <c:v>15637</c:v>
                </c:pt>
                <c:pt idx="998">
                  <c:v>6448</c:v>
                </c:pt>
                <c:pt idx="999">
                  <c:v>13384</c:v>
                </c:pt>
                <c:pt idx="1000">
                  <c:v>8904</c:v>
                </c:pt>
                <c:pt idx="1001">
                  <c:v>6253</c:v>
                </c:pt>
                <c:pt idx="1002">
                  <c:v>15508</c:v>
                </c:pt>
                <c:pt idx="1003">
                  <c:v>7579</c:v>
                </c:pt>
                <c:pt idx="1004">
                  <c:v>18775</c:v>
                </c:pt>
                <c:pt idx="1005">
                  <c:v>5857</c:v>
                </c:pt>
                <c:pt idx="1006">
                  <c:v>14188</c:v>
                </c:pt>
                <c:pt idx="1007">
                  <c:v>6232</c:v>
                </c:pt>
                <c:pt idx="1008">
                  <c:v>14585</c:v>
                </c:pt>
                <c:pt idx="1009">
                  <c:v>8408</c:v>
                </c:pt>
                <c:pt idx="1010">
                  <c:v>13256</c:v>
                </c:pt>
                <c:pt idx="1011">
                  <c:v>5429</c:v>
                </c:pt>
                <c:pt idx="1012">
                  <c:v>14745</c:v>
                </c:pt>
                <c:pt idx="1013">
                  <c:v>10223</c:v>
                </c:pt>
                <c:pt idx="1014">
                  <c:v>6070</c:v>
                </c:pt>
                <c:pt idx="1015">
                  <c:v>6037</c:v>
                </c:pt>
                <c:pt idx="1016">
                  <c:v>5550</c:v>
                </c:pt>
                <c:pt idx="1017">
                  <c:v>6991</c:v>
                </c:pt>
                <c:pt idx="1018">
                  <c:v>12949</c:v>
                </c:pt>
                <c:pt idx="1019">
                  <c:v>6632</c:v>
                </c:pt>
                <c:pt idx="1020">
                  <c:v>12222</c:v>
                </c:pt>
                <c:pt idx="1021">
                  <c:v>5788</c:v>
                </c:pt>
                <c:pt idx="1022">
                  <c:v>26410</c:v>
                </c:pt>
                <c:pt idx="1023">
                  <c:v>8932</c:v>
                </c:pt>
                <c:pt idx="1024">
                  <c:v>7014</c:v>
                </c:pt>
                <c:pt idx="1025">
                  <c:v>5752</c:v>
                </c:pt>
                <c:pt idx="1026">
                  <c:v>9005</c:v>
                </c:pt>
                <c:pt idx="1027">
                  <c:v>5783</c:v>
                </c:pt>
                <c:pt idx="1028">
                  <c:v>16262</c:v>
                </c:pt>
                <c:pt idx="1029">
                  <c:v>14551</c:v>
                </c:pt>
                <c:pt idx="1030">
                  <c:v>15004</c:v>
                </c:pt>
                <c:pt idx="1031">
                  <c:v>16884</c:v>
                </c:pt>
                <c:pt idx="1032">
                  <c:v>7619</c:v>
                </c:pt>
                <c:pt idx="1033">
                  <c:v>20805</c:v>
                </c:pt>
                <c:pt idx="1034">
                  <c:v>3578</c:v>
                </c:pt>
                <c:pt idx="1035">
                  <c:v>8079</c:v>
                </c:pt>
                <c:pt idx="1036">
                  <c:v>9789</c:v>
                </c:pt>
                <c:pt idx="1037">
                  <c:v>9772</c:v>
                </c:pt>
                <c:pt idx="1038">
                  <c:v>11082</c:v>
                </c:pt>
                <c:pt idx="1039">
                  <c:v>8909</c:v>
                </c:pt>
                <c:pt idx="1040">
                  <c:v>23310</c:v>
                </c:pt>
                <c:pt idx="1041">
                  <c:v>11646</c:v>
                </c:pt>
                <c:pt idx="1042">
                  <c:v>19317</c:v>
                </c:pt>
                <c:pt idx="1043">
                  <c:v>16310</c:v>
                </c:pt>
                <c:pt idx="1044">
                  <c:v>15100</c:v>
                </c:pt>
                <c:pt idx="1045">
                  <c:v>17985</c:v>
                </c:pt>
                <c:pt idx="1046">
                  <c:v>7620</c:v>
                </c:pt>
                <c:pt idx="1047">
                  <c:v>10164</c:v>
                </c:pt>
                <c:pt idx="1048">
                  <c:v>8400</c:v>
                </c:pt>
                <c:pt idx="1049">
                  <c:v>19366</c:v>
                </c:pt>
                <c:pt idx="1050">
                  <c:v>7958</c:v>
                </c:pt>
                <c:pt idx="1051">
                  <c:v>15291</c:v>
                </c:pt>
              </c:numCache>
            </c:numRef>
          </c:val>
          <c:extLst>
            <c:ext xmlns:c16="http://schemas.microsoft.com/office/drawing/2014/chart" uri="{C3380CC4-5D6E-409C-BE32-E72D297353CC}">
              <c16:uniqueId val="{00000000-E4F4-424E-AD2B-8FE8E2CFC2B1}"/>
            </c:ext>
          </c:extLst>
        </c:ser>
        <c:dLbls>
          <c:showLegendKey val="0"/>
          <c:showVal val="0"/>
          <c:showCatName val="0"/>
          <c:showSerName val="0"/>
          <c:showPercent val="0"/>
          <c:showBubbleSize val="0"/>
        </c:dLbls>
        <c:gapWidth val="219"/>
        <c:overlap val="-27"/>
        <c:axId val="1573400944"/>
        <c:axId val="1838331216"/>
      </c:barChart>
      <c:catAx>
        <c:axId val="157340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331216"/>
        <c:crosses val="autoZero"/>
        <c:auto val="1"/>
        <c:lblAlgn val="ctr"/>
        <c:lblOffset val="100"/>
        <c:noMultiLvlLbl val="0"/>
      </c:catAx>
      <c:valAx>
        <c:axId val="1838331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40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xdr:col>
      <xdr:colOff>0</xdr:colOff>
      <xdr:row>9</xdr:row>
      <xdr:rowOff>0</xdr:rowOff>
    </xdr:from>
    <xdr:to>
      <xdr:col>7</xdr:col>
      <xdr:colOff>601980</xdr:colOff>
      <xdr:row>22</xdr:row>
      <xdr:rowOff>15240</xdr:rowOff>
    </xdr:to>
    <xdr:graphicFrame macro="">
      <xdr:nvGraphicFramePr>
        <xdr:cNvPr id="2" name="Chart 1">
          <a:extLst>
            <a:ext uri="{FF2B5EF4-FFF2-40B4-BE49-F238E27FC236}">
              <a16:creationId xmlns:a16="http://schemas.microsoft.com/office/drawing/2014/main" id="{FCC4A4DE-C8A4-4DBD-9D84-71A71AC3DE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419100</xdr:colOff>
      <xdr:row>9</xdr:row>
      <xdr:rowOff>0</xdr:rowOff>
    </xdr:from>
    <xdr:to>
      <xdr:col>14</xdr:col>
      <xdr:colOff>594360</xdr:colOff>
      <xdr:row>21</xdr:row>
      <xdr:rowOff>167640</xdr:rowOff>
    </xdr:to>
    <xdr:graphicFrame macro="">
      <xdr:nvGraphicFramePr>
        <xdr:cNvPr id="3" name="Chart 2">
          <a:extLst>
            <a:ext uri="{FF2B5EF4-FFF2-40B4-BE49-F238E27FC236}">
              <a16:creationId xmlns:a16="http://schemas.microsoft.com/office/drawing/2014/main" id="{EE1DA49C-4D05-4496-841C-9CF9C1BA3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23</xdr:row>
      <xdr:rowOff>0</xdr:rowOff>
    </xdr:from>
    <xdr:to>
      <xdr:col>8</xdr:col>
      <xdr:colOff>22860</xdr:colOff>
      <xdr:row>35</xdr:row>
      <xdr:rowOff>144780</xdr:rowOff>
    </xdr:to>
    <xdr:graphicFrame macro="">
      <xdr:nvGraphicFramePr>
        <xdr:cNvPr id="4" name="Chart 3">
          <a:extLst>
            <a:ext uri="{FF2B5EF4-FFF2-40B4-BE49-F238E27FC236}">
              <a16:creationId xmlns:a16="http://schemas.microsoft.com/office/drawing/2014/main" id="{C6AAA7E5-C7CF-4536-8142-2681902F26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426720</xdr:colOff>
      <xdr:row>22</xdr:row>
      <xdr:rowOff>175260</xdr:rowOff>
    </xdr:from>
    <xdr:to>
      <xdr:col>14</xdr:col>
      <xdr:colOff>594360</xdr:colOff>
      <xdr:row>35</xdr:row>
      <xdr:rowOff>137160</xdr:rowOff>
    </xdr:to>
    <xdr:graphicFrame macro="">
      <xdr:nvGraphicFramePr>
        <xdr:cNvPr id="5" name="Chart 4">
          <a:extLst>
            <a:ext uri="{FF2B5EF4-FFF2-40B4-BE49-F238E27FC236}">
              <a16:creationId xmlns:a16="http://schemas.microsoft.com/office/drawing/2014/main" id="{06344437-74D9-40FC-965F-E3C3C53EF0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37</xdr:row>
      <xdr:rowOff>0</xdr:rowOff>
    </xdr:from>
    <xdr:to>
      <xdr:col>8</xdr:col>
      <xdr:colOff>0</xdr:colOff>
      <xdr:row>50</xdr:row>
      <xdr:rowOff>0</xdr:rowOff>
    </xdr:to>
    <xdr:graphicFrame macro="">
      <xdr:nvGraphicFramePr>
        <xdr:cNvPr id="6" name="Chart 5">
          <a:extLst>
            <a:ext uri="{FF2B5EF4-FFF2-40B4-BE49-F238E27FC236}">
              <a16:creationId xmlns:a16="http://schemas.microsoft.com/office/drawing/2014/main" id="{5BE7FDB7-8E42-4864-A2CC-6E42626431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53340</xdr:colOff>
      <xdr:row>23</xdr:row>
      <xdr:rowOff>114300</xdr:rowOff>
    </xdr:from>
    <xdr:to>
      <xdr:col>22</xdr:col>
      <xdr:colOff>53340</xdr:colOff>
      <xdr:row>37</xdr:row>
      <xdr:rowOff>20955</xdr:rowOff>
    </xdr:to>
    <mc:AlternateContent xmlns:mc="http://schemas.openxmlformats.org/markup-compatibility/2006">
      <mc:Choice xmlns:a14="http://schemas.microsoft.com/office/drawing/2010/main" Requires="a14">
        <xdr:graphicFrame macro="">
          <xdr:nvGraphicFramePr>
            <xdr:cNvPr id="7" name="Total Sales 1">
              <a:extLst>
                <a:ext uri="{FF2B5EF4-FFF2-40B4-BE49-F238E27FC236}">
                  <a16:creationId xmlns:a16="http://schemas.microsoft.com/office/drawing/2014/main" id="{EFA8DC1A-D31C-43ED-B32A-B068D7E28AE8}"/>
                </a:ext>
              </a:extLst>
            </xdr:cNvPr>
            <xdr:cNvGraphicFramePr/>
          </xdr:nvGraphicFramePr>
          <xdr:xfrm>
            <a:off x="0" y="0"/>
            <a:ext cx="0" cy="0"/>
          </xdr:xfrm>
          <a:graphic>
            <a:graphicData uri="http://schemas.microsoft.com/office/drawing/2010/slicer">
              <sle:slicer xmlns:sle="http://schemas.microsoft.com/office/drawing/2010/slicer" name="Total Sales 1"/>
            </a:graphicData>
          </a:graphic>
        </xdr:graphicFrame>
      </mc:Choice>
      <mc:Fallback>
        <xdr:sp macro="" textlink="">
          <xdr:nvSpPr>
            <xdr:cNvPr id="0" name=""/>
            <xdr:cNvSpPr>
              <a:spLocks noTextEdit="1"/>
            </xdr:cNvSpPr>
          </xdr:nvSpPr>
          <xdr:spPr>
            <a:xfrm>
              <a:off x="11635740" y="4838700"/>
              <a:ext cx="1828800" cy="253262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53340</xdr:colOff>
      <xdr:row>38</xdr:row>
      <xdr:rowOff>7620</xdr:rowOff>
    </xdr:from>
    <xdr:to>
      <xdr:col>22</xdr:col>
      <xdr:colOff>53340</xdr:colOff>
      <xdr:row>51</xdr:row>
      <xdr:rowOff>97155</xdr:rowOff>
    </xdr:to>
    <mc:AlternateContent xmlns:mc="http://schemas.openxmlformats.org/markup-compatibility/2006">
      <mc:Choice xmlns:a14="http://schemas.microsoft.com/office/drawing/2010/main" Requires="a14">
        <xdr:graphicFrame macro="">
          <xdr:nvGraphicFramePr>
            <xdr:cNvPr id="8" name="Total Cost Of Sales 1">
              <a:extLst>
                <a:ext uri="{FF2B5EF4-FFF2-40B4-BE49-F238E27FC236}">
                  <a16:creationId xmlns:a16="http://schemas.microsoft.com/office/drawing/2014/main" id="{F36239D2-45A8-42EC-BECC-CF224F149D20}"/>
                </a:ext>
              </a:extLst>
            </xdr:cNvPr>
            <xdr:cNvGraphicFramePr/>
          </xdr:nvGraphicFramePr>
          <xdr:xfrm>
            <a:off x="0" y="0"/>
            <a:ext cx="0" cy="0"/>
          </xdr:xfrm>
          <a:graphic>
            <a:graphicData uri="http://schemas.microsoft.com/office/drawing/2010/slicer">
              <sle:slicer xmlns:sle="http://schemas.microsoft.com/office/drawing/2010/slicer" name="Total Cost Of Sales 1"/>
            </a:graphicData>
          </a:graphic>
        </xdr:graphicFrame>
      </mc:Choice>
      <mc:Fallback>
        <xdr:sp macro="" textlink="">
          <xdr:nvSpPr>
            <xdr:cNvPr id="0" name=""/>
            <xdr:cNvSpPr>
              <a:spLocks noTextEdit="1"/>
            </xdr:cNvSpPr>
          </xdr:nvSpPr>
          <xdr:spPr>
            <a:xfrm>
              <a:off x="11635740" y="7545558"/>
              <a:ext cx="1828800" cy="252793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15240</xdr:colOff>
      <xdr:row>38</xdr:row>
      <xdr:rowOff>38100</xdr:rowOff>
    </xdr:from>
    <xdr:to>
      <xdr:col>19</xdr:col>
      <xdr:colOff>15240</xdr:colOff>
      <xdr:row>51</xdr:row>
      <xdr:rowOff>127635</xdr:rowOff>
    </xdr:to>
    <mc:AlternateContent xmlns:mc="http://schemas.openxmlformats.org/markup-compatibility/2006">
      <mc:Choice xmlns:a14="http://schemas.microsoft.com/office/drawing/2010/main" Requires="a14">
        <xdr:graphicFrame macro="">
          <xdr:nvGraphicFramePr>
            <xdr:cNvPr id="9" name="Total Quantity Sold 1">
              <a:extLst>
                <a:ext uri="{FF2B5EF4-FFF2-40B4-BE49-F238E27FC236}">
                  <a16:creationId xmlns:a16="http://schemas.microsoft.com/office/drawing/2014/main" id="{E65FAA96-40F8-434E-A91E-78F1DE6C63D7}"/>
                </a:ext>
              </a:extLst>
            </xdr:cNvPr>
            <xdr:cNvGraphicFramePr/>
          </xdr:nvGraphicFramePr>
          <xdr:xfrm>
            <a:off x="0" y="0"/>
            <a:ext cx="0" cy="0"/>
          </xdr:xfrm>
          <a:graphic>
            <a:graphicData uri="http://schemas.microsoft.com/office/drawing/2010/slicer">
              <sle:slicer xmlns:sle="http://schemas.microsoft.com/office/drawing/2010/slicer" name="Total Quantity Sold 1"/>
            </a:graphicData>
          </a:graphic>
        </xdr:graphicFrame>
      </mc:Choice>
      <mc:Fallback>
        <xdr:sp macro="" textlink="">
          <xdr:nvSpPr>
            <xdr:cNvPr id="0" name=""/>
            <xdr:cNvSpPr>
              <a:spLocks noTextEdit="1"/>
            </xdr:cNvSpPr>
          </xdr:nvSpPr>
          <xdr:spPr>
            <a:xfrm>
              <a:off x="9768840" y="7576038"/>
              <a:ext cx="1828800" cy="252793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586740</xdr:colOff>
      <xdr:row>23</xdr:row>
      <xdr:rowOff>114300</xdr:rowOff>
    </xdr:from>
    <xdr:to>
      <xdr:col>18</xdr:col>
      <xdr:colOff>586740</xdr:colOff>
      <xdr:row>37</xdr:row>
      <xdr:rowOff>20955</xdr:rowOff>
    </xdr:to>
    <mc:AlternateContent xmlns:mc="http://schemas.openxmlformats.org/markup-compatibility/2006">
      <mc:Choice xmlns:a14="http://schemas.microsoft.com/office/drawing/2010/main" Requires="a14">
        <xdr:graphicFrame macro="">
          <xdr:nvGraphicFramePr>
            <xdr:cNvPr id="10" name="Average Unit Price 1">
              <a:extLst>
                <a:ext uri="{FF2B5EF4-FFF2-40B4-BE49-F238E27FC236}">
                  <a16:creationId xmlns:a16="http://schemas.microsoft.com/office/drawing/2014/main" id="{47505B8A-6E29-48B1-9007-079F9A9E164F}"/>
                </a:ext>
              </a:extLst>
            </xdr:cNvPr>
            <xdr:cNvGraphicFramePr/>
          </xdr:nvGraphicFramePr>
          <xdr:xfrm>
            <a:off x="0" y="0"/>
            <a:ext cx="0" cy="0"/>
          </xdr:xfrm>
          <a:graphic>
            <a:graphicData uri="http://schemas.microsoft.com/office/drawing/2010/slicer">
              <sle:slicer xmlns:sle="http://schemas.microsoft.com/office/drawing/2010/slicer" name="Average Unit Price 1"/>
            </a:graphicData>
          </a:graphic>
        </xdr:graphicFrame>
      </mc:Choice>
      <mc:Fallback>
        <xdr:sp macro="" textlink="">
          <xdr:nvSpPr>
            <xdr:cNvPr id="0" name=""/>
            <xdr:cNvSpPr>
              <a:spLocks noTextEdit="1"/>
            </xdr:cNvSpPr>
          </xdr:nvSpPr>
          <xdr:spPr>
            <a:xfrm>
              <a:off x="9730740" y="4838700"/>
              <a:ext cx="1828800" cy="253262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9</xdr:row>
      <xdr:rowOff>0</xdr:rowOff>
    </xdr:from>
    <xdr:to>
      <xdr:col>19</xdr:col>
      <xdr:colOff>0</xdr:colOff>
      <xdr:row>22</xdr:row>
      <xdr:rowOff>89535</xdr:rowOff>
    </xdr:to>
    <mc:AlternateContent xmlns:mc="http://schemas.openxmlformats.org/markup-compatibility/2006">
      <mc:Choice xmlns:a14="http://schemas.microsoft.com/office/drawing/2010/main" Requires="a14">
        <xdr:graphicFrame macro="">
          <xdr:nvGraphicFramePr>
            <xdr:cNvPr id="11" name="Gross Profit 1">
              <a:extLst>
                <a:ext uri="{FF2B5EF4-FFF2-40B4-BE49-F238E27FC236}">
                  <a16:creationId xmlns:a16="http://schemas.microsoft.com/office/drawing/2014/main" id="{C195A10C-EB98-4A87-AF20-93E01C18D184}"/>
                </a:ext>
              </a:extLst>
            </xdr:cNvPr>
            <xdr:cNvGraphicFramePr/>
          </xdr:nvGraphicFramePr>
          <xdr:xfrm>
            <a:off x="0" y="0"/>
            <a:ext cx="0" cy="0"/>
          </xdr:xfrm>
          <a:graphic>
            <a:graphicData uri="http://schemas.microsoft.com/office/drawing/2010/slicer">
              <sle:slicer xmlns:sle="http://schemas.microsoft.com/office/drawing/2010/slicer" name="Gross Profit 1"/>
            </a:graphicData>
          </a:graphic>
        </xdr:graphicFrame>
      </mc:Choice>
      <mc:Fallback>
        <xdr:sp macro="" textlink="">
          <xdr:nvSpPr>
            <xdr:cNvPr id="0" name=""/>
            <xdr:cNvSpPr>
              <a:spLocks noTextEdit="1"/>
            </xdr:cNvSpPr>
          </xdr:nvSpPr>
          <xdr:spPr>
            <a:xfrm>
              <a:off x="9753600" y="2098431"/>
              <a:ext cx="1828800" cy="252793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60960</xdr:colOff>
      <xdr:row>9</xdr:row>
      <xdr:rowOff>0</xdr:rowOff>
    </xdr:from>
    <xdr:to>
      <xdr:col>22</xdr:col>
      <xdr:colOff>60960</xdr:colOff>
      <xdr:row>22</xdr:row>
      <xdr:rowOff>89535</xdr:rowOff>
    </xdr:to>
    <mc:AlternateContent xmlns:mc="http://schemas.openxmlformats.org/markup-compatibility/2006">
      <mc:Choice xmlns:a14="http://schemas.microsoft.com/office/drawing/2010/main" Requires="a14">
        <xdr:graphicFrame macro="">
          <xdr:nvGraphicFramePr>
            <xdr:cNvPr id="12" name="Years (Month) 1">
              <a:extLst>
                <a:ext uri="{FF2B5EF4-FFF2-40B4-BE49-F238E27FC236}">
                  <a16:creationId xmlns:a16="http://schemas.microsoft.com/office/drawing/2014/main" id="{477865D3-75A5-48D0-B575-C134C7715B89}"/>
                </a:ext>
              </a:extLst>
            </xdr:cNvPr>
            <xdr:cNvGraphicFramePr/>
          </xdr:nvGraphicFramePr>
          <xdr:xfrm>
            <a:off x="0" y="0"/>
            <a:ext cx="0" cy="0"/>
          </xdr:xfrm>
          <a:graphic>
            <a:graphicData uri="http://schemas.microsoft.com/office/drawing/2010/slicer">
              <sle:slicer xmlns:sle="http://schemas.microsoft.com/office/drawing/2010/slicer" name="Years (Month) 1"/>
            </a:graphicData>
          </a:graphic>
        </xdr:graphicFrame>
      </mc:Choice>
      <mc:Fallback>
        <xdr:sp macro="" textlink="">
          <xdr:nvSpPr>
            <xdr:cNvPr id="0" name=""/>
            <xdr:cNvSpPr>
              <a:spLocks noTextEdit="1"/>
            </xdr:cNvSpPr>
          </xdr:nvSpPr>
          <xdr:spPr>
            <a:xfrm>
              <a:off x="11643360" y="2098431"/>
              <a:ext cx="1828800" cy="252793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128367</xdr:colOff>
      <xdr:row>37</xdr:row>
      <xdr:rowOff>184638</xdr:rowOff>
    </xdr:from>
    <xdr:to>
      <xdr:col>25</xdr:col>
      <xdr:colOff>128367</xdr:colOff>
      <xdr:row>51</xdr:row>
      <xdr:rowOff>91293</xdr:rowOff>
    </xdr:to>
    <mc:AlternateContent xmlns:mc="http://schemas.openxmlformats.org/markup-compatibility/2006">
      <mc:Choice xmlns:a14="http://schemas.microsoft.com/office/drawing/2010/main" Requires="a14">
        <xdr:graphicFrame macro="">
          <xdr:nvGraphicFramePr>
            <xdr:cNvPr id="13" name="Sales 1">
              <a:extLst>
                <a:ext uri="{FF2B5EF4-FFF2-40B4-BE49-F238E27FC236}">
                  <a16:creationId xmlns:a16="http://schemas.microsoft.com/office/drawing/2014/main" id="{8C68E860-2B05-4FAB-8A84-46136373672F}"/>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dr:sp macro="" textlink="">
          <xdr:nvSpPr>
            <xdr:cNvPr id="0" name=""/>
            <xdr:cNvSpPr>
              <a:spLocks noTextEdit="1"/>
            </xdr:cNvSpPr>
          </xdr:nvSpPr>
          <xdr:spPr>
            <a:xfrm>
              <a:off x="13539567" y="7535007"/>
              <a:ext cx="1828800" cy="253262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91440</xdr:colOff>
      <xdr:row>23</xdr:row>
      <xdr:rowOff>91440</xdr:rowOff>
    </xdr:from>
    <xdr:to>
      <xdr:col>25</xdr:col>
      <xdr:colOff>91440</xdr:colOff>
      <xdr:row>36</xdr:row>
      <xdr:rowOff>180975</xdr:rowOff>
    </xdr:to>
    <mc:AlternateContent xmlns:mc="http://schemas.openxmlformats.org/markup-compatibility/2006">
      <mc:Choice xmlns:a14="http://schemas.microsoft.com/office/drawing/2010/main" Requires="a14">
        <xdr:graphicFrame macro="">
          <xdr:nvGraphicFramePr>
            <xdr:cNvPr id="14" name="Cost Of Sales 1">
              <a:extLst>
                <a:ext uri="{FF2B5EF4-FFF2-40B4-BE49-F238E27FC236}">
                  <a16:creationId xmlns:a16="http://schemas.microsoft.com/office/drawing/2014/main" id="{A602098D-E10F-4C7E-B8DE-72C3950A8079}"/>
                </a:ext>
              </a:extLst>
            </xdr:cNvPr>
            <xdr:cNvGraphicFramePr/>
          </xdr:nvGraphicFramePr>
          <xdr:xfrm>
            <a:off x="0" y="0"/>
            <a:ext cx="0" cy="0"/>
          </xdr:xfrm>
          <a:graphic>
            <a:graphicData uri="http://schemas.microsoft.com/office/drawing/2010/slicer">
              <sle:slicer xmlns:sle="http://schemas.microsoft.com/office/drawing/2010/slicer" name="Cost Of Sales 1"/>
            </a:graphicData>
          </a:graphic>
        </xdr:graphicFrame>
      </mc:Choice>
      <mc:Fallback>
        <xdr:sp macro="" textlink="">
          <xdr:nvSpPr>
            <xdr:cNvPr id="0" name=""/>
            <xdr:cNvSpPr>
              <a:spLocks noTextEdit="1"/>
            </xdr:cNvSpPr>
          </xdr:nvSpPr>
          <xdr:spPr>
            <a:xfrm>
              <a:off x="13502640" y="4815840"/>
              <a:ext cx="1828800" cy="252793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175260</xdr:colOff>
      <xdr:row>9</xdr:row>
      <xdr:rowOff>30480</xdr:rowOff>
    </xdr:from>
    <xdr:to>
      <xdr:col>28</xdr:col>
      <xdr:colOff>175260</xdr:colOff>
      <xdr:row>22</xdr:row>
      <xdr:rowOff>120015</xdr:rowOff>
    </xdr:to>
    <mc:AlternateContent xmlns:mc="http://schemas.openxmlformats.org/markup-compatibility/2006">
      <mc:Choice xmlns:a14="http://schemas.microsoft.com/office/drawing/2010/main" Requires="a14">
        <xdr:graphicFrame macro="">
          <xdr:nvGraphicFramePr>
            <xdr:cNvPr id="15" name="Quantity Sold 1">
              <a:extLst>
                <a:ext uri="{FF2B5EF4-FFF2-40B4-BE49-F238E27FC236}">
                  <a16:creationId xmlns:a16="http://schemas.microsoft.com/office/drawing/2014/main" id="{A08C0162-0226-4F20-9A61-3C5DF385DEA4}"/>
                </a:ext>
              </a:extLst>
            </xdr:cNvPr>
            <xdr:cNvGraphicFramePr/>
          </xdr:nvGraphicFramePr>
          <xdr:xfrm>
            <a:off x="0" y="0"/>
            <a:ext cx="0" cy="0"/>
          </xdr:xfrm>
          <a:graphic>
            <a:graphicData uri="http://schemas.microsoft.com/office/drawing/2010/slicer">
              <sle:slicer xmlns:sle="http://schemas.microsoft.com/office/drawing/2010/slicer" name="Quantity Sold 1"/>
            </a:graphicData>
          </a:graphic>
        </xdr:graphicFrame>
      </mc:Choice>
      <mc:Fallback>
        <xdr:sp macro="" textlink="">
          <xdr:nvSpPr>
            <xdr:cNvPr id="0" name=""/>
            <xdr:cNvSpPr>
              <a:spLocks noTextEdit="1"/>
            </xdr:cNvSpPr>
          </xdr:nvSpPr>
          <xdr:spPr>
            <a:xfrm>
              <a:off x="15415260" y="2128911"/>
              <a:ext cx="1828800" cy="252793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121920</xdr:colOff>
      <xdr:row>9</xdr:row>
      <xdr:rowOff>38100</xdr:rowOff>
    </xdr:from>
    <xdr:to>
      <xdr:col>25</xdr:col>
      <xdr:colOff>121920</xdr:colOff>
      <xdr:row>22</xdr:row>
      <xdr:rowOff>127635</xdr:rowOff>
    </xdr:to>
    <mc:AlternateContent xmlns:mc="http://schemas.openxmlformats.org/markup-compatibility/2006">
      <mc:Choice xmlns:a14="http://schemas.microsoft.com/office/drawing/2010/main" Requires="a14">
        <xdr:graphicFrame macro="">
          <xdr:nvGraphicFramePr>
            <xdr:cNvPr id="16" name="Years (Date) 1">
              <a:extLst>
                <a:ext uri="{FF2B5EF4-FFF2-40B4-BE49-F238E27FC236}">
                  <a16:creationId xmlns:a16="http://schemas.microsoft.com/office/drawing/2014/main" id="{8B7ECEFC-C2A4-491F-9773-81641D6292F9}"/>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dr:sp macro="" textlink="">
          <xdr:nvSpPr>
            <xdr:cNvPr id="0" name=""/>
            <xdr:cNvSpPr>
              <a:spLocks noTextEdit="1"/>
            </xdr:cNvSpPr>
          </xdr:nvSpPr>
          <xdr:spPr>
            <a:xfrm>
              <a:off x="13533120" y="2136531"/>
              <a:ext cx="1828800" cy="252793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247650</xdr:colOff>
      <xdr:row>1</xdr:row>
      <xdr:rowOff>125730</xdr:rowOff>
    </xdr:from>
    <xdr:to>
      <xdr:col>9</xdr:col>
      <xdr:colOff>552450</xdr:colOff>
      <xdr:row>16</xdr:row>
      <xdr:rowOff>125730</xdr:rowOff>
    </xdr:to>
    <xdr:graphicFrame macro="">
      <xdr:nvGraphicFramePr>
        <xdr:cNvPr id="2" name="Chart 1">
          <a:extLst>
            <a:ext uri="{FF2B5EF4-FFF2-40B4-BE49-F238E27FC236}">
              <a16:creationId xmlns:a16="http://schemas.microsoft.com/office/drawing/2014/main" id="{D1022A9F-7587-8B33-8B74-3AB3666E17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179070</xdr:colOff>
      <xdr:row>18</xdr:row>
      <xdr:rowOff>156210</xdr:rowOff>
    </xdr:from>
    <xdr:to>
      <xdr:col>8</xdr:col>
      <xdr:colOff>64770</xdr:colOff>
      <xdr:row>33</xdr:row>
      <xdr:rowOff>156210</xdr:rowOff>
    </xdr:to>
    <xdr:graphicFrame macro="">
      <xdr:nvGraphicFramePr>
        <xdr:cNvPr id="3" name="Chart 2">
          <a:extLst>
            <a:ext uri="{FF2B5EF4-FFF2-40B4-BE49-F238E27FC236}">
              <a16:creationId xmlns:a16="http://schemas.microsoft.com/office/drawing/2014/main" id="{BEDE4085-C5AA-21B9-2C0D-1CFA0D0C6D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102870</xdr:colOff>
      <xdr:row>35</xdr:row>
      <xdr:rowOff>163830</xdr:rowOff>
    </xdr:from>
    <xdr:to>
      <xdr:col>8</xdr:col>
      <xdr:colOff>350520</xdr:colOff>
      <xdr:row>50</xdr:row>
      <xdr:rowOff>163830</xdr:rowOff>
    </xdr:to>
    <xdr:graphicFrame macro="">
      <xdr:nvGraphicFramePr>
        <xdr:cNvPr id="4" name="Chart 3">
          <a:extLst>
            <a:ext uri="{FF2B5EF4-FFF2-40B4-BE49-F238E27FC236}">
              <a16:creationId xmlns:a16="http://schemas.microsoft.com/office/drawing/2014/main" id="{703B9E37-1DCF-DA15-2A49-9709CB7C1F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194310</xdr:colOff>
      <xdr:row>52</xdr:row>
      <xdr:rowOff>87630</xdr:rowOff>
    </xdr:from>
    <xdr:to>
      <xdr:col>8</xdr:col>
      <xdr:colOff>125730</xdr:colOff>
      <xdr:row>67</xdr:row>
      <xdr:rowOff>87630</xdr:rowOff>
    </xdr:to>
    <xdr:graphicFrame macro="">
      <xdr:nvGraphicFramePr>
        <xdr:cNvPr id="5" name="Chart 4">
          <a:extLst>
            <a:ext uri="{FF2B5EF4-FFF2-40B4-BE49-F238E27FC236}">
              <a16:creationId xmlns:a16="http://schemas.microsoft.com/office/drawing/2014/main" id="{43B4CF38-1750-7C60-FB1F-A8B7761405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537210</xdr:colOff>
      <xdr:row>68</xdr:row>
      <xdr:rowOff>156210</xdr:rowOff>
    </xdr:from>
    <xdr:to>
      <xdr:col>10</xdr:col>
      <xdr:colOff>171450</xdr:colOff>
      <xdr:row>83</xdr:row>
      <xdr:rowOff>156210</xdr:rowOff>
    </xdr:to>
    <xdr:graphicFrame macro="">
      <xdr:nvGraphicFramePr>
        <xdr:cNvPr id="6" name="Chart 5">
          <a:extLst>
            <a:ext uri="{FF2B5EF4-FFF2-40B4-BE49-F238E27FC236}">
              <a16:creationId xmlns:a16="http://schemas.microsoft.com/office/drawing/2014/main" id="{F5AF8ED5-F51D-4112-DA80-B67D7C7BBA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468630</xdr:colOff>
      <xdr:row>84</xdr:row>
      <xdr:rowOff>49530</xdr:rowOff>
    </xdr:from>
    <xdr:to>
      <xdr:col>10</xdr:col>
      <xdr:colOff>457200</xdr:colOff>
      <xdr:row>99</xdr:row>
      <xdr:rowOff>49530</xdr:rowOff>
    </xdr:to>
    <xdr:graphicFrame macro="">
      <xdr:nvGraphicFramePr>
        <xdr:cNvPr id="7" name="Chart 6">
          <a:extLst>
            <a:ext uri="{FF2B5EF4-FFF2-40B4-BE49-F238E27FC236}">
              <a16:creationId xmlns:a16="http://schemas.microsoft.com/office/drawing/2014/main" id="{93DBE556-85A3-E9CA-D9D3-C176F25991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792480</xdr:colOff>
      <xdr:row>101</xdr:row>
      <xdr:rowOff>121920</xdr:rowOff>
    </xdr:from>
    <xdr:to>
      <xdr:col>21</xdr:col>
      <xdr:colOff>220980</xdr:colOff>
      <xdr:row>115</xdr:row>
      <xdr:rowOff>28575</xdr:rowOff>
    </xdr:to>
    <mc:AlternateContent xmlns:mc="http://schemas.openxmlformats.org/markup-compatibility/2006">
      <mc:Choice xmlns:a14="http://schemas.microsoft.com/office/drawing/2010/main" Requires="a14">
        <xdr:graphicFrame macro="">
          <xdr:nvGraphicFramePr>
            <xdr:cNvPr id="8" name="Total Sales">
              <a:extLst>
                <a:ext uri="{FF2B5EF4-FFF2-40B4-BE49-F238E27FC236}">
                  <a16:creationId xmlns:a16="http://schemas.microsoft.com/office/drawing/2014/main" id="{04611E03-441B-29A7-7BE4-E9AF1BB1E333}"/>
                </a:ext>
              </a:extLst>
            </xdr:cNvPr>
            <xdr:cNvGraphicFramePr/>
          </xdr:nvGraphicFramePr>
          <xdr:xfrm>
            <a:off x="0" y="0"/>
            <a:ext cx="0" cy="0"/>
          </xdr:xfrm>
          <a:graphic>
            <a:graphicData uri="http://schemas.microsoft.com/office/drawing/2010/slicer">
              <sle:slicer xmlns:sle="http://schemas.microsoft.com/office/drawing/2010/slicer" name="Total Sales"/>
            </a:graphicData>
          </a:graphic>
        </xdr:graphicFrame>
      </mc:Choice>
      <mc:Fallback>
        <xdr:sp macro="" textlink="">
          <xdr:nvSpPr>
            <xdr:cNvPr id="0" name=""/>
            <xdr:cNvSpPr>
              <a:spLocks noTextEdit="1"/>
            </xdr:cNvSpPr>
          </xdr:nvSpPr>
          <xdr:spPr>
            <a:xfrm>
              <a:off x="16413480" y="18592800"/>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800100</xdr:colOff>
      <xdr:row>87</xdr:row>
      <xdr:rowOff>121920</xdr:rowOff>
    </xdr:from>
    <xdr:to>
      <xdr:col>21</xdr:col>
      <xdr:colOff>228600</xdr:colOff>
      <xdr:row>101</xdr:row>
      <xdr:rowOff>28575</xdr:rowOff>
    </xdr:to>
    <mc:AlternateContent xmlns:mc="http://schemas.openxmlformats.org/markup-compatibility/2006">
      <mc:Choice xmlns:a14="http://schemas.microsoft.com/office/drawing/2010/main" Requires="a14">
        <xdr:graphicFrame macro="">
          <xdr:nvGraphicFramePr>
            <xdr:cNvPr id="9" name="Total Cost Of Sales">
              <a:extLst>
                <a:ext uri="{FF2B5EF4-FFF2-40B4-BE49-F238E27FC236}">
                  <a16:creationId xmlns:a16="http://schemas.microsoft.com/office/drawing/2014/main" id="{3F569746-4593-8A9E-7BB6-53B79073FD44}"/>
                </a:ext>
              </a:extLst>
            </xdr:cNvPr>
            <xdr:cNvGraphicFramePr/>
          </xdr:nvGraphicFramePr>
          <xdr:xfrm>
            <a:off x="0" y="0"/>
            <a:ext cx="0" cy="0"/>
          </xdr:xfrm>
          <a:graphic>
            <a:graphicData uri="http://schemas.microsoft.com/office/drawing/2010/slicer">
              <sle:slicer xmlns:sle="http://schemas.microsoft.com/office/drawing/2010/slicer" name="Total Cost Of Sales"/>
            </a:graphicData>
          </a:graphic>
        </xdr:graphicFrame>
      </mc:Choice>
      <mc:Fallback>
        <xdr:sp macro="" textlink="">
          <xdr:nvSpPr>
            <xdr:cNvPr id="0" name=""/>
            <xdr:cNvSpPr>
              <a:spLocks noTextEdit="1"/>
            </xdr:cNvSpPr>
          </xdr:nvSpPr>
          <xdr:spPr>
            <a:xfrm>
              <a:off x="16421100" y="16032480"/>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518160</xdr:colOff>
      <xdr:row>101</xdr:row>
      <xdr:rowOff>121920</xdr:rowOff>
    </xdr:from>
    <xdr:to>
      <xdr:col>18</xdr:col>
      <xdr:colOff>701040</xdr:colOff>
      <xdr:row>115</xdr:row>
      <xdr:rowOff>28575</xdr:rowOff>
    </xdr:to>
    <mc:AlternateContent xmlns:mc="http://schemas.openxmlformats.org/markup-compatibility/2006">
      <mc:Choice xmlns:a14="http://schemas.microsoft.com/office/drawing/2010/main" Requires="a14">
        <xdr:graphicFrame macro="">
          <xdr:nvGraphicFramePr>
            <xdr:cNvPr id="10" name="Total Quantity Sold">
              <a:extLst>
                <a:ext uri="{FF2B5EF4-FFF2-40B4-BE49-F238E27FC236}">
                  <a16:creationId xmlns:a16="http://schemas.microsoft.com/office/drawing/2014/main" id="{E05AB9D9-ED38-3F16-A17E-0BF2969C6D55}"/>
                </a:ext>
              </a:extLst>
            </xdr:cNvPr>
            <xdr:cNvGraphicFramePr/>
          </xdr:nvGraphicFramePr>
          <xdr:xfrm>
            <a:off x="0" y="0"/>
            <a:ext cx="0" cy="0"/>
          </xdr:xfrm>
          <a:graphic>
            <a:graphicData uri="http://schemas.microsoft.com/office/drawing/2010/slicer">
              <sle:slicer xmlns:sle="http://schemas.microsoft.com/office/drawing/2010/slicer" name="Total Quantity Sold"/>
            </a:graphicData>
          </a:graphic>
        </xdr:graphicFrame>
      </mc:Choice>
      <mc:Fallback>
        <xdr:sp macro="" textlink="">
          <xdr:nvSpPr>
            <xdr:cNvPr id="0" name=""/>
            <xdr:cNvSpPr>
              <a:spLocks noTextEdit="1"/>
            </xdr:cNvSpPr>
          </xdr:nvSpPr>
          <xdr:spPr>
            <a:xfrm>
              <a:off x="14493240" y="18592800"/>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228600</xdr:colOff>
      <xdr:row>101</xdr:row>
      <xdr:rowOff>121920</xdr:rowOff>
    </xdr:from>
    <xdr:to>
      <xdr:col>16</xdr:col>
      <xdr:colOff>480060</xdr:colOff>
      <xdr:row>115</xdr:row>
      <xdr:rowOff>28575</xdr:rowOff>
    </xdr:to>
    <mc:AlternateContent xmlns:mc="http://schemas.openxmlformats.org/markup-compatibility/2006">
      <mc:Choice xmlns:a14="http://schemas.microsoft.com/office/drawing/2010/main" Requires="a14">
        <xdr:graphicFrame macro="">
          <xdr:nvGraphicFramePr>
            <xdr:cNvPr id="11" name="Average Unit Price">
              <a:extLst>
                <a:ext uri="{FF2B5EF4-FFF2-40B4-BE49-F238E27FC236}">
                  <a16:creationId xmlns:a16="http://schemas.microsoft.com/office/drawing/2014/main" id="{D87BDBF7-7E47-8211-4562-35C01E71AA40}"/>
                </a:ext>
              </a:extLst>
            </xdr:cNvPr>
            <xdr:cNvGraphicFramePr/>
          </xdr:nvGraphicFramePr>
          <xdr:xfrm>
            <a:off x="0" y="0"/>
            <a:ext cx="0" cy="0"/>
          </xdr:xfrm>
          <a:graphic>
            <a:graphicData uri="http://schemas.microsoft.com/office/drawing/2010/slicer">
              <sle:slicer xmlns:sle="http://schemas.microsoft.com/office/drawing/2010/slicer" name="Average Unit Price"/>
            </a:graphicData>
          </a:graphic>
        </xdr:graphicFrame>
      </mc:Choice>
      <mc:Fallback>
        <xdr:sp macro="" textlink="">
          <xdr:nvSpPr>
            <xdr:cNvPr id="0" name=""/>
            <xdr:cNvSpPr>
              <a:spLocks noTextEdit="1"/>
            </xdr:cNvSpPr>
          </xdr:nvSpPr>
          <xdr:spPr>
            <a:xfrm>
              <a:off x="12626340" y="18592800"/>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213360</xdr:colOff>
      <xdr:row>87</xdr:row>
      <xdr:rowOff>121920</xdr:rowOff>
    </xdr:from>
    <xdr:to>
      <xdr:col>16</xdr:col>
      <xdr:colOff>464820</xdr:colOff>
      <xdr:row>101</xdr:row>
      <xdr:rowOff>28575</xdr:rowOff>
    </xdr:to>
    <mc:AlternateContent xmlns:mc="http://schemas.openxmlformats.org/markup-compatibility/2006">
      <mc:Choice xmlns:a14="http://schemas.microsoft.com/office/drawing/2010/main" Requires="a14">
        <xdr:graphicFrame macro="">
          <xdr:nvGraphicFramePr>
            <xdr:cNvPr id="12" name="Gross Profit">
              <a:extLst>
                <a:ext uri="{FF2B5EF4-FFF2-40B4-BE49-F238E27FC236}">
                  <a16:creationId xmlns:a16="http://schemas.microsoft.com/office/drawing/2014/main" id="{2A7DA82B-C234-E863-4ABD-539914E64419}"/>
                </a:ext>
              </a:extLst>
            </xdr:cNvPr>
            <xdr:cNvGraphicFramePr/>
          </xdr:nvGraphicFramePr>
          <xdr:xfrm>
            <a:off x="0" y="0"/>
            <a:ext cx="0" cy="0"/>
          </xdr:xfrm>
          <a:graphic>
            <a:graphicData uri="http://schemas.microsoft.com/office/drawing/2010/slicer">
              <sle:slicer xmlns:sle="http://schemas.microsoft.com/office/drawing/2010/slicer" name="Gross Profit"/>
            </a:graphicData>
          </a:graphic>
        </xdr:graphicFrame>
      </mc:Choice>
      <mc:Fallback>
        <xdr:sp macro="" textlink="">
          <xdr:nvSpPr>
            <xdr:cNvPr id="0" name=""/>
            <xdr:cNvSpPr>
              <a:spLocks noTextEdit="1"/>
            </xdr:cNvSpPr>
          </xdr:nvSpPr>
          <xdr:spPr>
            <a:xfrm>
              <a:off x="12611100" y="16032480"/>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525780</xdr:colOff>
      <xdr:row>87</xdr:row>
      <xdr:rowOff>121920</xdr:rowOff>
    </xdr:from>
    <xdr:to>
      <xdr:col>18</xdr:col>
      <xdr:colOff>708660</xdr:colOff>
      <xdr:row>101</xdr:row>
      <xdr:rowOff>28575</xdr:rowOff>
    </xdr:to>
    <mc:AlternateContent xmlns:mc="http://schemas.openxmlformats.org/markup-compatibility/2006">
      <mc:Choice xmlns:a14="http://schemas.microsoft.com/office/drawing/2010/main" Requires="a14">
        <xdr:graphicFrame macro="">
          <xdr:nvGraphicFramePr>
            <xdr:cNvPr id="13" name="Years (Month)">
              <a:extLst>
                <a:ext uri="{FF2B5EF4-FFF2-40B4-BE49-F238E27FC236}">
                  <a16:creationId xmlns:a16="http://schemas.microsoft.com/office/drawing/2014/main" id="{4A8EFBB2-ECD3-88AF-9D61-4036CF915890}"/>
                </a:ext>
              </a:extLst>
            </xdr:cNvPr>
            <xdr:cNvGraphicFramePr/>
          </xdr:nvGraphicFramePr>
          <xdr:xfrm>
            <a:off x="0" y="0"/>
            <a:ext cx="0" cy="0"/>
          </xdr:xfrm>
          <a:graphic>
            <a:graphicData uri="http://schemas.microsoft.com/office/drawing/2010/slicer">
              <sle:slicer xmlns:sle="http://schemas.microsoft.com/office/drawing/2010/slicer" name="Years (Month)"/>
            </a:graphicData>
          </a:graphic>
        </xdr:graphicFrame>
      </mc:Choice>
      <mc:Fallback>
        <xdr:sp macro="" textlink="">
          <xdr:nvSpPr>
            <xdr:cNvPr id="0" name=""/>
            <xdr:cNvSpPr>
              <a:spLocks noTextEdit="1"/>
            </xdr:cNvSpPr>
          </xdr:nvSpPr>
          <xdr:spPr>
            <a:xfrm>
              <a:off x="14500860" y="16032480"/>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262890</xdr:colOff>
      <xdr:row>0</xdr:row>
      <xdr:rowOff>0</xdr:rowOff>
    </xdr:from>
    <xdr:to>
      <xdr:col>10</xdr:col>
      <xdr:colOff>567690</xdr:colOff>
      <xdr:row>15</xdr:row>
      <xdr:rowOff>0</xdr:rowOff>
    </xdr:to>
    <xdr:graphicFrame macro="">
      <xdr:nvGraphicFramePr>
        <xdr:cNvPr id="2" name="Chart 1">
          <a:extLst>
            <a:ext uri="{FF2B5EF4-FFF2-40B4-BE49-F238E27FC236}">
              <a16:creationId xmlns:a16="http://schemas.microsoft.com/office/drawing/2014/main" id="{175E293B-30B9-AED6-7A62-9A2827BF82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381000</xdr:colOff>
      <xdr:row>14</xdr:row>
      <xdr:rowOff>129540</xdr:rowOff>
    </xdr:from>
    <xdr:to>
      <xdr:col>17</xdr:col>
      <xdr:colOff>381000</xdr:colOff>
      <xdr:row>28</xdr:row>
      <xdr:rowOff>36195</xdr:rowOff>
    </xdr:to>
    <mc:AlternateContent xmlns:mc="http://schemas.openxmlformats.org/markup-compatibility/2006">
      <mc:Choice xmlns:a14="http://schemas.microsoft.com/office/drawing/2010/main" Requires="a14">
        <xdr:graphicFrame macro="">
          <xdr:nvGraphicFramePr>
            <xdr:cNvPr id="3" name="Sales">
              <a:extLst>
                <a:ext uri="{FF2B5EF4-FFF2-40B4-BE49-F238E27FC236}">
                  <a16:creationId xmlns:a16="http://schemas.microsoft.com/office/drawing/2014/main" id="{9C40FC14-CF76-1E9B-FB63-34CCDF021FB6}"/>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dr:sp macro="" textlink="">
          <xdr:nvSpPr>
            <xdr:cNvPr id="0" name=""/>
            <xdr:cNvSpPr>
              <a:spLocks noTextEdit="1"/>
            </xdr:cNvSpPr>
          </xdr:nvSpPr>
          <xdr:spPr>
            <a:xfrm>
              <a:off x="10111740" y="2689860"/>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297180</xdr:colOff>
      <xdr:row>14</xdr:row>
      <xdr:rowOff>144780</xdr:rowOff>
    </xdr:from>
    <xdr:to>
      <xdr:col>14</xdr:col>
      <xdr:colOff>297180</xdr:colOff>
      <xdr:row>28</xdr:row>
      <xdr:rowOff>51435</xdr:rowOff>
    </xdr:to>
    <mc:AlternateContent xmlns:mc="http://schemas.openxmlformats.org/markup-compatibility/2006">
      <mc:Choice xmlns:a14="http://schemas.microsoft.com/office/drawing/2010/main" Requires="a14">
        <xdr:graphicFrame macro="">
          <xdr:nvGraphicFramePr>
            <xdr:cNvPr id="4" name="Cost Of Sales">
              <a:extLst>
                <a:ext uri="{FF2B5EF4-FFF2-40B4-BE49-F238E27FC236}">
                  <a16:creationId xmlns:a16="http://schemas.microsoft.com/office/drawing/2014/main" id="{635F0E2D-9BB6-4EE8-23C0-B921C2EEF79B}"/>
                </a:ext>
              </a:extLst>
            </xdr:cNvPr>
            <xdr:cNvGraphicFramePr/>
          </xdr:nvGraphicFramePr>
          <xdr:xfrm>
            <a:off x="0" y="0"/>
            <a:ext cx="0" cy="0"/>
          </xdr:xfrm>
          <a:graphic>
            <a:graphicData uri="http://schemas.microsoft.com/office/drawing/2010/slicer">
              <sle:slicer xmlns:sle="http://schemas.microsoft.com/office/drawing/2010/slicer" name="Cost Of Sales"/>
            </a:graphicData>
          </a:graphic>
        </xdr:graphicFrame>
      </mc:Choice>
      <mc:Fallback>
        <xdr:sp macro="" textlink="">
          <xdr:nvSpPr>
            <xdr:cNvPr id="0" name=""/>
            <xdr:cNvSpPr>
              <a:spLocks noTextEdit="1"/>
            </xdr:cNvSpPr>
          </xdr:nvSpPr>
          <xdr:spPr>
            <a:xfrm>
              <a:off x="8199120" y="2705100"/>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327660</xdr:colOff>
      <xdr:row>1</xdr:row>
      <xdr:rowOff>0</xdr:rowOff>
    </xdr:from>
    <xdr:to>
      <xdr:col>17</xdr:col>
      <xdr:colOff>327660</xdr:colOff>
      <xdr:row>14</xdr:row>
      <xdr:rowOff>89535</xdr:rowOff>
    </xdr:to>
    <mc:AlternateContent xmlns:mc="http://schemas.openxmlformats.org/markup-compatibility/2006">
      <mc:Choice xmlns:a14="http://schemas.microsoft.com/office/drawing/2010/main" Requires="a14">
        <xdr:graphicFrame macro="">
          <xdr:nvGraphicFramePr>
            <xdr:cNvPr id="5" name="Quantity Sold">
              <a:extLst>
                <a:ext uri="{FF2B5EF4-FFF2-40B4-BE49-F238E27FC236}">
                  <a16:creationId xmlns:a16="http://schemas.microsoft.com/office/drawing/2014/main" id="{27697DAF-3B7F-FE88-FD36-61D967E5F50F}"/>
                </a:ext>
              </a:extLst>
            </xdr:cNvPr>
            <xdr:cNvGraphicFramePr/>
          </xdr:nvGraphicFramePr>
          <xdr:xfrm>
            <a:off x="0" y="0"/>
            <a:ext cx="0" cy="0"/>
          </xdr:xfrm>
          <a:graphic>
            <a:graphicData uri="http://schemas.microsoft.com/office/drawing/2010/slicer">
              <sle:slicer xmlns:sle="http://schemas.microsoft.com/office/drawing/2010/slicer" name="Quantity Sold"/>
            </a:graphicData>
          </a:graphic>
        </xdr:graphicFrame>
      </mc:Choice>
      <mc:Fallback>
        <xdr:sp macro="" textlink="">
          <xdr:nvSpPr>
            <xdr:cNvPr id="0" name=""/>
            <xdr:cNvSpPr>
              <a:spLocks noTextEdit="1"/>
            </xdr:cNvSpPr>
          </xdr:nvSpPr>
          <xdr:spPr>
            <a:xfrm>
              <a:off x="10058400" y="182880"/>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289560</xdr:colOff>
      <xdr:row>0</xdr:row>
      <xdr:rowOff>167640</xdr:rowOff>
    </xdr:from>
    <xdr:to>
      <xdr:col>14</xdr:col>
      <xdr:colOff>289560</xdr:colOff>
      <xdr:row>14</xdr:row>
      <xdr:rowOff>74295</xdr:rowOff>
    </xdr:to>
    <mc:AlternateContent xmlns:mc="http://schemas.openxmlformats.org/markup-compatibility/2006">
      <mc:Choice xmlns:a14="http://schemas.microsoft.com/office/drawing/2010/main" Requires="a14">
        <xdr:graphicFrame macro="">
          <xdr:nvGraphicFramePr>
            <xdr:cNvPr id="6" name="Years (Date)">
              <a:extLst>
                <a:ext uri="{FF2B5EF4-FFF2-40B4-BE49-F238E27FC236}">
                  <a16:creationId xmlns:a16="http://schemas.microsoft.com/office/drawing/2014/main" id="{E93E503D-2208-6BE9-CFDE-217E52A23DF4}"/>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8191500" y="167640"/>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240030</xdr:colOff>
      <xdr:row>1</xdr:row>
      <xdr:rowOff>156210</xdr:rowOff>
    </xdr:from>
    <xdr:to>
      <xdr:col>12</xdr:col>
      <xdr:colOff>487680</xdr:colOff>
      <xdr:row>16</xdr:row>
      <xdr:rowOff>156210</xdr:rowOff>
    </xdr:to>
    <xdr:graphicFrame macro="">
      <xdr:nvGraphicFramePr>
        <xdr:cNvPr id="2" name="Chart 1">
          <a:extLst>
            <a:ext uri="{FF2B5EF4-FFF2-40B4-BE49-F238E27FC236}">
              <a16:creationId xmlns:a16="http://schemas.microsoft.com/office/drawing/2014/main" id="{94F78087-0293-2BEB-8036-9C0D7349FA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eas" refreshedDate="46299.78168576389" createdVersion="8" refreshedVersion="8" minRefreshableVersion="3" recordCount="1054" xr:uid="{1BC09456-1369-48AA-A4F2-E4420D86690E}">
  <cacheSource type="worksheet">
    <worksheetSource ref="A1:D1048576" sheet="Sales Master"/>
  </cacheSource>
  <cacheFields count="4">
    <cacheField name="Date" numFmtId="0">
      <sharedItems containsNonDate="0" containsDate="1" containsString="0" containsBlank="1" minDate="2013-12-30T00:00:00" maxDate="2016-11-17T00:00:00"/>
    </cacheField>
    <cacheField name="Sales" numFmtId="0">
      <sharedItems containsString="0" containsBlank="1" containsNumber="1" minValue="20495.113025005001" maxValue="846678.38816080405"/>
    </cacheField>
    <cacheField name="Cost Of Sales" numFmtId="0">
      <sharedItems containsString="0" containsBlank="1" containsNumber="1" minValue="18375.052607697839" maxValue="872081.58500352106"/>
    </cacheField>
    <cacheField name="Quantity Sold" numFmtId="0">
      <sharedItems containsString="0" containsBlank="1" containsNumber="1" containsInteger="1" minValue="508" maxValue="2641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eas" refreshedDate="46299.783535879629" createdVersion="8" refreshedVersion="8" minRefreshableVersion="3" recordCount="1053" xr:uid="{19B06D7F-A812-46C7-A86F-570F8CE7F2D3}">
  <cacheSource type="worksheet">
    <worksheetSource ref="A1:H1054" sheet="Daily Analysis"/>
  </cacheSource>
  <cacheFields count="8">
    <cacheField name="Date" numFmtId="164">
      <sharedItems containsSemiMixedTypes="0" containsNonDate="0" containsDate="1" containsString="0" minDate="2013-12-30T00:00:00" maxDate="2016-11-17T00:00:00"/>
    </cacheField>
    <cacheField name="Sales" numFmtId="4">
      <sharedItems containsSemiMixedTypes="0" containsString="0" containsNumber="1" minValue="20495.113025005001" maxValue="846678.38816080405"/>
    </cacheField>
    <cacheField name="Cost Of Sales" numFmtId="4">
      <sharedItems containsSemiMixedTypes="0" containsString="0" containsNumber="1" minValue="18375.052607697839" maxValue="872081.58500352106"/>
    </cacheField>
    <cacheField name="Quantity Sold" numFmtId="0">
      <sharedItems containsSemiMixedTypes="0" containsString="0" containsNumber="1" containsInteger="1" minValue="508" maxValue="26410"/>
    </cacheField>
    <cacheField name="Daily Sales Price Per Unit" numFmtId="4">
      <sharedItems containsSemiMixedTypes="0" containsString="0" containsNumber="1" minValue="30.702370088622562" maxValue="43.805996531616287"/>
    </cacheField>
    <cacheField name="Gross Profit" numFmtId="4">
      <sharedItems containsSemiMixedTypes="0" containsString="0" containsNumber="1" minValue="-80692.179157878156" maxValue="27831.943709602696"/>
    </cacheField>
    <cacheField name="Gross Profit %" numFmtId="10">
      <sharedItems containsSemiMixedTypes="0" containsString="0" containsNumber="1" minValue="-0.14857562034866689" maxValue="0.14415691829245161"/>
    </cacheField>
    <cacheField name="Gross Profit Per Unit" numFmtId="4">
      <sharedItems containsSemiMixedTypes="0" containsString="0" containsNumber="1" minValue="-4.9664885283181368" maxValue="6.088268218291174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eas" refreshedDate="46299.786840740744" createdVersion="8" refreshedVersion="8" minRefreshableVersion="3" recordCount="37" xr:uid="{91FFB076-2494-48C4-85FC-0D847921E9AB}">
  <cacheSource type="worksheet">
    <worksheetSource ref="A1:G1048576" sheet="Monthly Analysis"/>
  </cacheSource>
  <cacheFields count="10">
    <cacheField name="Month" numFmtId="0">
      <sharedItems containsNonDate="0" containsDate="1" containsString="0" containsBlank="1" minDate="2013-12-01T00:00:00" maxDate="2016-11-02T00:00:00" count="37">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m/>
      </sharedItems>
      <fieldGroup par="9"/>
    </cacheField>
    <cacheField name="Total Sales" numFmtId="0">
      <sharedItems containsString="0" containsBlank="1" containsNumber="1" minValue="524283.4524337122" maxValue="10010378.28775781" count="37">
        <n v="524283.4524337122"/>
        <n v="4008180.4888402359"/>
        <n v="5780487.1753210258"/>
        <n v="8279517.1761284564"/>
        <n v="6435743.2738555921"/>
        <n v="7694906.1536926767"/>
        <n v="6456943.6466363054"/>
        <n v="4933710.8007092178"/>
        <n v="10010378.28775781"/>
        <n v="7643452.6856598929"/>
        <n v="5924683.3811629629"/>
        <n v="2631353.343112655"/>
        <n v="5615619.298823732"/>
        <n v="3696191.507908707"/>
        <n v="4901504.8931298051"/>
        <n v="5269353.1526924446"/>
        <n v="5963993.967762948"/>
        <n v="8384367.2411529198"/>
        <n v="5332108.3233635398"/>
        <n v="3677692.3940561218"/>
        <n v="3934668.4080630001"/>
        <n v="4669899.8586166753"/>
        <n v="4828975.0795014314"/>
        <n v="6538148.8833287396"/>
        <n v="6820689.6776469126"/>
        <n v="5403090.5092575774"/>
        <n v="4891882.3081559967"/>
        <n v="2951856.0057579"/>
        <n v="6656880.1761649484"/>
        <n v="5170231.8549004067"/>
        <n v="6771134.9382742019"/>
        <n v="3324825.4316159771"/>
        <n v="4343329.4138204996"/>
        <n v="3259542.5017415122"/>
        <n v="2329172.7027701712"/>
        <n v="1851029.862666324"/>
        <m/>
      </sharedItems>
    </cacheField>
    <cacheField name="Total Cost Of Sales" numFmtId="0">
      <sharedItems containsString="0" containsBlank="1" containsNumber="1" minValue="537065.74149673129" maxValue="10524432.42472407" count="37">
        <n v="537065.74149673129"/>
        <n v="3995719.8434368949"/>
        <n v="5913478.5608728398"/>
        <n v="8415654.0193928573"/>
        <n v="6479643.6251466135"/>
        <n v="8017240.4173001051"/>
        <n v="6645843.6570064351"/>
        <n v="5004894.9019320263"/>
        <n v="10524432.42472407"/>
        <n v="8193560.0391896991"/>
        <n v="6038461.3173097558"/>
        <n v="2517124.8354863911"/>
        <n v="5934796.0592754018"/>
        <n v="3851260.466480996"/>
        <n v="5151756.2678887686"/>
        <n v="5599630.7200854784"/>
        <n v="6286673.6644070027"/>
        <n v="8973701.898615906"/>
        <n v="5520925.368956795"/>
        <n v="3829188.565022375"/>
        <n v="4210927.3348924406"/>
        <n v="5024494.6949344603"/>
        <n v="5175494.0774832303"/>
        <n v="7138833.4546662709"/>
        <n v="7154317.3205589298"/>
        <n v="5657342.7153318543"/>
        <n v="4889303.6437091287"/>
        <n v="2917801.491271894"/>
        <n v="7127731.9052308891"/>
        <n v="5338394.6319771335"/>
        <n v="7168349.6312059201"/>
        <n v="3268397.272577221"/>
        <n v="4479787.65500536"/>
        <n v="3210197.287541769"/>
        <n v="2109211.0577977141"/>
        <n v="1724472.8782976801"/>
        <m/>
      </sharedItems>
    </cacheField>
    <cacheField name="Total Quantity Sold" numFmtId="0">
      <sharedItems containsString="0" containsBlank="1" containsNumber="1" containsInteger="1" minValue="16095" maxValue="310572" count="37">
        <n v="16095"/>
        <n v="119965"/>
        <n v="178035"/>
        <n v="252836"/>
        <n v="190091"/>
        <n v="235793"/>
        <n v="198857"/>
        <n v="147449"/>
        <n v="310572"/>
        <n v="237742"/>
        <n v="171709"/>
        <n v="68569"/>
        <n v="142612"/>
        <n v="91740"/>
        <n v="127753"/>
        <n v="136673"/>
        <n v="153702"/>
        <n v="220775"/>
        <n v="136581"/>
        <n v="95600"/>
        <n v="108899"/>
        <n v="134837"/>
        <n v="135328"/>
        <n v="185868"/>
        <n v="187333"/>
        <n v="150561"/>
        <n v="132990"/>
        <n v="74185"/>
        <n v="190235"/>
        <n v="146298"/>
        <n v="197469"/>
        <n v="90653"/>
        <n v="123621"/>
        <n v="88672"/>
        <n v="56667"/>
        <n v="43107"/>
        <m/>
      </sharedItems>
    </cacheField>
    <cacheField name="Average Unit Price" numFmtId="0">
      <sharedItems containsString="0" containsBlank="1" containsNumber="1" minValue="32.150199315475987" maxValue="42.940354528645557" count="37">
        <n v="32.574305836204545"/>
        <n v="33.411249021299845"/>
        <n v="32.468262843379257"/>
        <n v="32.746591371989972"/>
        <n v="33.856117721804779"/>
        <n v="32.634158578467883"/>
        <n v="32.470285917198318"/>
        <n v="33.460456162532253"/>
        <n v="32.232069496792406"/>
        <n v="32.150199315475987"/>
        <n v="34.50420992005639"/>
        <n v="38.375262044256949"/>
        <n v="39.376905862225705"/>
        <n v="40.28985729135281"/>
        <n v="38.367043381602038"/>
        <n v="38.554455910768361"/>
        <n v="38.802318562952649"/>
        <n v="37.976977652147752"/>
        <n v="39.039898107083268"/>
        <n v="38.469585711884122"/>
        <n v="36.131354815590591"/>
        <n v="34.633667751556885"/>
        <n v="35.683488114074187"/>
        <n v="35.176301909574214"/>
        <n v="36.409440288934213"/>
        <n v="35.886388302798053"/>
        <n v="36.783835688066745"/>
        <n v="39.79046984913257"/>
        <n v="34.99293072339448"/>
        <n v="35.340413778044855"/>
        <n v="34.289609702151743"/>
        <n v="36.67639715857144"/>
        <n v="35.134236204370616"/>
        <n v="36.759546437900489"/>
        <n v="41.102805914732933"/>
        <n v="42.940354528645557"/>
        <m/>
      </sharedItems>
    </cacheField>
    <cacheField name="Gross Profit" numFmtId="0">
      <sharedItems containsString="0" containsBlank="1" containsNumber="1" minValue="-600684.57133753132" maxValue="219961.64497245708" count="37">
        <n v="-12782.289063019096"/>
        <n v="12460.645403340925"/>
        <n v="-132991.38555181399"/>
        <n v="-136136.84326440096"/>
        <n v="-43900.351291021332"/>
        <n v="-322334.26360742841"/>
        <n v="-188900.01037012972"/>
        <n v="-71184.101222808473"/>
        <n v="-514054.13696626015"/>
        <n v="-550107.35352980625"/>
        <n v="-113777.93614679296"/>
        <n v="114228.50762626389"/>
        <n v="-319176.7604516698"/>
        <n v="-155068.95857228898"/>
        <n v="-250251.37475896347"/>
        <n v="-330277.56739303377"/>
        <n v="-322679.69664405473"/>
        <n v="-589334.65746298619"/>
        <n v="-188817.0455932552"/>
        <n v="-151496.17096625315"/>
        <n v="-276258.92682944052"/>
        <n v="-354594.83631778508"/>
        <n v="-346518.99798179884"/>
        <n v="-600684.57133753132"/>
        <n v="-333627.64291201718"/>
        <n v="-254252.20607427694"/>
        <n v="2578.6644468680024"/>
        <n v="34054.514486005995"/>
        <n v="-470851.72906594072"/>
        <n v="-168162.77707672678"/>
        <n v="-397214.69293171819"/>
        <n v="56428.159038756043"/>
        <n v="-136458.24118486047"/>
        <n v="49345.214199743234"/>
        <n v="219961.64497245708"/>
        <n v="126556.98436864396"/>
        <m/>
      </sharedItems>
    </cacheField>
    <cacheField name="Gross Profit %" numFmtId="0">
      <sharedItems containsString="0" containsBlank="1" containsNumber="1" minValue="-9.1873798235030002E-2" maxValue="9.4437670813696459E-2"/>
    </cacheField>
    <cacheField name="Months (Month)" numFmtId="0" databaseField="0">
      <fieldGroup base="0">
        <rangePr groupBy="months" startDate="2013-12-01T00:00:00" endDate="2016-11-02T00:00:00"/>
        <groupItems count="14">
          <s v="&lt;2013/12/01"/>
          <s v="Jan"/>
          <s v="Feb"/>
          <s v="Mar"/>
          <s v="Apr"/>
          <s v="May"/>
          <s v="Jun"/>
          <s v="Jul"/>
          <s v="Aug"/>
          <s v="Sept"/>
          <s v="Oct"/>
          <s v="Nov"/>
          <s v="Dec"/>
          <s v="&gt;2016/11/02"/>
        </groupItems>
      </fieldGroup>
    </cacheField>
    <cacheField name="Quarters (Month)" numFmtId="0" databaseField="0">
      <fieldGroup base="0">
        <rangePr groupBy="quarters" startDate="2013-12-01T00:00:00" endDate="2016-11-02T00:00:00"/>
        <groupItems count="6">
          <s v="&lt;2013/12/01"/>
          <s v="Qtr1"/>
          <s v="Qtr2"/>
          <s v="Qtr3"/>
          <s v="Qtr4"/>
          <s v="&gt;2016/11/02"/>
        </groupItems>
      </fieldGroup>
    </cacheField>
    <cacheField name="Years (Month)" numFmtId="0" databaseField="0">
      <fieldGroup base="0">
        <rangePr groupBy="years" startDate="2013-12-01T00:00:00" endDate="2016-11-02T00:00:00"/>
        <groupItems count="6">
          <s v="&lt;2013/12/01"/>
          <s v="2013"/>
          <s v="2014"/>
          <s v="2015"/>
          <s v="2016"/>
          <s v="&gt;2016/11/02"/>
        </groupItems>
      </fieldGroup>
    </cacheField>
  </cacheFields>
  <extLst>
    <ext xmlns:x14="http://schemas.microsoft.com/office/spreadsheetml/2009/9/main" uri="{725AE2AE-9491-48be-B2B4-4EB974FC3084}">
      <x14:pivotCacheDefinition pivotCacheId="202362249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eas" refreshedDate="46299.800737500002" createdVersion="8" refreshedVersion="8" minRefreshableVersion="3" recordCount="1053" xr:uid="{F0092CC2-C209-4B16-91AD-FD2C524EB348}">
  <cacheSource type="worksheet">
    <worksheetSource ref="A1:B1054" sheet="Price vs Quantity"/>
  </cacheSource>
  <cacheFields count="2">
    <cacheField name="Daily Sales Price Per Unit" numFmtId="0">
      <sharedItems containsSemiMixedTypes="0" containsString="0" containsNumber="1" minValue="30.702370088622562" maxValue="43.805996531616287" count="1052">
        <n v="32.801811611209388"/>
        <n v="32.40672038886337"/>
        <n v="32.405701167818442"/>
        <n v="32.416699069259465"/>
        <n v="32.418293750131951"/>
        <n v="32.422802050914669"/>
        <n v="32.43824845905317"/>
        <n v="32.42505830429635"/>
        <n v="32.41504991585564"/>
        <n v="34.058997403423781"/>
        <n v="34.126085769937227"/>
        <n v="34.109740161076353"/>
        <n v="34.110189051254409"/>
        <n v="34.128173454333727"/>
        <n v="34.100081267781597"/>
        <n v="34.110221499102515"/>
        <n v="34.083834364132905"/>
        <n v="34.084665481376085"/>
        <n v="34.138261014109176"/>
        <n v="34.128329088498774"/>
        <n v="34.143983080966422"/>
        <n v="34.120517626362137"/>
        <n v="34.087192678609775"/>
        <n v="33.923886608039339"/>
        <n v="34.176148690664292"/>
        <n v="34.168507113044697"/>
        <n v="34.170956163177863"/>
        <n v="34.165381661072843"/>
        <n v="34.177338631295846"/>
        <n v="34.157116370182358"/>
        <n v="34.173405213411243"/>
        <n v="34.165100059827587"/>
        <n v="34.167214268072307"/>
        <n v="34.164616983637366"/>
        <n v="34.166741278752106"/>
        <n v="34.166674625668435"/>
        <n v="34.162943001544079"/>
        <n v="32.469789824035338"/>
        <n v="33.789534212848089"/>
        <n v="32.481025695291564"/>
        <n v="32.461043190859023"/>
        <n v="32.47130496146584"/>
        <n v="32.453320779067113"/>
        <n v="32.478127143908466"/>
        <n v="32.446465198586914"/>
        <n v="32.470446894009413"/>
        <n v="32.453652991050902"/>
        <n v="32.450517844547477"/>
        <n v="32.448229073756018"/>
        <n v="32.437157886999849"/>
        <n v="34.168365295497182"/>
        <n v="32.437425126127401"/>
        <n v="34.173400183895211"/>
        <n v="32.433821450574811"/>
        <n v="31.643253741560194"/>
        <n v="32.433618255377588"/>
        <n v="32.427233854173423"/>
        <n v="32.433999738055675"/>
        <n v="32.456243361412199"/>
        <n v="31.068370550544124"/>
        <n v="31.813338139853375"/>
        <n v="32.059007503248921"/>
        <n v="31.918308775781338"/>
        <n v="31.913480344263363"/>
        <n v="31.703557185365689"/>
        <n v="31.735427925544286"/>
        <n v="33.084317779198301"/>
        <n v="31.978422205454347"/>
        <n v="31.985410751419913"/>
        <n v="32.035821616682668"/>
        <n v="32.045530552657681"/>
        <n v="32.620362221123145"/>
        <n v="32.475078625823258"/>
        <n v="32.568031567009946"/>
        <n v="32.542232689419102"/>
        <n v="32.44525767797348"/>
        <n v="32.522668619441852"/>
        <n v="32.520399245713506"/>
        <n v="35.038693682959178"/>
        <n v="35.034805865216391"/>
        <n v="35.034924782373317"/>
        <n v="35.037435460147165"/>
        <n v="35.039287826264221"/>
        <n v="35.044832520150379"/>
        <n v="35.031517275794648"/>
        <n v="34.073002280109577"/>
        <n v="34.181679325655701"/>
        <n v="33.715026710287866"/>
        <n v="33.969836324758148"/>
        <n v="33.976922127842862"/>
        <n v="34.202774008078443"/>
        <n v="34.160776379831631"/>
        <n v="34.176828123754532"/>
        <n v="34.015410664224589"/>
        <n v="34.026014050557265"/>
        <n v="34.285694046917484"/>
        <n v="34.352927615367278"/>
        <n v="34.577922826387095"/>
        <n v="34.226828607040062"/>
        <n v="35.038688178037361"/>
        <n v="35.034600852317929"/>
        <n v="33.332061380687065"/>
        <n v="33.317645153678058"/>
        <n v="33.336098606461242"/>
        <n v="33.345398938932405"/>
        <n v="33.330865364514437"/>
        <n v="33.320730587367137"/>
        <n v="33.332208467072917"/>
        <n v="33.335293792727747"/>
        <n v="33.344011324859892"/>
        <n v="33.334653268867932"/>
        <n v="33.327377443502336"/>
        <n v="33.341088209087751"/>
        <n v="33.330255067635655"/>
        <n v="35.03954262384476"/>
        <n v="35.04098045898558"/>
        <n v="34.642303732210685"/>
        <n v="34.724568148754734"/>
        <n v="34.789754027856013"/>
        <n v="34.724778621968341"/>
        <n v="34.631618500720727"/>
        <n v="35.209199012660612"/>
        <n v="35.186235115149806"/>
        <n v="35.76708924463685"/>
        <n v="35.552283594114527"/>
        <n v="35.231659332661927"/>
        <n v="35.157581895121176"/>
        <n v="35.916238077002681"/>
        <n v="34.26208045529976"/>
        <n v="35.905869903610679"/>
        <n v="32.507107456502411"/>
        <n v="32.443687747435753"/>
        <n v="32.465134791437258"/>
        <n v="32.445375614317356"/>
        <n v="32.459827031930331"/>
        <n v="32.163877761204972"/>
        <n v="32.126968461385395"/>
        <n v="32.073162711270939"/>
        <n v="32.158692130191781"/>
        <n v="32.3736961932036"/>
        <n v="32.445250167005874"/>
        <n v="32.094330109826068"/>
        <n v="32.105239313777744"/>
        <n v="33.754778397035892"/>
        <n v="32.166842837616194"/>
        <n v="32.177098804785558"/>
        <n v="32.425341223429371"/>
        <n v="32.314773181493955"/>
        <n v="32.198841510659577"/>
        <n v="32.15739121850735"/>
        <n v="32.169576465281622"/>
        <n v="32.1768517839322"/>
        <n v="32.157059362241078"/>
        <n v="32.141067316935185"/>
        <n v="32.124713038980168"/>
        <n v="32.105817270140562"/>
        <n v="32.16599267772947"/>
        <n v="31.98856798666365"/>
        <n v="31.995369733198849"/>
        <n v="32.067654885424723"/>
        <n v="32.097495628424234"/>
        <n v="32.416828128139606"/>
        <n v="32.155458625692283"/>
        <n v="32.109964047791436"/>
        <n v="32.136001976293279"/>
        <n v="32.135867684190174"/>
        <n v="32.107545212407516"/>
        <n v="32.074398709068028"/>
        <n v="32.067428302469715"/>
        <n v="32.06988983938664"/>
        <n v="32.034021630997863"/>
        <n v="31.787539451587339"/>
        <n v="33.202334200872663"/>
        <n v="33.005233657645654"/>
        <n v="33.610084425144812"/>
        <n v="33.461942957891701"/>
        <n v="35.045539505158061"/>
        <n v="35.026572574722508"/>
        <n v="35.038132821822074"/>
        <n v="35.041563798028413"/>
        <n v="35.035732639490078"/>
        <n v="35.030240075045704"/>
        <n v="35.037367885963974"/>
        <n v="35.034616246550925"/>
        <n v="35.037025496919732"/>
        <n v="35.039570185568238"/>
        <n v="35.043785603408622"/>
        <n v="35.040912937510939"/>
        <n v="35.041498987088588"/>
        <n v="35.037323481185112"/>
        <n v="35.041177386347641"/>
        <n v="35.03323692012895"/>
        <n v="35.039946001829684"/>
        <n v="35.037408957771923"/>
        <n v="35.043169609251855"/>
        <n v="35.028352360761616"/>
        <n v="35.046292213264223"/>
        <n v="35.0343818850669"/>
        <n v="32.442836519258258"/>
        <n v="35.033835803173481"/>
        <n v="35.033929043690975"/>
        <n v="32.43272552149309"/>
        <n v="35.040462804545342"/>
        <n v="35.045683808994283"/>
        <n v="35.026956620284828"/>
        <n v="32.460276236630143"/>
        <n v="35.037833933202954"/>
        <n v="32.440007282265533"/>
        <n v="32.439045525447767"/>
        <n v="32.44863237358026"/>
        <n v="32.45007160044571"/>
        <n v="32.431428386981096"/>
        <n v="32.451545737714831"/>
        <n v="32.44491955360845"/>
        <n v="32.43200684692583"/>
        <n v="32.433203612688608"/>
        <n v="32.436681487380653"/>
        <n v="32.417773736431585"/>
        <n v="32.424866020605094"/>
        <n v="35.040340208767354"/>
        <n v="35.043305976705263"/>
        <n v="32.448783197982117"/>
        <n v="32.46078413027594"/>
        <n v="32.471281999244596"/>
        <n v="32.459814636670799"/>
        <n v="32.462081041000289"/>
        <n v="32.452087746362594"/>
        <n v="32.435521532333361"/>
        <n v="32.448199249451818"/>
        <n v="32.458401783502985"/>
        <n v="32.454468704967077"/>
        <n v="32.454758717237183"/>
        <n v="32.457405324636653"/>
        <n v="33.311460347998484"/>
        <n v="33.321440871062336"/>
        <n v="33.316724352683487"/>
        <n v="33.32354910587835"/>
        <n v="33.373661402981412"/>
        <n v="33.330249902289054"/>
        <n v="31.87091499415342"/>
        <n v="30.835363484585205"/>
        <n v="30.722163023212453"/>
        <n v="30.750489889926612"/>
        <n v="30.763479743387361"/>
        <n v="30.754851135910783"/>
        <n v="30.721555040092884"/>
        <n v="30.702370088622562"/>
        <n v="30.732966843722689"/>
        <n v="30.727268199644893"/>
        <n v="30.734457415357504"/>
        <n v="30.731381915938421"/>
        <n v="30.728840185133308"/>
        <n v="30.721474959701656"/>
        <n v="35.041288974681358"/>
        <n v="35.04067772128225"/>
        <n v="35.034656781384633"/>
        <n v="35.038753278376987"/>
        <n v="35.038732663116505"/>
        <n v="35.03676482973291"/>
        <n v="35.033852769047201"/>
        <n v="35.033345976497301"/>
        <n v="35.044197023715427"/>
        <n v="35.027974326826929"/>
        <n v="35.03319389215617"/>
        <n v="35.037431412322661"/>
        <n v="35.031644552425355"/>
        <n v="35.037009958599874"/>
        <n v="35.03600266989185"/>
        <n v="32.508654655666675"/>
        <n v="32.463600232701637"/>
        <n v="32.460855844275905"/>
        <n v="32.445658701920422"/>
        <n v="32.451194364410597"/>
        <n v="32.443489673266946"/>
        <n v="32.441553221169436"/>
        <n v="32.429802552116733"/>
        <n v="32.442092190887323"/>
        <n v="32.446736435935975"/>
        <n v="32.450468695478698"/>
        <n v="32.447586341879649"/>
        <n v="32.442181315826382"/>
        <n v="36.723891143921357"/>
        <n v="36.666215700229003"/>
        <n v="36.767999660937022"/>
        <n v="36.769869511290864"/>
        <n v="36.731836017268471"/>
        <n v="36.747478765785893"/>
        <n v="36.779559090695642"/>
        <n v="36.732049348838828"/>
        <n v="36.77462101049673"/>
        <n v="36.754061551555857"/>
        <n v="36.762180772396931"/>
        <n v="36.759686919393822"/>
        <n v="36.74731599493596"/>
        <n v="36.683705374717739"/>
        <n v="36.730263328150052"/>
        <n v="36.681080746398301"/>
        <n v="36.7695755260551"/>
        <n v="36.716509774781947"/>
        <n v="36.697985610425548"/>
        <n v="36.699236951443091"/>
        <n v="36.765071748818663"/>
        <n v="36.76696370918345"/>
        <n v="36.734714534682389"/>
        <n v="36.725232409162537"/>
        <n v="36.7318480976909"/>
        <n v="36.768663029011535"/>
        <n v="36.769732840310766"/>
        <n v="36.797871821250887"/>
        <n v="39.398444559765444"/>
        <n v="39.39191288579886"/>
        <n v="37.621246461929466"/>
        <n v="37.659270247771417"/>
        <n v="37.658693248120642"/>
        <n v="37.660380475836121"/>
        <n v="37.749648569710068"/>
        <n v="37.610799315016948"/>
        <n v="37.623147537686741"/>
        <n v="37.539646933138044"/>
        <n v="37.602451291346988"/>
        <n v="37.627136761747252"/>
        <n v="37.615982531095923"/>
        <n v="37.576549448485032"/>
        <n v="37.616695947189413"/>
        <n v="37.590320186165954"/>
        <n v="37.502484473233103"/>
        <n v="42.134209398922721"/>
        <n v="42.333317766051586"/>
        <n v="42.360856891071755"/>
        <n v="41.919382017893916"/>
        <n v="41.870498236239676"/>
        <n v="42.836997651692357"/>
        <n v="42.928021325852136"/>
        <n v="42.717340622819343"/>
        <n v="42.708716416712157"/>
        <n v="42.542243296754357"/>
        <n v="42.175227788327248"/>
        <n v="40.654159211119762"/>
        <n v="40.129130767500207"/>
        <n v="40.202208839634686"/>
        <n v="40.691839921538921"/>
        <n v="39.938942024880845"/>
        <n v="38.597115086780676"/>
        <n v="40.558744588237964"/>
        <n v="40.529523749753082"/>
        <n v="39.522541986733501"/>
        <n v="38.153321377917628"/>
        <n v="38.44773329059791"/>
        <n v="38.258855342956103"/>
        <n v="38.320403222281669"/>
        <n v="38.44798102142591"/>
        <n v="38.541765489673558"/>
        <n v="38.528072020739614"/>
        <n v="38.267614012834947"/>
        <n v="38.418100314414481"/>
        <n v="38.239849378153444"/>
        <n v="38.280863274259787"/>
        <n v="40.798779783687969"/>
        <n v="40.678160305645306"/>
        <n v="41.174555016820023"/>
        <n v="41.174202183195689"/>
        <n v="41.148813010291065"/>
        <n v="41.166715987499295"/>
        <n v="41.175514068825507"/>
        <n v="41.182381514620822"/>
        <n v="38.592741977680575"/>
        <n v="38.573046493313797"/>
        <n v="38.609783000603443"/>
        <n v="38.6019452755678"/>
        <n v="38.583156225415792"/>
        <n v="38.580192906044267"/>
        <n v="38.559319832825786"/>
        <n v="38.583249452216492"/>
        <n v="41.176475937326856"/>
        <n v="41.164228773396879"/>
        <n v="41.176658230298401"/>
        <n v="41.175042317084973"/>
        <n v="41.181874171201407"/>
        <n v="41.175070170680335"/>
        <n v="41.180873973337818"/>
        <n v="41.184914267648857"/>
        <n v="41.16645338767848"/>
        <n v="41.180506141486333"/>
        <n v="41.173764463294283"/>
        <n v="41.181423222733052"/>
        <n v="41.180521425988928"/>
        <n v="41.172899327011379"/>
        <n v="41.177691243226469"/>
        <n v="41.18254320982696"/>
        <n v="41.168722571401091"/>
        <n v="41.173049448862237"/>
        <n v="41.16619763944675"/>
        <n v="41.179552485999942"/>
        <n v="41.172692878722181"/>
        <n v="41.166815037759704"/>
        <n v="41.171116409712901"/>
        <n v="41.168976274705507"/>
        <n v="41.175156725454606"/>
        <n v="41.16925102753008"/>
        <n v="41.176992898905077"/>
        <n v="41.174846069212947"/>
        <n v="41.154167142159793"/>
        <n v="41.186570818244427"/>
        <n v="41.176952358530322"/>
        <n v="41.165290824177383"/>
        <n v="41.173427774081446"/>
        <n v="41.172643858746291"/>
        <n v="37.712106584480935"/>
        <n v="37.720889397144454"/>
        <n v="37.702810779511815"/>
        <n v="37.727241295019304"/>
        <n v="37.733370340576769"/>
        <n v="37.710224265284019"/>
        <n v="37.719159995349898"/>
        <n v="37.688105837959924"/>
        <n v="37.720082516366254"/>
        <n v="37.713233652988031"/>
        <n v="37.718373126950233"/>
        <n v="37.705175156562682"/>
        <n v="37.708616525395009"/>
        <n v="40.327122832734496"/>
        <n v="37.736900145889187"/>
        <n v="37.774914815720827"/>
        <n v="37.71079693093867"/>
        <n v="37.707292196694084"/>
        <n v="37.747285231311281"/>
        <n v="37.733579705033165"/>
        <n v="37.727952544462788"/>
        <n v="37.722064051970833"/>
        <n v="37.73366128418791"/>
        <n v="37.837178315921484"/>
        <n v="37.772145424195877"/>
        <n v="37.765499151137206"/>
        <n v="41.168845455963051"/>
        <n v="41.169097548127048"/>
        <n v="41.172463222371789"/>
        <n v="41.171705717366791"/>
        <n v="41.173655953396441"/>
        <n v="41.166084512200598"/>
        <n v="41.178984933233579"/>
        <n v="41.172578144476006"/>
        <n v="41.16145444032184"/>
        <n v="41.194826909219813"/>
        <n v="41.158200224145723"/>
        <n v="41.155407254905001"/>
        <n v="41.173403355116612"/>
        <n v="41.18116224677177"/>
        <n v="41.177347092232701"/>
        <n v="41.165056054620635"/>
        <n v="37.759875577215098"/>
        <n v="37.771305376190959"/>
        <n v="37.713423050924256"/>
        <n v="37.736133704514138"/>
        <n v="37.721424073186633"/>
        <n v="37.746823053867985"/>
        <n v="37.715309986392903"/>
        <n v="37.738553448897882"/>
        <n v="37.774993861600393"/>
        <n v="37.760466300709915"/>
        <n v="37.790803199668893"/>
        <n v="37.76434334834066"/>
        <n v="37.754999566983457"/>
        <n v="37.730822003445056"/>
        <n v="40.665639965379555"/>
        <n v="41.174080605956263"/>
        <n v="41.174571515683844"/>
        <n v="41.179450217230141"/>
        <n v="41.180924785535936"/>
        <n v="41.183365767652795"/>
        <n v="41.177529681817852"/>
        <n v="41.650691584954288"/>
        <n v="41.6870228369459"/>
        <n v="41.736311722387512"/>
        <n v="41.815661602466072"/>
        <n v="41.879956688706301"/>
        <n v="41.941624099652643"/>
        <n v="41.929235634842584"/>
        <n v="42.035732043614196"/>
        <n v="38.597771740883573"/>
        <n v="42.057419071213396"/>
        <n v="38.64001444879883"/>
        <n v="37.802975884335261"/>
        <n v="38.688903236466729"/>
        <n v="38.697260035743163"/>
        <n v="38.606276171359887"/>
        <n v="38.637941674293671"/>
        <n v="38.602330465222131"/>
        <n v="38.62591131777306"/>
        <n v="37.788901029795582"/>
        <n v="38.61651669714535"/>
        <n v="38.670683858696933"/>
        <n v="38.753512865603327"/>
        <n v="37.757038944479845"/>
        <n v="41.150973219769554"/>
        <n v="37.790260609609021"/>
        <n v="37.755070167074258"/>
        <n v="37.763265365888962"/>
        <n v="37.748318937384042"/>
        <n v="37.745633167782884"/>
        <n v="37.73313537320243"/>
        <n v="37.74762183224545"/>
        <n v="37.742223084433476"/>
        <n v="37.732595670589312"/>
        <n v="37.733689683837937"/>
        <n v="37.73693823954811"/>
        <n v="37.916677340243325"/>
        <n v="37.818908468728424"/>
        <n v="42.049889449621851"/>
        <n v="37.745838644940285"/>
        <n v="37.735707520721881"/>
        <n v="37.76815904374282"/>
        <n v="37.738706392358246"/>
        <n v="37.74103963938488"/>
        <n v="37.742790072610475"/>
        <n v="37.737610558032358"/>
        <n v="37.751719206024525"/>
        <n v="37.729565624531887"/>
        <n v="37.756793448382169"/>
        <n v="37.722963612762662"/>
        <n v="37.720737654648772"/>
        <n v="37.749836125741886"/>
        <n v="37.766896222273807"/>
        <n v="37.744190860216825"/>
        <n v="37.753971887678802"/>
        <n v="37.7475651877239"/>
        <n v="42.024701751135893"/>
        <n v="42.052961941885044"/>
        <n v="42.030453602148476"/>
        <n v="42.014827448431653"/>
        <n v="42.047934750137237"/>
        <n v="42.032135137605337"/>
        <n v="42.058004021490426"/>
        <n v="42.030243050536299"/>
        <n v="41.95294229336271"/>
        <n v="42.015427050509047"/>
        <n v="41.998184457343747"/>
        <n v="42.03595451112156"/>
        <n v="42.042284152847081"/>
        <n v="42.064023889129899"/>
        <n v="42.025452267418949"/>
        <n v="42.015822817528871"/>
        <n v="37.779387964379339"/>
        <n v="37.789068303235915"/>
        <n v="37.820093975663397"/>
        <n v="37.793834053904781"/>
        <n v="37.779505717690334"/>
        <n v="37.755475891414527"/>
        <n v="37.758145229241428"/>
        <n v="37.748195410135814"/>
        <n v="37.728817240133182"/>
        <n v="37.78300685557565"/>
        <n v="37.82466508110857"/>
        <n v="37.837203004887606"/>
        <n v="37.815203551576069"/>
        <n v="37.782846101334925"/>
        <n v="39.936854026504029"/>
        <n v="39.407451466627847"/>
        <n v="39.431346401735958"/>
        <n v="39.604501819534462"/>
        <n v="39.146339950245483"/>
        <n v="39.336230436167931"/>
        <n v="39.205071578653687"/>
        <n v="39.183629663048904"/>
        <n v="38.892680220692398"/>
        <n v="38.828765320764298"/>
        <n v="38.964864135080191"/>
        <n v="39.17545405404654"/>
        <n v="39.130750062926694"/>
        <n v="38.988648050021737"/>
        <n v="38.795882979168347"/>
        <n v="38.523485427041813"/>
        <n v="38.566920172109974"/>
        <n v="38.808775196986339"/>
        <n v="38.74587260871521"/>
        <n v="38.734550115022358"/>
        <n v="38.654535470760095"/>
        <n v="38.692011605742486"/>
        <n v="38.744962627111988"/>
        <n v="38.779040318894438"/>
        <n v="38.919134626081899"/>
        <n v="39.040894026744908"/>
        <n v="39.123446406842035"/>
        <n v="38.700987931111356"/>
        <n v="38.749190222946865"/>
        <n v="38.686040635817115"/>
        <n v="38.96595734867163"/>
        <n v="38.922076004727387"/>
        <n v="38.839507583652512"/>
        <n v="38.613729414503581"/>
        <n v="38.507453005297741"/>
        <n v="38.171392614086464"/>
        <n v="38.128897642444684"/>
        <n v="38.181618559243546"/>
        <n v="38.22946872679325"/>
        <n v="38.07934673300133"/>
        <n v="38.103002635106726"/>
        <n v="38.140967551762749"/>
        <n v="38.467190720414109"/>
        <n v="38.499155803732691"/>
        <n v="38.230948668522181"/>
        <n v="38.188723120044003"/>
        <n v="38.837674182542855"/>
        <n v="38.902310939244352"/>
        <n v="34.226943752205187"/>
        <n v="34.28236551290555"/>
        <n v="34.26694614030373"/>
        <n v="34.213514563064606"/>
        <n v="34.202610861149125"/>
        <n v="34.204241023072044"/>
        <n v="34.210447997025604"/>
        <n v="34.183776457491199"/>
        <n v="34.228494385307449"/>
        <n v="34.209006689437651"/>
        <n v="34.263305702705892"/>
        <n v="34.24003867162812"/>
        <n v="34.316584269086498"/>
        <n v="34.223622675733822"/>
        <n v="38.832595475563807"/>
        <n v="38.762711831570876"/>
        <n v="39.291223333393049"/>
        <n v="39.17047718358706"/>
        <n v="39.061777708771523"/>
        <n v="39.179489015989297"/>
        <n v="39.247692952156036"/>
        <n v="39.232953514996339"/>
        <n v="39.061728274534438"/>
        <n v="39.146345533625158"/>
        <n v="39.033982585490243"/>
        <n v="39.069400768567661"/>
        <n v="38.827392170130103"/>
        <n v="39.415895450089181"/>
        <n v="39.424110093748098"/>
        <n v="33.606109306133582"/>
        <n v="33.400891594304895"/>
        <n v="33.366971164520294"/>
        <n v="33.370026412336628"/>
        <n v="33.358516173402222"/>
        <n v="33.372807515310555"/>
        <n v="33.368034810113713"/>
        <n v="33.379633275773116"/>
        <n v="33.345406809693038"/>
        <n v="33.478072363913419"/>
        <n v="33.39502961777147"/>
        <n v="33.344720608270372"/>
        <n v="33.36629433237696"/>
        <n v="33.396372550863504"/>
        <n v="39.437967003813419"/>
        <n v="39.424302053756861"/>
        <n v="39.423311421524886"/>
        <n v="39.432009084781335"/>
        <n v="39.43228741901811"/>
        <n v="39.419206101437112"/>
        <n v="39.431060937677053"/>
        <n v="39.43534333163575"/>
        <n v="39.41842112409018"/>
        <n v="39.433920215508003"/>
        <n v="39.422768988901595"/>
        <n v="39.425272688695038"/>
        <n v="39.432613458245449"/>
        <n v="39.413946084306701"/>
        <n v="39.440249161851767"/>
        <n v="39.415199889432955"/>
        <n v="36.844704772523528"/>
        <n v="36.833078172080938"/>
        <n v="36.860924083950557"/>
        <n v="36.845170015647923"/>
        <n v="36.843335604470475"/>
        <n v="35.150041717100663"/>
        <n v="36.845376003683967"/>
        <n v="36.875174534786616"/>
        <n v="35.132419499782145"/>
        <n v="36.843380889509369"/>
        <n v="36.844590366452664"/>
        <n v="36.845333835184917"/>
        <n v="35.136588200488795"/>
        <n v="36.849327724951479"/>
        <n v="36.849936978847062"/>
        <n v="35.090051892484809"/>
        <n v="36.850749645590604"/>
        <n v="40.309437779270127"/>
        <n v="35.105822076585582"/>
        <n v="35.079208128789467"/>
        <n v="35.059597627617848"/>
        <n v="35.102290670784498"/>
        <n v="35.094914912942016"/>
        <n v="35.130119176183406"/>
        <n v="35.143310158096035"/>
        <n v="35.091835350632522"/>
        <n v="35.095622303549838"/>
        <n v="35.099289805433962"/>
        <n v="35.138786799664103"/>
        <n v="35.128597443114849"/>
        <n v="35.098879569011252"/>
        <n v="41.152082299483993"/>
        <n v="35.133347820885668"/>
        <n v="35.118610518961411"/>
        <n v="33.586021916520799"/>
        <n v="33.390424928662398"/>
        <n v="33.385026422556976"/>
        <n v="33.42734505609419"/>
        <n v="35.114329376733991"/>
        <n v="35.107677283687288"/>
        <n v="35.209426204803542"/>
        <n v="35.074813409224355"/>
        <n v="35.150559961944161"/>
        <n v="35.254528510493046"/>
        <n v="35.499616908191676"/>
        <n v="41.147226282315629"/>
        <n v="36.880564461759526"/>
        <n v="37.04388973694644"/>
        <n v="36.892989939111828"/>
        <n v="36.883291524071367"/>
        <n v="35.394693045937167"/>
        <n v="36.981030242541607"/>
        <n v="36.868108837417537"/>
        <n v="35.459066546240372"/>
        <n v="35.606388943855187"/>
        <n v="35.329389861230403"/>
        <n v="35.298453522102427"/>
        <n v="35.564466640592201"/>
        <n v="35.443355513958558"/>
        <n v="35.29079832310854"/>
        <n v="35.329497070124972"/>
        <n v="41.066787986687402"/>
        <n v="41.11406058265014"/>
        <n v="41.071555199278684"/>
        <n v="41.121929482518809"/>
        <n v="41.089147147718897"/>
        <n v="41.132118984342178"/>
        <n v="35.119233578361843"/>
        <n v="35.08548662579566"/>
        <n v="35.123842542788559"/>
        <n v="35.12118269080802"/>
        <n v="35.087749948463376"/>
        <n v="35.050604796198385"/>
        <n v="35.061857261149918"/>
        <n v="35.079324032311199"/>
        <n v="41.085790377979507"/>
        <n v="41.151114653219295"/>
        <n v="41.091882419532723"/>
        <n v="41.120848563509526"/>
        <n v="41.12988357857234"/>
        <n v="41.157364606448425"/>
        <n v="41.144210634662464"/>
        <n v="41.111646551137696"/>
        <n v="41.151391086331131"/>
        <n v="41.120320666618397"/>
        <n v="41.119379511071131"/>
        <n v="41.116989714448998"/>
        <n v="41.131546155485431"/>
        <n v="41.115390379294752"/>
        <n v="33.415094235594928"/>
        <n v="41.183214628870012"/>
        <n v="34.197955264302088"/>
        <n v="34.23151191879716"/>
        <n v="34.276929790596462"/>
        <n v="34.273819401365081"/>
        <n v="34.24531013971442"/>
        <n v="34.230207251188347"/>
        <n v="34.207229347202095"/>
        <n v="33.444061282595612"/>
        <n v="33.405220166374939"/>
        <n v="33.425910642018607"/>
        <n v="33.389573218434208"/>
        <n v="34.267665023110325"/>
        <n v="34.253021344706106"/>
        <n v="34.342443782003613"/>
        <n v="34.285760331222704"/>
        <n v="34.276935091071429"/>
        <n v="34.305694015687045"/>
        <n v="34.251580321887843"/>
        <n v="41.15692482593284"/>
        <n v="42.006164400098299"/>
        <n v="41.99012489148182"/>
        <n v="42.021449708714066"/>
        <n v="42.032036036424827"/>
        <n v="42.020851481431968"/>
        <n v="41.988225017152246"/>
        <n v="42.012325841210973"/>
        <n v="35.098923577344934"/>
        <n v="41.977123735186758"/>
        <n v="41.98792038500526"/>
        <n v="35.120418660084503"/>
        <n v="42.009226969002633"/>
        <n v="42.02390389113846"/>
        <n v="41.977616327086764"/>
        <n v="36.841668496305758"/>
        <n v="36.545761271613898"/>
        <n v="38.244427034941261"/>
        <n v="38.500892827076839"/>
        <n v="39.106562716089975"/>
        <n v="38.191891813575545"/>
        <n v="38.319278256373465"/>
        <n v="38.462407367887309"/>
        <n v="38.560954377625983"/>
        <n v="38.779711348052544"/>
        <n v="39.11658727033366"/>
        <n v="39.390428811410352"/>
        <n v="37.897309192394708"/>
        <n v="38.381796676058975"/>
        <n v="41.994085006659624"/>
        <n v="41.987675092500282"/>
        <n v="42.046924535239562"/>
        <n v="42.04126656722682"/>
        <n v="42.078809155787368"/>
        <n v="42.060236428039438"/>
        <n v="42.037373301363822"/>
        <n v="42.01936124172542"/>
        <n v="42.042232790342879"/>
        <n v="41.948998508539397"/>
        <n v="41.995206992346809"/>
        <n v="42.059654369839144"/>
        <n v="42.027821436903103"/>
        <n v="41.898107604678962"/>
        <n v="41.099298450784389"/>
        <n v="39.839026363282315"/>
        <n v="40.36171231940444"/>
        <n v="39.70984453914852"/>
        <n v="39.808889621296132"/>
        <n v="39.595435670952433"/>
        <n v="39.367245634398742"/>
        <n v="36.832138726529493"/>
        <n v="36.907283489855821"/>
        <n v="36.996211075742679"/>
        <n v="37.237326004395875"/>
        <n v="37.087713773156125"/>
        <n v="39.353668043998923"/>
        <n v="39.995543270990922"/>
        <n v="42.073605919961544"/>
        <n v="35.262954773275865"/>
        <n v="35.239777659507602"/>
        <n v="35.249586138884567"/>
        <n v="35.391963461277385"/>
        <n v="35.327389424663721"/>
        <n v="35.153963869973971"/>
        <n v="35.209690540941935"/>
        <n v="35.2459978245762"/>
        <n v="35.245597136866984"/>
        <n v="35.195383442206079"/>
        <n v="35.230718907279588"/>
        <n v="35.202094622430181"/>
        <n v="35.1902208811807"/>
        <n v="34.393436508648222"/>
        <n v="34.146592344322627"/>
        <n v="34.194762586351573"/>
        <n v="34.159196375711993"/>
        <n v="34.140134015484833"/>
        <n v="34.108726212586966"/>
        <n v="34.13978939797417"/>
        <n v="34.135801929172793"/>
        <n v="34.218697218210067"/>
        <n v="34.198208546522743"/>
        <n v="34.213885676766552"/>
        <n v="34.160189153069588"/>
        <n v="34.138898680883443"/>
        <n v="34.128791323703773"/>
        <n v="34.190397869741716"/>
        <n v="34.14848344894714"/>
        <n v="34.177429646531586"/>
        <n v="34.162422021783698"/>
        <n v="34.162735409731276"/>
        <n v="42.05212352581983"/>
        <n v="42.050713049025831"/>
        <n v="42.084614760973857"/>
        <n v="42.056269909799255"/>
        <n v="42.065378422365335"/>
        <n v="42.062441760351433"/>
        <n v="42.072906320612752"/>
        <n v="42.072456199019008"/>
        <n v="42.047999034903491"/>
        <n v="42.062041571772909"/>
        <n v="42.052997396318304"/>
        <n v="42.063815127601409"/>
        <n v="42.056874565098731"/>
        <n v="42.057422465259044"/>
        <n v="42.070290368357369"/>
        <n v="35.084635552453349"/>
        <n v="34.319034422833617"/>
        <n v="34.262836745525611"/>
        <n v="34.270277136665143"/>
        <n v="34.295113845946979"/>
        <n v="34.238660304976072"/>
        <n v="34.230969717604275"/>
        <n v="34.337132605434221"/>
        <n v="34.270938818136848"/>
        <n v="34.245244651384979"/>
        <n v="34.320793138695571"/>
        <n v="34.28767293949646"/>
        <n v="34.24662114796341"/>
        <n v="34.257849590064879"/>
        <n v="42.054870096859339"/>
        <n v="34.191783752507909"/>
        <n v="35.1005635238471"/>
        <n v="35.112414774755045"/>
        <n v="34.268141830607092"/>
        <n v="35.087527727231858"/>
        <n v="35.086937028377776"/>
        <n v="35.091244622298426"/>
        <n v="34.250199426400577"/>
        <n v="35.122320764088364"/>
        <n v="35.092623154305947"/>
        <n v="34.248000135827994"/>
        <n v="35.10112415251276"/>
        <n v="35.101225429330341"/>
        <n v="35.124579953219609"/>
        <n v="42.043180704995002"/>
        <n v="33.392041059384162"/>
        <n v="33.419388750721055"/>
        <n v="33.443107778059478"/>
        <n v="33.365260777527688"/>
        <n v="33.412646250048567"/>
        <n v="33.397049472838177"/>
        <n v="33.364982373082775"/>
        <n v="33.336207432751422"/>
        <n v="33.394461566351225"/>
        <n v="33.400197351663557"/>
        <n v="33.363435831736822"/>
        <n v="33.392442836671677"/>
        <n v="33.353081972881085"/>
        <n v="33.454506761979978"/>
        <n v="42.067151424105056"/>
        <n v="42.057279319203523"/>
        <n v="42.063300934441024"/>
        <n v="42.081986353700181"/>
        <n v="42.054347495587386"/>
        <n v="42.06822345530864"/>
        <n v="42.057810723759644"/>
        <n v="42.07937960821593"/>
        <n v="42.065778879287514"/>
        <n v="42.055312721376296"/>
        <n v="42.044577483924165"/>
        <n v="42.057146217432958"/>
        <n v="42.077910035933733"/>
        <n v="42.069277284509724"/>
        <n v="42.05516163086633"/>
        <n v="42.05542332433216"/>
        <n v="42.05900711138915"/>
        <n v="42.075776378437745"/>
        <n v="42.045012866005976"/>
        <n v="42.073698874282762"/>
        <n v="42.064783749189822"/>
        <n v="42.064162791888961"/>
        <n v="42.057166083890131"/>
        <n v="42.060065251335601"/>
        <n v="42.07620555565876"/>
        <n v="42.073409003871284"/>
        <n v="42.050496076354385"/>
        <n v="42.04484279463238"/>
        <n v="42.069383328848588"/>
        <n v="42.064057620052658"/>
        <n v="42.050526129860323"/>
        <n v="42.058657640100606"/>
        <n v="42.062339190859824"/>
        <n v="34.285720484624029"/>
        <n v="34.833390170592033"/>
        <n v="34.637432223195908"/>
        <n v="34.264707125607181"/>
        <n v="34.419474012699972"/>
        <n v="35.00269407983334"/>
        <n v="34.739232584508358"/>
        <n v="34.592451207292534"/>
        <n v="34.613827111092988"/>
        <n v="34.586438501441457"/>
        <n v="34.623441785899544"/>
        <n v="34.482124587342142"/>
        <n v="34.686765417846246"/>
        <n v="42.065437834029225"/>
        <n v="33.927138142536855"/>
        <n v="34.056799027350102"/>
        <n v="34.103772530641464"/>
        <n v="34.164297133341378"/>
        <n v="34.145481523862919"/>
        <n v="34.166468519354687"/>
        <n v="34.139135319279156"/>
        <n v="34.158016242624491"/>
        <n v="34.138270186084561"/>
        <n v="34.197137740927111"/>
        <n v="34.1750977215276"/>
        <n v="34.160160103278088"/>
        <n v="34.132732502622275"/>
        <n v="34.187825193443281"/>
        <n v="42.07004491890558"/>
        <n v="42.072059510699951"/>
        <n v="40.342158892871232"/>
        <n v="40.355898904048345"/>
        <n v="40.323423703856513"/>
        <n v="40.337069850193743"/>
        <n v="40.297650671112756"/>
        <n v="40.344710679143702"/>
        <n v="40.33878384269331"/>
        <n v="40.314389492336716"/>
        <n v="40.338723228538633"/>
        <n v="40.344208125854358"/>
        <n v="40.317283161939613"/>
        <n v="40.3444317614738"/>
        <n v="40.358430863872073"/>
        <n v="40.313597957921438"/>
        <n v="40.334583855161384"/>
        <n v="40.351033486804518"/>
        <n v="40.321256309212309"/>
        <n v="40.308235297674827"/>
        <n v="40.315863767766686"/>
        <n v="37.189617340749301"/>
        <n v="37.170397438979556"/>
        <n v="36.982538567239708"/>
        <n v="37.018659503691438"/>
        <n v="37.371721580932146"/>
        <n v="40.327367548449544"/>
        <n v="40.30913096778611"/>
        <n v="40.338411734263062"/>
        <n v="40.390502524637725"/>
        <n v="40.325764196329757"/>
        <n v="40.321211462975555"/>
        <n v="40.304815612858263"/>
        <n v="40.328569432981091"/>
        <n v="40.305730884676606"/>
        <n v="40.394999694238436"/>
        <n v="42.86797030836852"/>
        <n v="42.917755744864188"/>
        <n v="42.924559753829335"/>
        <n v="42.918567680711789"/>
        <n v="42.931637589211896"/>
        <n v="42.925685824873838"/>
        <n v="42.956040244344088"/>
        <n v="42.657988432185022"/>
        <n v="42.694773398886987"/>
        <n v="42.743767863419336"/>
        <n v="42.764440247527446"/>
        <n v="42.693163309856004"/>
        <n v="42.668479955409317"/>
        <n v="42.605140217287151"/>
        <n v="42.701048751233095"/>
        <n v="42.66375342284703"/>
        <n v="42.672637578418815"/>
        <n v="42.680807515123497"/>
        <n v="42.721535088371184"/>
        <n v="42.73112426085406"/>
        <n v="42.713768411139"/>
        <n v="42.823923155556749"/>
        <n v="42.749940407043191"/>
        <n v="42.800301266553454"/>
        <n v="42.750886895397009"/>
        <n v="42.936427721195194"/>
        <n v="42.921798372008453"/>
        <n v="42.9509146093692"/>
        <n v="42.934671455126349"/>
        <n v="42.93986169025478"/>
        <n v="42.934906229811318"/>
        <n v="42.940281914685144"/>
        <n v="42.929742758739657"/>
        <n v="43.791441987652462"/>
        <n v="43.805996531616287"/>
      </sharedItems>
    </cacheField>
    <cacheField name="Quantity Sold" numFmtId="0">
      <sharedItems containsSemiMixedTypes="0" containsString="0" containsNumber="1" containsInteger="1" minValue="508" maxValue="2641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eas" refreshedDate="46299.857415509257" createdVersion="8" refreshedVersion="8" minRefreshableVersion="3" recordCount="1061" xr:uid="{392A843D-6F7D-492F-A696-ADD5227ECF01}">
  <cacheSource type="worksheet">
    <worksheetSource ref="A1:E1048576" sheet="Sales Master"/>
  </cacheSource>
  <cacheFields count="5">
    <cacheField name="Date" numFmtId="0">
      <sharedItems containsDate="1" containsBlank="1" containsMixedTypes="1" minDate="2013-12-30T00:00:00" maxDate="2016-11-17T00:00:00" count="1056">
        <d v="2013-12-30T00:00:00"/>
        <d v="2013-12-31T00:00:00"/>
        <d v="2014-01-01T00:00:00"/>
        <d v="2014-01-02T00:00:00"/>
        <d v="2014-01-03T00:00:00"/>
        <d v="2014-01-04T00:00:00"/>
        <d v="2014-01-05T00:00:00"/>
        <d v="2014-01-06T00:00:00"/>
        <d v="2014-01-07T00:00:00"/>
        <d v="2014-01-08T00:00:00"/>
        <d v="2014-01-09T00:00:00"/>
        <d v="2014-01-10T00:00:00"/>
        <d v="2014-01-11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1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5-31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7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18T00:00:00"/>
        <d v="2014-07-19T00:00:00"/>
        <d v="2014-07-20T00:00:00"/>
        <d v="2014-07-21T00:00:00"/>
        <d v="2014-07-22T00:00:00"/>
        <d v="2014-07-23T00:00:00"/>
        <d v="2014-07-24T00:00:00"/>
        <d v="2014-07-25T00:00:00"/>
        <d v="2014-07-26T00:00:00"/>
        <d v="2014-07-27T00:00:00"/>
        <d v="2014-07-28T00:00:00"/>
        <d v="2014-07-29T00:00:00"/>
        <d v="2014-07-30T00:00:00"/>
        <d v="2014-07-31T00:00:00"/>
        <d v="2014-08-01T00:00:00"/>
        <d v="2014-08-02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3T00:00:00"/>
        <d v="2014-10-24T00:00:00"/>
        <d v="2014-10-25T00:00:00"/>
        <d v="2014-10-26T00:00:00"/>
        <d v="2014-10-27T00:00:00"/>
        <d v="2014-10-28T00:00:00"/>
        <d v="2014-10-29T00:00:00"/>
        <d v="2014-10-30T00:00:00"/>
        <d v="2014-10-31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3T00:00:00"/>
        <d v="2015-04-14T00:00:00"/>
        <d v="2015-04-15T00:00:00"/>
        <d v="2015-04-16T00:00:00"/>
        <d v="2015-04-17T00:00:00"/>
        <d v="2015-04-18T00:00:00"/>
        <d v="2015-04-19T00:00:00"/>
        <d v="2015-04-20T00:00:00"/>
        <d v="2015-04-21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2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1T00:00:00"/>
        <d v="2015-07-02T00:00:00"/>
        <d v="2015-07-03T00:00:00"/>
        <d v="2015-07-04T00:00:00"/>
        <d v="2015-07-05T00:00:00"/>
        <d v="2015-07-06T00:00:00"/>
        <d v="2015-07-07T00:00:00"/>
        <d v="2015-07-08T00:00:00"/>
        <d v="2015-07-09T00:00:00"/>
        <d v="2015-07-10T00:00:00"/>
        <d v="2015-07-11T00:00:00"/>
        <d v="2015-07-12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6T00:00:00"/>
        <d v="2015-09-17T00:00:00"/>
        <d v="2015-09-18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3T00:00:00"/>
        <d v="2015-10-24T00:00:00"/>
        <d v="2015-10-25T00:00:00"/>
        <d v="2015-10-26T00:00:00"/>
        <d v="2015-10-27T00:00:00"/>
        <d v="2015-10-28T00:00:00"/>
        <d v="2015-10-29T00:00:00"/>
        <d v="2015-10-30T00:00:00"/>
        <d v="2015-10-31T00:00:00"/>
        <d v="2015-11-01T00:00:00"/>
        <d v="2015-11-02T00:00:00"/>
        <d v="2015-11-03T00:00:00"/>
        <d v="2015-11-04T00:00:00"/>
        <d v="2015-11-05T00:00:00"/>
        <d v="2015-11-06T00:00:00"/>
        <d v="2015-11-07T00:00:00"/>
        <d v="2015-11-08T00:00:00"/>
        <d v="2015-11-09T00:00:00"/>
        <d v="2015-11-10T00:00:00"/>
        <d v="2015-11-11T00:00:00"/>
        <d v="2015-11-12T00:00:00"/>
        <d v="2015-11-13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1T00:00:00"/>
        <d v="2016-01-02T00:00:00"/>
        <d v="2016-01-03T00:00:00"/>
        <d v="2016-01-04T00:00:00"/>
        <d v="2016-01-05T00:00:00"/>
        <d v="2016-01-06T00:00:00"/>
        <d v="2016-01-07T00:00:00"/>
        <d v="2016-01-08T00:00:00"/>
        <d v="2016-01-09T00:00:00"/>
        <d v="2016-01-10T00:00:00"/>
        <d v="2016-01-11T00:00:00"/>
        <d v="2016-01-12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5T00:00:00"/>
        <d v="2016-03-06T00:00:00"/>
        <d v="2016-03-07T00:00:00"/>
        <d v="2016-03-08T00:00:00"/>
        <d v="2016-03-09T00:00:00"/>
        <d v="2016-03-10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6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8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29T00:00:00"/>
        <d v="2016-07-30T00:00:00"/>
        <d v="2016-07-31T00:00:00"/>
        <d v="2016-08-01T00:00:00"/>
        <d v="2016-08-02T00:00:00"/>
        <d v="2016-08-03T00:00:00"/>
        <d v="2016-08-04T00:00:00"/>
        <d v="2016-08-05T00:00:00"/>
        <d v="2016-08-06T00:00:00"/>
        <d v="2016-08-07T00:00:00"/>
        <d v="2016-08-08T00:00:00"/>
        <d v="2016-08-09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6T00:00:00"/>
        <d v="2016-08-27T00:00:00"/>
        <d v="2016-08-28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3T00:00:00"/>
        <d v="2016-11-04T00:00:00"/>
        <d v="2016-11-05T00:00:00"/>
        <d v="2016-11-06T00:00:00"/>
        <d v="2016-11-07T00:00:00"/>
        <d v="2016-11-08T00:00:00"/>
        <d v="2016-11-09T00:00:00"/>
        <d v="2016-11-10T00:00:00"/>
        <d v="2016-11-11T00:00:00"/>
        <d v="2016-11-12T00:00:00"/>
        <d v="2016-11-13T00:00:00"/>
        <d v="2016-11-14T00:00:00"/>
        <d v="2016-11-15T00:00:00"/>
        <d v="2016-11-16T00:00:00"/>
        <m/>
        <s v="Average Unit Price"/>
        <s v="Gross Profit %"/>
      </sharedItems>
    </cacheField>
    <cacheField name="Sales" numFmtId="0">
      <sharedItems containsBlank="1" containsMixedTypes="1" containsNumber="1" minValue="20495.113025005001" maxValue="186909828.25648293"/>
    </cacheField>
    <cacheField name="Cost Of Sales" numFmtId="0">
      <sharedItems containsBlank="1" containsMixedTypes="1" containsNumber="1" minValue="-7116281.1900263131" maxValue="194026109.44650924"/>
    </cacheField>
    <cacheField name="Quantity Sold" numFmtId="0">
      <sharedItems containsBlank="1" containsMixedTypes="1" containsNumber="1" minValue="-3.8073338659649494" maxValue="5279872" count="995">
        <n v="6827"/>
        <n v="9268"/>
        <n v="2678"/>
        <n v="6175"/>
        <n v="10084"/>
        <n v="9470"/>
        <n v="5524"/>
        <n v="9448"/>
        <n v="6911"/>
        <n v="2990"/>
        <n v="3159"/>
        <n v="4246"/>
        <n v="4297"/>
        <n v="2796"/>
        <n v="3369"/>
        <n v="2348"/>
        <n v="2903"/>
        <n v="2491"/>
        <n v="3968"/>
        <n v="4393"/>
        <n v="2176"/>
        <n v="2443"/>
        <n v="2638"/>
        <n v="1704"/>
        <n v="1872"/>
        <n v="3423"/>
        <n v="4544"/>
        <n v="2426"/>
        <n v="2117"/>
        <n v="1476"/>
        <n v="1974"/>
        <n v="1892"/>
        <n v="4030"/>
        <n v="5304"/>
        <n v="3320"/>
        <n v="4191"/>
        <n v="3809"/>
        <n v="5764"/>
        <n v="3028"/>
        <n v="9284"/>
        <n v="9737"/>
        <n v="4163"/>
        <n v="4552"/>
        <n v="4172"/>
        <n v="5037"/>
        <n v="4259"/>
        <n v="10381"/>
        <n v="11332"/>
        <n v="4127"/>
        <n v="4649"/>
        <n v="1627"/>
        <n v="3281"/>
        <n v="2310"/>
        <n v="9802"/>
        <n v="9772"/>
        <n v="4270"/>
        <n v="4106"/>
        <n v="6937"/>
        <n v="6934"/>
        <n v="11082"/>
        <n v="20805"/>
        <n v="26410"/>
        <n v="15004"/>
        <n v="16884"/>
        <n v="9789"/>
        <n v="8079"/>
        <n v="5072"/>
        <n v="14551"/>
        <n v="16262"/>
        <n v="7014"/>
        <n v="8932"/>
        <n v="5737"/>
        <n v="5903"/>
        <n v="5056"/>
        <n v="12167"/>
        <n v="15971"/>
        <n v="6968"/>
        <n v="7494"/>
        <n v="2707"/>
        <n v="2637"/>
        <n v="5149"/>
        <n v="5735"/>
        <n v="4936"/>
        <n v="2003"/>
        <n v="2323"/>
        <n v="3822"/>
        <n v="3666"/>
        <n v="3543"/>
        <n v="8130"/>
        <n v="10518"/>
        <n v="4791"/>
        <n v="5583"/>
        <n v="7155"/>
        <n v="4575"/>
        <n v="3997"/>
        <n v="5558"/>
        <n v="6320"/>
        <n v="3447"/>
        <n v="3854"/>
        <n v="3394"/>
        <n v="3563"/>
        <n v="5380"/>
        <n v="9573"/>
        <n v="11250"/>
        <n v="4990"/>
        <n v="5810"/>
        <n v="7497"/>
        <n v="8821"/>
        <n v="18366"/>
        <n v="13940"/>
        <n v="10814"/>
        <n v="3429"/>
        <n v="4834"/>
        <n v="5475"/>
        <n v="3121"/>
        <n v="2809"/>
        <n v="8537"/>
        <n v="8209"/>
        <n v="3592"/>
        <n v="3576"/>
        <n v="3807"/>
        <n v="4398"/>
        <n v="5124"/>
        <n v="4581"/>
        <n v="3697"/>
        <n v="2642"/>
        <n v="3154"/>
        <n v="3324"/>
        <n v="2677"/>
        <n v="2683"/>
        <n v="9328"/>
        <n v="13306"/>
        <n v="6173"/>
        <n v="5653"/>
        <n v="4503"/>
        <n v="6253"/>
        <n v="8408"/>
        <n v="12949"/>
        <n v="15508"/>
        <n v="5141"/>
        <n v="5194"/>
        <n v="5550"/>
        <n v="6070"/>
        <n v="3421"/>
        <n v="13384"/>
        <n v="18356"/>
        <n v="6500"/>
        <n v="6752"/>
        <n v="7023"/>
        <n v="7579"/>
        <n v="6448"/>
        <n v="15637"/>
        <n v="18775"/>
        <n v="14188"/>
        <n v="13256"/>
        <n v="10223"/>
        <n v="8904"/>
        <n v="5783"/>
        <n v="9005"/>
        <n v="12222"/>
        <n v="6037"/>
        <n v="6607"/>
        <n v="5857"/>
        <n v="5429"/>
        <n v="6232"/>
        <n v="14585"/>
        <n v="14745"/>
        <n v="6991"/>
        <n v="5788"/>
        <n v="6632"/>
        <n v="5752"/>
        <n v="3578"/>
        <n v="6119"/>
        <n v="6161"/>
        <n v="4015"/>
        <n v="4133"/>
        <n v="1047"/>
        <n v="1601"/>
        <n v="1592"/>
        <n v="3759"/>
        <n v="1772"/>
        <n v="2672"/>
        <n v="5143"/>
        <n v="2667"/>
        <n v="2799"/>
        <n v="3355"/>
        <n v="2002"/>
        <n v="1967"/>
        <n v="3094"/>
        <n v="2335"/>
        <n v="2968"/>
        <n v="3825"/>
        <n v="2833"/>
        <n v="1419"/>
        <n v="2151"/>
        <n v="3148"/>
        <n v="4825"/>
        <n v="2307"/>
        <n v="3557"/>
        <n v="7485"/>
        <n v="2428"/>
        <n v="2475"/>
        <n v="1618"/>
        <n v="5106"/>
        <n v="2729"/>
        <n v="15897"/>
        <n v="17343"/>
        <n v="8207"/>
        <n v="9018"/>
        <n v="6548"/>
        <n v="6102"/>
        <n v="9108"/>
        <n v="18867"/>
        <n v="19384"/>
        <n v="9473"/>
        <n v="11170"/>
        <n v="8091"/>
        <n v="2303"/>
        <n v="2947"/>
        <n v="13542"/>
        <n v="12588"/>
        <n v="6032"/>
        <n v="7158"/>
        <n v="5863"/>
        <n v="6092"/>
        <n v="5485"/>
        <n v="14587"/>
        <n v="16686"/>
        <n v="7380"/>
        <n v="7864"/>
        <n v="4941"/>
        <n v="5151"/>
        <n v="4928"/>
        <n v="11309"/>
        <n v="13613"/>
        <n v="6424"/>
        <n v="9493"/>
        <n v="7619"/>
        <n v="8909"/>
        <n v="8400"/>
        <n v="19317"/>
        <n v="23310"/>
        <n v="11646"/>
        <n v="19366"/>
        <n v="15291"/>
        <n v="15100"/>
        <n v="10164"/>
        <n v="16310"/>
        <n v="17985"/>
        <n v="7620"/>
        <n v="7958"/>
        <n v="3503"/>
        <n v="2247"/>
        <n v="2023"/>
        <n v="4242"/>
        <n v="4901"/>
        <n v="2467"/>
        <n v="3432"/>
        <n v="2375"/>
        <n v="2105"/>
        <n v="1982"/>
        <n v="3915"/>
        <n v="4383"/>
        <n v="2159"/>
        <n v="2592"/>
        <n v="3143"/>
        <n v="6457"/>
        <n v="11039"/>
        <n v="18036"/>
        <n v="19017"/>
        <n v="8747"/>
        <n v="8147"/>
        <n v="11036"/>
        <n v="18330"/>
        <n v="14503"/>
        <n v="15986"/>
        <n v="20223"/>
        <n v="8631"/>
        <n v="11579"/>
        <n v="2127"/>
        <n v="1923"/>
        <n v="4891"/>
        <n v="3758"/>
        <n v="1661"/>
        <n v="2360"/>
        <n v="1894"/>
        <n v="3548"/>
        <n v="2591"/>
        <n v="3293"/>
        <n v="4611"/>
        <n v="2468"/>
        <n v="2773"/>
        <n v="2815"/>
        <n v="2701"/>
        <n v="2651"/>
        <n v="6781"/>
        <n v="8249"/>
        <n v="3502"/>
        <n v="3949"/>
        <n v="2435"/>
        <n v="2232"/>
        <n v="1898"/>
        <n v="4537"/>
        <n v="6730"/>
        <n v="4038"/>
        <n v="5581"/>
        <n v="2519"/>
        <n v="1847"/>
        <n v="2309"/>
        <n v="3722"/>
        <n v="4268"/>
        <n v="1968"/>
        <n v="2016"/>
        <n v="1497"/>
        <n v="1314"/>
        <n v="1466"/>
        <n v="3984"/>
        <n v="4802"/>
        <n v="2017"/>
        <n v="2297"/>
        <n v="1665"/>
        <n v="1291"/>
        <n v="1361"/>
        <n v="1281"/>
        <n v="1122"/>
        <n v="737"/>
        <n v="641"/>
        <n v="968"/>
        <n v="709"/>
        <n v="880"/>
        <n v="1096"/>
        <n v="2068"/>
        <n v="2492"/>
        <n v="2170"/>
        <n v="1784"/>
        <n v="1368"/>
        <n v="1914"/>
        <n v="3765"/>
        <n v="2712"/>
        <n v="2222"/>
        <n v="1861"/>
        <n v="4095"/>
        <n v="4157"/>
        <n v="7259"/>
        <n v="9654"/>
        <n v="4632"/>
        <n v="7341"/>
        <n v="4308"/>
        <n v="3865"/>
        <n v="5288"/>
        <n v="7141"/>
        <n v="8268"/>
        <n v="4541"/>
        <n v="5014"/>
        <n v="7778"/>
        <n v="11809"/>
        <n v="3344"/>
        <n v="1169"/>
        <n v="2676"/>
        <n v="1677"/>
        <n v="3237"/>
        <n v="5607"/>
        <n v="9464"/>
        <n v="2905"/>
        <n v="6371"/>
        <n v="4624"/>
        <n v="5717"/>
        <n v="4705"/>
        <n v="2020"/>
        <n v="1868"/>
        <n v="3008"/>
        <n v="2934"/>
        <n v="1690"/>
        <n v="2058"/>
        <n v="1570"/>
        <n v="1446"/>
        <n v="1921"/>
        <n v="3629"/>
        <n v="4144"/>
        <n v="1815"/>
        <n v="2189"/>
        <n v="2376"/>
        <n v="1525"/>
        <n v="1616"/>
        <n v="3757"/>
        <n v="3855"/>
        <n v="1897"/>
        <n v="2230"/>
        <n v="1870"/>
        <n v="1455"/>
        <n v="1392"/>
        <n v="3268"/>
        <n v="4862"/>
        <n v="4165"/>
        <n v="3685"/>
        <n v="2479"/>
        <n v="2005"/>
        <n v="2082"/>
        <n v="2573"/>
        <n v="1774"/>
        <n v="2378"/>
        <n v="3677"/>
        <n v="4299"/>
        <n v="3674"/>
        <n v="9505"/>
        <n v="11237"/>
        <n v="5406"/>
        <n v="5846"/>
        <n v="3713"/>
        <n v="3827"/>
        <n v="7770"/>
        <n v="7102"/>
        <n v="3608"/>
        <n v="2150"/>
        <n v="2530"/>
        <n v="5253"/>
        <n v="4171"/>
        <n v="8156"/>
        <n v="9296"/>
        <n v="6803"/>
        <n v="6221"/>
        <n v="6611"/>
        <n v="6843"/>
        <n v="3858"/>
        <n v="7128"/>
        <n v="8127"/>
        <n v="2966"/>
        <n v="2858"/>
        <n v="1518"/>
        <n v="1386"/>
        <n v="1166"/>
        <n v="2853"/>
        <n v="3657"/>
        <n v="1631"/>
        <n v="1959"/>
        <n v="1230"/>
        <n v="1182"/>
        <n v="1050"/>
        <n v="2353"/>
        <n v="1626"/>
        <n v="1976"/>
        <n v="3312"/>
        <n v="6704"/>
        <n v="6077"/>
        <n v="9386"/>
        <n v="12181"/>
        <n v="5937"/>
        <n v="5706"/>
        <n v="9421"/>
        <n v="13207"/>
        <n v="18936"/>
        <n v="13503"/>
        <n v="10600"/>
        <n v="3591"/>
        <n v="4836"/>
        <n v="4348"/>
        <n v="2451"/>
        <n v="1814"/>
        <n v="2770"/>
        <n v="3072"/>
        <n v="1934"/>
        <n v="2019"/>
        <n v="979"/>
        <n v="1398"/>
        <n v="1198"/>
        <n v="2485"/>
        <n v="3172"/>
        <n v="1365"/>
        <n v="1353"/>
        <n v="3439"/>
        <n v="1434"/>
        <n v="8892"/>
        <n v="13144"/>
        <n v="5179"/>
        <n v="5150"/>
        <n v="9986"/>
        <n v="12937"/>
        <n v="12217"/>
        <n v="6721"/>
        <n v="8283"/>
        <n v="6191"/>
        <n v="5959"/>
        <n v="2848"/>
        <n v="8748"/>
        <n v="10329"/>
        <n v="4410"/>
        <n v="5257"/>
        <n v="5118"/>
        <n v="3952"/>
        <n v="10964"/>
        <n v="4695"/>
        <n v="5205"/>
        <n v="3638"/>
        <n v="4394"/>
        <n v="2012"/>
        <n v="8526"/>
        <n v="11096"/>
        <n v="4489"/>
        <n v="6795"/>
        <n v="5283"/>
        <n v="6453"/>
        <n v="5770"/>
        <n v="12507"/>
        <n v="14475"/>
        <n v="7009"/>
        <n v="11688"/>
        <n v="8863"/>
        <n v="7148"/>
        <n v="5326"/>
        <n v="7775"/>
        <n v="9255"/>
        <n v="4758"/>
        <n v="2613"/>
        <n v="1830"/>
        <n v="1694"/>
        <n v="1642"/>
        <n v="3690"/>
        <n v="4404"/>
        <n v="1992"/>
        <n v="2395"/>
        <n v="2120"/>
        <n v="1875"/>
        <n v="3376"/>
        <n v="4027"/>
        <n v="2128"/>
        <n v="2046"/>
        <n v="1546"/>
        <n v="2822"/>
        <n v="4865"/>
        <n v="8450"/>
        <n v="9770"/>
        <n v="4914"/>
        <n v="4385"/>
        <n v="5627"/>
        <n v="8086"/>
        <n v="6639"/>
        <n v="7104"/>
        <n v="8364"/>
        <n v="4146"/>
        <n v="4601"/>
        <n v="3593"/>
        <n v="2114"/>
        <n v="1797"/>
        <n v="3195"/>
        <n v="3595"/>
        <n v="1467"/>
        <n v="1610"/>
        <n v="1307"/>
        <n v="2050"/>
        <n v="1849"/>
        <n v="3070"/>
        <n v="3322"/>
        <n v="1787"/>
        <n v="1846"/>
        <n v="1142"/>
        <n v="1734"/>
        <n v="3259"/>
        <n v="3572"/>
        <n v="2109"/>
        <n v="2242"/>
        <n v="1474"/>
        <n v="1381"/>
        <n v="1423"/>
        <n v="3740"/>
        <n v="4453"/>
        <n v="2258"/>
        <n v="2074"/>
        <n v="2007"/>
        <n v="1948"/>
        <n v="1922"/>
        <n v="3088"/>
        <n v="3388"/>
        <n v="1944"/>
        <n v="1812"/>
        <n v="1563"/>
        <n v="1171"/>
        <n v="1035"/>
        <n v="3068"/>
        <n v="1866"/>
        <n v="922"/>
        <n v="604"/>
        <n v="643"/>
        <n v="2006"/>
        <n v="1528"/>
        <n v="6360"/>
        <n v="8035"/>
        <n v="6675"/>
        <n v="11330"/>
        <n v="13484"/>
        <n v="5913"/>
        <n v="9721"/>
        <n v="11257"/>
        <n v="10102"/>
        <n v="7938"/>
        <n v="9936"/>
        <n v="10643"/>
        <n v="4800"/>
        <n v="5228"/>
        <n v="1810"/>
        <n v="1961"/>
        <n v="1232"/>
        <n v="2194"/>
        <n v="1469"/>
        <n v="829"/>
        <n v="1329"/>
        <n v="1300"/>
        <n v="773"/>
        <n v="760"/>
        <n v="1755"/>
        <n v="1766"/>
        <n v="1078"/>
        <n v="1124"/>
        <n v="3725"/>
        <n v="4492"/>
        <n v="11030"/>
        <n v="10528"/>
        <n v="4895"/>
        <n v="5720"/>
        <n v="4288"/>
        <n v="9693"/>
        <n v="12065"/>
        <n v="11758"/>
        <n v="13508"/>
        <n v="6085"/>
        <n v="8828"/>
        <n v="6636"/>
        <n v="1622"/>
        <n v="1512"/>
        <n v="3211"/>
        <n v="3037"/>
        <n v="1456"/>
        <n v="1465"/>
        <n v="1018"/>
        <n v="1070"/>
        <n v="1357"/>
        <n v="2810"/>
        <n v="2829"/>
        <n v="1517"/>
        <n v="1399"/>
        <n v="1067"/>
        <n v="5042"/>
        <n v="6872"/>
        <n v="3218"/>
        <n v="3347"/>
        <n v="3177"/>
        <n v="4532"/>
        <n v="3231"/>
        <n v="7731"/>
        <n v="11148"/>
        <n v="7459"/>
        <n v="7316"/>
        <n v="5211"/>
        <n v="5731"/>
        <n v="3036"/>
        <n v="5822"/>
        <n v="7987"/>
        <n v="3640"/>
        <n v="2338"/>
        <n v="3744"/>
        <n v="4216"/>
        <n v="4000"/>
        <n v="10204"/>
        <n v="10769"/>
        <n v="4803"/>
        <n v="4342"/>
        <n v="4202"/>
        <n v="4151"/>
        <n v="8567"/>
        <n v="8811"/>
        <n v="4345"/>
        <n v="1937"/>
        <n v="3160"/>
        <n v="6924"/>
        <n v="9273"/>
        <n v="13019"/>
        <n v="7139"/>
        <n v="7423"/>
        <n v="7474"/>
        <n v="7056"/>
        <n v="5732"/>
        <n v="9038"/>
        <n v="10737"/>
        <n v="5505"/>
        <n v="2198"/>
        <n v="3190"/>
        <n v="3814"/>
        <n v="3610"/>
        <n v="6227"/>
        <n v="9422"/>
        <n v="4715"/>
        <n v="6212"/>
        <n v="6585"/>
        <n v="6051"/>
        <n v="7750"/>
        <n v="9490"/>
        <n v="4382"/>
        <n v="8196"/>
        <n v="6534"/>
        <n v="9540"/>
        <n v="3256"/>
        <n v="2013"/>
        <n v="1692"/>
        <n v="3234"/>
        <n v="4592"/>
        <n v="5945"/>
        <n v="9266"/>
        <n v="3179"/>
        <n v="7479"/>
        <n v="4694"/>
        <n v="7843"/>
        <n v="6150"/>
        <n v="2401"/>
        <n v="1808"/>
        <n v="2594"/>
        <n v="3274"/>
        <n v="2207"/>
        <n v="2949"/>
        <n v="2417"/>
        <n v="1644"/>
        <n v="1499"/>
        <n v="3648"/>
        <n v="4652"/>
        <n v="2252"/>
        <n v="2357"/>
        <n v="1715"/>
        <n v="4776"/>
        <n v="1628"/>
        <n v="7806"/>
        <n v="9210"/>
        <n v="4351"/>
        <n v="6278"/>
        <n v="5992"/>
        <n v="6265"/>
        <n v="5723"/>
        <n v="11900"/>
        <n v="15345"/>
        <n v="6525"/>
        <n v="10153"/>
        <n v="8116"/>
        <n v="7712"/>
        <n v="5759"/>
        <n v="9501"/>
        <n v="10840"/>
        <n v="5089"/>
        <n v="6087"/>
        <n v="2053"/>
        <n v="1825"/>
        <n v="3542"/>
        <n v="4105"/>
        <n v="2094"/>
        <n v="2940"/>
        <n v="1841"/>
        <n v="4529"/>
        <n v="1658"/>
        <n v="3841"/>
        <n v="9260"/>
        <n v="2308"/>
        <n v="2028"/>
        <n v="1301"/>
        <n v="2213"/>
        <n v="4935"/>
        <n v="5609"/>
        <n v="3452"/>
        <n v="4719"/>
        <n v="4451"/>
        <n v="3364"/>
        <n v="3665"/>
        <n v="3889"/>
        <n v="1882"/>
        <n v="2405"/>
        <n v="1577"/>
        <n v="913"/>
        <n v="892"/>
        <n v="1855"/>
        <n v="883"/>
        <n v="1071"/>
        <n v="1320"/>
        <n v="997"/>
        <n v="817"/>
        <n v="2211"/>
        <n v="1304"/>
        <n v="1143"/>
        <n v="1573"/>
        <n v="2065"/>
        <n v="6588"/>
        <n v="5652"/>
        <n v="4103"/>
        <n v="2162"/>
        <n v="2155"/>
        <n v="1746"/>
        <n v="3554"/>
        <n v="6282"/>
        <n v="5259"/>
        <n v="2446"/>
        <n v="3345"/>
        <n v="2048"/>
        <n v="1303"/>
        <n v="4413"/>
        <n v="7738"/>
        <n v="2958"/>
        <n v="3504"/>
        <n v="3534"/>
        <n v="10045"/>
        <n v="9301"/>
        <n v="4678"/>
        <n v="4294"/>
        <n v="3606"/>
        <n v="4838"/>
        <n v="10269"/>
        <n v="12317"/>
        <n v="5453"/>
        <n v="7372"/>
        <n v="8211"/>
        <n v="9182"/>
        <n v="7520"/>
        <n v="13321"/>
        <n v="16276"/>
        <n v="10388"/>
        <n v="8298"/>
        <n v="8717"/>
        <n v="9973"/>
        <n v="11363"/>
        <n v="4074"/>
        <n v="1579"/>
        <n v="1016"/>
        <n v="832"/>
        <n v="647"/>
        <n v="1224"/>
        <n v="1019"/>
        <n v="930"/>
        <n v="818"/>
        <n v="937"/>
        <n v="2302"/>
        <n v="2363"/>
        <n v="3224"/>
        <n v="7392"/>
        <n v="6138"/>
        <n v="10624"/>
        <n v="11590"/>
        <n v="5048"/>
        <n v="7542"/>
        <n v="10761"/>
        <n v="8120"/>
        <n v="10896"/>
        <n v="11726"/>
        <n v="6007"/>
        <n v="5185"/>
        <n v="1675"/>
        <n v="4765"/>
        <n v="3953"/>
        <n v="7190"/>
        <n v="8577"/>
        <n v="3943"/>
        <n v="3707"/>
        <n v="3054"/>
        <n v="6541"/>
        <n v="5749"/>
        <n v="9385"/>
        <n v="9012"/>
        <n v="3831"/>
        <n v="4097"/>
        <n v="3509"/>
        <n v="953"/>
        <n v="4305"/>
        <n v="11667"/>
        <n v="13793"/>
        <n v="6641"/>
        <n v="7593"/>
        <n v="6345"/>
        <n v="8482"/>
        <n v="14344"/>
        <n v="13609"/>
        <n v="8431"/>
        <n v="6577"/>
        <n v="6098"/>
        <n v="1654"/>
        <n v="2073"/>
        <n v="1871"/>
        <n v="946"/>
        <n v="1090"/>
        <n v="876"/>
        <n v="790"/>
        <n v="723"/>
        <n v="1910"/>
        <n v="2266"/>
        <n v="1227"/>
        <n v="900"/>
        <n v="836"/>
        <n v="1454"/>
        <n v="1835"/>
        <n v="972"/>
        <n v="1024"/>
        <n v="1044"/>
        <n v="1611"/>
        <n v="1234"/>
        <n v="2223"/>
        <n v="2267"/>
        <n v="1415"/>
        <n v="1548"/>
        <n v="1679"/>
        <n v="1152"/>
        <n v="1101"/>
        <n v="1700"/>
        <n v="715"/>
        <n v="897"/>
        <n v="733"/>
        <n v="4282"/>
        <n v="2867"/>
        <n v="6082"/>
        <n v="7771"/>
        <n v="3302"/>
        <n v="3536"/>
        <n v="3236"/>
        <n v="6646"/>
        <n v="7220"/>
        <n v="3958"/>
        <n v="3672"/>
        <n v="3549"/>
        <n v="6647"/>
        <n v="9908"/>
        <n v="10393"/>
        <n v="4507"/>
        <n v="4672"/>
        <n v="3924"/>
        <n v="6918"/>
        <n v="9183"/>
        <n v="10830"/>
        <n v="10800"/>
        <n v="6685"/>
        <n v="4519"/>
        <n v="1206"/>
        <n v="1029"/>
        <n v="1917"/>
        <n v="2108"/>
        <n v="1211"/>
        <n v="755"/>
        <n v="508"/>
        <n v="1010"/>
        <n v="1733"/>
        <n v="2482"/>
        <n v="1235"/>
        <n v="1155"/>
        <n v="940"/>
        <n v="1241"/>
        <n v="1039"/>
        <n v="1671"/>
        <n v="1462"/>
        <n v="1581"/>
        <n v="1534"/>
        <n v="5632"/>
        <n v="3173"/>
        <n v="3540"/>
        <n v="2397"/>
        <n v="1955"/>
        <n v="1740"/>
        <n v="2283"/>
        <n v="1284"/>
        <n v="1263"/>
        <n v="896"/>
        <n v="768"/>
        <n v="521"/>
        <n v="2147"/>
        <n v="1335"/>
        <n v="1332"/>
        <n v="954"/>
        <n v="877"/>
        <n v="906"/>
        <n v="2249"/>
        <n v="2472"/>
        <n v="1280"/>
        <n v="1650"/>
        <n v="1257"/>
        <n v="2929"/>
        <n v="1582"/>
        <n v="1639"/>
        <n v="2971"/>
        <n v="2284"/>
        <n v="3938"/>
        <n v="4720"/>
        <n v="2537"/>
        <n v="2621"/>
        <n v="2341"/>
        <n v="1901"/>
        <n v="1666"/>
        <n v="3748"/>
        <n v="3843"/>
        <n v="2281"/>
        <n v="2181"/>
        <n v="1763"/>
        <n v="5279872"/>
        <m/>
        <s v="Average Unit Price"/>
        <n v="35.400446877591527"/>
        <s v="Gross Profit %"/>
        <n v="-3.8073338659649494"/>
      </sharedItems>
    </cacheField>
    <cacheField name="Gross Profit" numFmtId="0">
      <sharedItems containsString="0" containsBlank="1" containsNumber="1" minValue="-7116281.1900259992" maxValue="27831.943709602696"/>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eas" refreshedDate="46299.886535185185" createdVersion="8" refreshedVersion="8" minRefreshableVersion="3" recordCount="1061" xr:uid="{5BA497F3-B7EA-4514-82D2-16105A45B04A}">
  <cacheSource type="worksheet">
    <worksheetSource ref="A1:H1048576" sheet="Daily Analysis"/>
  </cacheSource>
  <cacheFields count="11">
    <cacheField name="Date" numFmtId="0">
      <sharedItems containsNonDate="0" containsDate="1" containsString="0" containsBlank="1" minDate="2013-12-30T00:00:00" maxDate="2016-11-17T00:00:00" count="1054">
        <d v="2013-12-30T00:00:00"/>
        <d v="2013-12-31T00:00:00"/>
        <d v="2014-01-01T00:00:00"/>
        <d v="2014-01-02T00:00:00"/>
        <d v="2014-01-03T00:00:00"/>
        <d v="2014-01-04T00:00:00"/>
        <d v="2014-01-05T00:00:00"/>
        <d v="2014-01-06T00:00:00"/>
        <d v="2014-01-07T00:00:00"/>
        <d v="2014-01-08T00:00:00"/>
        <d v="2014-01-09T00:00:00"/>
        <d v="2014-01-10T00:00:00"/>
        <d v="2014-01-11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1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5-31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7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18T00:00:00"/>
        <d v="2014-07-19T00:00:00"/>
        <d v="2014-07-20T00:00:00"/>
        <d v="2014-07-21T00:00:00"/>
        <d v="2014-07-22T00:00:00"/>
        <d v="2014-07-23T00:00:00"/>
        <d v="2014-07-24T00:00:00"/>
        <d v="2014-07-25T00:00:00"/>
        <d v="2014-07-26T00:00:00"/>
        <d v="2014-07-27T00:00:00"/>
        <d v="2014-07-28T00:00:00"/>
        <d v="2014-07-29T00:00:00"/>
        <d v="2014-07-30T00:00:00"/>
        <d v="2014-07-31T00:00:00"/>
        <d v="2014-08-01T00:00:00"/>
        <d v="2014-08-02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3T00:00:00"/>
        <d v="2014-10-24T00:00:00"/>
        <d v="2014-10-25T00:00:00"/>
        <d v="2014-10-26T00:00:00"/>
        <d v="2014-10-27T00:00:00"/>
        <d v="2014-10-28T00:00:00"/>
        <d v="2014-10-29T00:00:00"/>
        <d v="2014-10-30T00:00:00"/>
        <d v="2014-10-31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3T00:00:00"/>
        <d v="2015-04-14T00:00:00"/>
        <d v="2015-04-15T00:00:00"/>
        <d v="2015-04-16T00:00:00"/>
        <d v="2015-04-17T00:00:00"/>
        <d v="2015-04-18T00:00:00"/>
        <d v="2015-04-19T00:00:00"/>
        <d v="2015-04-20T00:00:00"/>
        <d v="2015-04-21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2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1T00:00:00"/>
        <d v="2015-07-02T00:00:00"/>
        <d v="2015-07-03T00:00:00"/>
        <d v="2015-07-04T00:00:00"/>
        <d v="2015-07-05T00:00:00"/>
        <d v="2015-07-06T00:00:00"/>
        <d v="2015-07-07T00:00:00"/>
        <d v="2015-07-08T00:00:00"/>
        <d v="2015-07-09T00:00:00"/>
        <d v="2015-07-10T00:00:00"/>
        <d v="2015-07-11T00:00:00"/>
        <d v="2015-07-12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6T00:00:00"/>
        <d v="2015-09-17T00:00:00"/>
        <d v="2015-09-18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3T00:00:00"/>
        <d v="2015-10-24T00:00:00"/>
        <d v="2015-10-25T00:00:00"/>
        <d v="2015-10-26T00:00:00"/>
        <d v="2015-10-27T00:00:00"/>
        <d v="2015-10-28T00:00:00"/>
        <d v="2015-10-29T00:00:00"/>
        <d v="2015-10-30T00:00:00"/>
        <d v="2015-10-31T00:00:00"/>
        <d v="2015-11-01T00:00:00"/>
        <d v="2015-11-02T00:00:00"/>
        <d v="2015-11-03T00:00:00"/>
        <d v="2015-11-04T00:00:00"/>
        <d v="2015-11-05T00:00:00"/>
        <d v="2015-11-06T00:00:00"/>
        <d v="2015-11-07T00:00:00"/>
        <d v="2015-11-08T00:00:00"/>
        <d v="2015-11-09T00:00:00"/>
        <d v="2015-11-10T00:00:00"/>
        <d v="2015-11-11T00:00:00"/>
        <d v="2015-11-12T00:00:00"/>
        <d v="2015-11-13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1T00:00:00"/>
        <d v="2016-01-02T00:00:00"/>
        <d v="2016-01-03T00:00:00"/>
        <d v="2016-01-04T00:00:00"/>
        <d v="2016-01-05T00:00:00"/>
        <d v="2016-01-06T00:00:00"/>
        <d v="2016-01-07T00:00:00"/>
        <d v="2016-01-08T00:00:00"/>
        <d v="2016-01-09T00:00:00"/>
        <d v="2016-01-10T00:00:00"/>
        <d v="2016-01-11T00:00:00"/>
        <d v="2016-01-12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5T00:00:00"/>
        <d v="2016-03-06T00:00:00"/>
        <d v="2016-03-07T00:00:00"/>
        <d v="2016-03-08T00:00:00"/>
        <d v="2016-03-09T00:00:00"/>
        <d v="2016-03-10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6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8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29T00:00:00"/>
        <d v="2016-07-30T00:00:00"/>
        <d v="2016-07-31T00:00:00"/>
        <d v="2016-08-01T00:00:00"/>
        <d v="2016-08-02T00:00:00"/>
        <d v="2016-08-03T00:00:00"/>
        <d v="2016-08-04T00:00:00"/>
        <d v="2016-08-05T00:00:00"/>
        <d v="2016-08-06T00:00:00"/>
        <d v="2016-08-07T00:00:00"/>
        <d v="2016-08-08T00:00:00"/>
        <d v="2016-08-09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6T00:00:00"/>
        <d v="2016-08-27T00:00:00"/>
        <d v="2016-08-28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3T00:00:00"/>
        <d v="2016-11-04T00:00:00"/>
        <d v="2016-11-05T00:00:00"/>
        <d v="2016-11-06T00:00:00"/>
        <d v="2016-11-07T00:00:00"/>
        <d v="2016-11-08T00:00:00"/>
        <d v="2016-11-09T00:00:00"/>
        <d v="2016-11-10T00:00:00"/>
        <d v="2016-11-11T00:00:00"/>
        <d v="2016-11-12T00:00:00"/>
        <d v="2016-11-13T00:00:00"/>
        <d v="2016-11-14T00:00:00"/>
        <d v="2016-11-15T00:00:00"/>
        <d v="2016-11-16T00:00:00"/>
        <m/>
      </sharedItems>
      <fieldGroup par="10"/>
    </cacheField>
    <cacheField name="Sales" numFmtId="0">
      <sharedItems containsString="0" containsBlank="1" containsNumber="1" minValue="20495.113025005001" maxValue="186909828.25648293" count="1054">
        <n v="223937.9678697265"/>
        <n v="300345.48456398572"/>
        <n v="86782.467727417796"/>
        <n v="200173.11675267719"/>
        <n v="326906.07417633059"/>
        <n v="307043.93542216189"/>
        <n v="179188.8844878097"/>
        <n v="306351.95085899188"/>
        <n v="224020.40996847831"/>
        <n v="101836.4022362371"/>
        <n v="107804.30494723171"/>
        <n v="144829.9567239302"/>
        <n v="146571.48235324019"/>
        <n v="95422.3729783171"/>
        <n v="114883.17379115619"/>
        <n v="80090.80007989271"/>
        <n v="98945.371159077826"/>
        <n v="84904.901714107822"/>
        <n v="135460.6197039852"/>
        <n v="149925.74968577511"/>
        <n v="74297.307184182937"/>
        <n v="83356.424561202701"/>
        <n v="89922.014286172576"/>
        <n v="57806.302780099039"/>
        <n v="63977.750348923553"/>
        <n v="116958.799847952"/>
        <n v="155272.8248054802"/>
        <n v="82885.215909762715"/>
        <n v="72353.425882453303"/>
        <n v="50415.903762389164"/>
        <n v="67458.30189127379"/>
        <n v="64640.369313193798"/>
        <n v="137693.87350033139"/>
        <n v="181209.1284812126"/>
        <n v="113433.581045457"/>
        <n v="143192.5333561764"/>
        <n v="130126.6498928814"/>
        <n v="187155.86854573971"/>
        <n v="102314.70959650401"/>
        <n v="301553.84255508689"/>
        <n v="316073.17754939431"/>
        <n v="135178.04255458229"/>
        <n v="147727.5161863135"/>
        <n v="135498.74644438611"/>
        <n v="163432.8452052823"/>
        <n v="138291.63332158609"/>
        <n v="336901.37170009938"/>
        <n v="367729.26821441198"/>
        <n v="133913.84138739109"/>
        <n v="150800.3470166623"/>
        <n v="55591.930335773912"/>
        <n v="106427.191838824"/>
        <n v="78940.554424797941"/>
        <n v="317916.31785853428"/>
        <n v="309217.87556252623"/>
        <n v="138491.5499504623"/>
        <n v="133146.22220523609"/>
        <n v="224994.65618289221"/>
        <n v="225051.59146803219"/>
        <n v="344299.68244112999"/>
        <n v="661876.49999964947"/>
        <n v="846678.38816080405"/>
        <n v="478902.30487182317"/>
        <n v="538827.20213254262"/>
        <n v="310346.12128754472"/>
        <n v="256390.52221047229"/>
        <n v="167803.65977609379"/>
        <n v="465318.02151156618"/>
        <n v="520146.74963959062"/>
        <n v="224699.25281941221"/>
        <n v="286230.67889633839"/>
        <n v="187143.01806258349"/>
        <n v="191700.3891282347"/>
        <n v="164663.9676028023"/>
        <n v="395941.34513216221"/>
        <n v="518183.2103749144"/>
        <n v="226617.95494027081"/>
        <n v="243707.87194737699"/>
        <n v="94849.743799770498"/>
        <n v="92386.783066575619"/>
        <n v="180394.82770444019"/>
        <n v="200939.69236394399"/>
        <n v="172953.92471044019"/>
        <n v="70194.79953786121"/>
        <n v="81378.21463167097"/>
        <n v="130227.01471457881"/>
        <n v="125310.0364078538"/>
        <n v="119452.33963454991"/>
        <n v="276174.76932028373"/>
        <n v="357369.26694065123"/>
        <n v="163865.49027270381"/>
        <n v="190719.61452860001"/>
        <n v="244535.20522546369"/>
        <n v="155620.50378882751"/>
        <n v="136001.97816007739"/>
        <n v="190559.8875127674"/>
        <n v="217110.50252912121"/>
        <n v="119190.0999825563"/>
        <n v="131910.19745153241"/>
        <n v="118921.3076762588"/>
        <n v="124828.28283680879"/>
        <n v="179326.4902280964"/>
        <n v="318949.81705616001"/>
        <n v="375031.10932268901"/>
        <n v="166393.5407052727"/>
        <n v="193652.32776782889"/>
        <n v="249805.5172134914"/>
        <n v="294023.41088805022"/>
        <n v="612236.00579723774"/>
        <n v="464815.51786854689"/>
        <n v="360480.94044953783"/>
        <n v="114279.5772537695"/>
        <n v="161170.8204027302"/>
        <n v="182483.14649530521"/>
        <n v="109358.41252901949"/>
        <n v="98430.114109290502"/>
        <n v="295741.34696188261"/>
        <n v="285053.97993312759"/>
        <n v="124964.7964680588"/>
        <n v="124175.8083521588"/>
        <n v="131842.57163224381"/>
        <n v="154850.05725768139"/>
        <n v="180294.2687300276"/>
        <n v="163849.03582968141"/>
        <n v="131436.7924474414"/>
        <n v="93082.043956892812"/>
        <n v="110887.01329721219"/>
        <n v="119385.5753679569"/>
        <n v="91719.589378837452"/>
        <n v="96335.448951387458"/>
        <n v="303226.29835425451"/>
        <n v="431695.70916738012"/>
        <n v="200407.27706754219"/>
        <n v="183413.70834773601"/>
        <n v="146166.60112478229"/>
        <n v="201120.7276408147"/>
        <n v="270123.55082332838"/>
        <n v="415315.38394824741"/>
        <n v="498716.9975550141"/>
        <n v="166433.17212925971"/>
        <n v="168520.62936742851"/>
        <n v="178123.53210953469"/>
        <n v="194878.80263463091"/>
        <n v="115475.0968962598"/>
        <n v="430521.02453865513"/>
        <n v="590642.82566064375"/>
        <n v="210764.7179522909"/>
        <n v="218189.34852144719"/>
        <n v="226132.46392936219"/>
        <n v="243720.86804506721"/>
        <n v="207429.42904813591"/>
        <n v="503149.43134534778"/>
        <n v="603748.78952607629"/>
        <n v="456017.46309267642"/>
        <n v="425845.19604472112"/>
        <n v="328217.76995264698"/>
        <n v="286405.99880250322"/>
        <n v="184989.88866687589"/>
        <n v="288118.30444745562"/>
        <n v="391930.87800966093"/>
        <n v="193772.58110879711"/>
        <n v="214177.9834426184"/>
        <n v="188334.52117067971"/>
        <n v="174324.99481545971"/>
        <n v="200271.5643162597"/>
        <n v="468701.63017391373"/>
        <n v="473425.75415694882"/>
        <n v="224232.1213750946"/>
        <n v="185606.27501469469"/>
        <n v="212687.5094148122"/>
        <n v="184259.6924214997"/>
        <n v="113735.8161577795"/>
        <n v="203165.08297513981"/>
        <n v="203345.24456475489"/>
        <n v="134944.48896695641"/>
        <n v="138298.21024496641"/>
        <n v="36692.679861900491"/>
        <n v="56077.542692130737"/>
        <n v="55780.707452340743"/>
        <n v="131721.2383167888"/>
        <n v="146169.07657195261"/>
        <n v="62073.585412980981"/>
        <n v="93619.846991295737"/>
        <n v="180183.0313560114"/>
        <n v="104760.70623579"/>
        <n v="93450.533684910493"/>
        <n v="98087.555903940738"/>
        <n v="117562.2629053492"/>
        <n v="70153.080972151351"/>
        <n v="68918.415287491109"/>
        <n v="108417.40283335961"/>
        <n v="81802.6082085011"/>
        <n v="103998.55973343051"/>
        <n v="134018.0892634776"/>
        <n v="99277.299503010508"/>
        <n v="49705.231999920732"/>
        <n v="75384.57455073134"/>
        <n v="110288.2341741906"/>
        <n v="156536.68620542111"/>
        <n v="80823.059197921219"/>
        <n v="124615.68560840881"/>
        <n v="242758.9505283758"/>
        <n v="85078.243689436087"/>
        <n v="86738.067427260859"/>
        <n v="56673.615811620853"/>
        <n v="165742.1704642335"/>
        <n v="95618.248803710856"/>
        <n v="515698.7957661752"/>
        <n v="562590.36654784065"/>
        <n v="266305.92588997318"/>
        <n v="292634.74569281942"/>
        <n v="212360.99307795221"/>
        <n v="198019.33209153591"/>
        <n v="295508.32729426579"/>
        <n v="611894.67318094964"/>
        <n v="628685.21882835601"/>
        <n v="307272.68372995692"/>
        <n v="362106.53263594082"/>
        <n v="262349.59097271581"/>
        <n v="80697.903500791217"/>
        <n v="103272.6227133504"/>
        <n v="439421.42206707381"/>
        <n v="408616.35063191352"/>
        <n v="195866.77301944341"/>
        <n v="232347.35316928959"/>
        <n v="190325.18114338469"/>
        <n v="197698.11855084091"/>
        <n v="177908.83560484849"/>
        <n v="473321.88245175371"/>
        <n v="541600.89215953078"/>
        <n v="239513.97904265701"/>
        <n v="255224.2225523532"/>
        <n v="160372.03970902969"/>
        <n v="171587.33225254019"/>
        <n v="164208.0606125952"/>
        <n v="376778.83570449759"/>
        <n v="453633.473978322"/>
        <n v="214392.40085275259"/>
        <n v="316404.06232243002"/>
        <n v="242824.50134045491"/>
        <n v="274712.25328416959"/>
        <n v="258066.16939498461"/>
        <n v="594007.21320371237"/>
        <n v="717096.71281835937"/>
        <n v="358170.99632881698"/>
        <n v="594953.63490643876"/>
        <n v="469469.9410251276"/>
        <n v="464067.7993402126"/>
        <n v="312311.95398119069"/>
        <n v="501279.00044448092"/>
        <n v="552703.9037581525"/>
        <n v="234153.76221071579"/>
        <n v="244481.49772930579"/>
        <n v="122749.63527830879"/>
        <n v="78736.402839721224"/>
        <n v="70875.110668741108"/>
        <n v="148634.39140687519"/>
        <n v="171724.82878193399"/>
        <n v="86435.698834951094"/>
        <n v="120236.18270337"/>
        <n v="83204.196694181097"/>
        <n v="73768.034734920977"/>
        <n v="69425.44511577097"/>
        <n v="137154.95408779141"/>
        <n v="153569.06188021021"/>
        <n v="75633.320588686343"/>
        <n v="90815.929812690869"/>
        <n v="110118.1563914701"/>
        <n v="209908.38311163971"/>
        <n v="358365.68296879338"/>
        <n v="585463.99600736017"/>
        <n v="617019.09153442062"/>
        <n v="283850.59710549947"/>
        <n v="264317.11036810582"/>
        <n v="358024.98134882591"/>
        <n v="594438.28078029968"/>
        <n v="470507.66304443887"/>
        <n v="518693.52866487252"/>
        <n v="656245.82842866576"/>
        <n v="280055.11771676323"/>
        <n v="375648.0174559537"/>
        <n v="78111.716463120727"/>
        <n v="70509.132791540367"/>
        <n v="103281.3110475721"/>
        <n v="179841.43177972361"/>
        <n v="138038.23975289491"/>
        <n v="61037.562229970368"/>
        <n v="86799.759454041719"/>
        <n v="69570.501466700734"/>
        <n v="130476.35534524239"/>
        <n v="95229.773480081218"/>
        <n v="121057.86128350309"/>
        <n v="169498.9163853249"/>
        <n v="90692.375875501952"/>
        <n v="101723.9150040923"/>
        <n v="103395.6912687424"/>
        <n v="99075.599096021819"/>
        <n v="97476.144719572068"/>
        <n v="248974.65278279639"/>
        <n v="302721.68330040033"/>
        <n v="128520.72780395371"/>
        <n v="145185.2683360849"/>
        <n v="89527.556631861706"/>
        <n v="81991.88284141109"/>
        <n v="69704.491112590491"/>
        <n v="166652.39481922361"/>
        <n v="247453.10218524761"/>
        <n v="148476.18120917489"/>
        <n v="205368.92263440121"/>
        <n v="99244.681846049149"/>
        <n v="72756.863100070492"/>
        <n v="86867.458080595141"/>
        <n v="140167.80386220521"/>
        <n v="160727.30278297889"/>
        <n v="74115.62877644549"/>
        <n v="76103.291516535493"/>
        <n v="56303.366574580366"/>
        <n v="49436.815864520373"/>
        <n v="55033.122403980371"/>
        <n v="149808.16594472641"/>
        <n v="180685.51072991031"/>
        <n v="75871.436765220482"/>
        <n v="86313.334083170121"/>
        <n v="62631.798752070368"/>
        <n v="48529.103360340247"/>
        <n v="51040.881368070251"/>
        <n v="53973.922240020001"/>
        <n v="47497.982533509879"/>
        <n v="31219.951528719881"/>
        <n v="26870.323873469999"/>
        <n v="40530.642292680008"/>
        <n v="30371.431335049881"/>
        <n v="37776.658766749882"/>
        <n v="46818.205322610003"/>
        <n v="88321.625549760734"/>
        <n v="101037.8278297916"/>
        <n v="105100.6676485115"/>
        <n v="88219.52548812989"/>
        <n v="71590.369289220369"/>
        <n v="54996.621692620247"/>
        <n v="77884.181609825493"/>
        <n v="150370.11672367639"/>
        <n v="104675.37611534919"/>
        <n v="90121.530475064763"/>
        <n v="75425.443698290488"/>
        <n v="161844.8094356737"/>
        <n v="158603.35696800359"/>
        <n v="279092.09595645021"/>
        <n v="369350.98948089819"/>
        <n v="177500.10772560869"/>
        <n v="282246.62867828761"/>
        <n v="166037.92572951369"/>
        <n v="148910.99836015861"/>
        <n v="202359.14289987119"/>
        <n v="274343.65434523381"/>
        <n v="316167.07465857267"/>
        <n v="173833.40012841369"/>
        <n v="204565.08183541149"/>
        <n v="316394.73085730919"/>
        <n v="486230.32019362762"/>
        <n v="137686.53210060639"/>
        <n v="48102.962409030253"/>
        <n v="110162.1319825481"/>
        <n v="69051.33709342037"/>
        <n v="133307.3689628276"/>
        <n v="216389.504268855"/>
        <n v="365055.31201272178"/>
        <n v="112161.419616753"/>
        <n v="271101.46167031268"/>
        <n v="245813.288312124"/>
        <n v="178394.81199754871"/>
        <n v="220443.631484265"/>
        <n v="181534.1886726786"/>
        <n v="83176.481393400245"/>
        <n v="76894.779348705371"/>
        <n v="123859.3879567376"/>
        <n v="120807.5741583273"/>
        <n v="69597.36734933038"/>
        <n v="84738.294411260125"/>
        <n v="64653.972138140372"/>
        <n v="59553.386031020251"/>
        <n v="79080.756957730366"/>
        <n v="149444.05678745391"/>
        <n v="170624.0799358915"/>
        <n v="74744.283149260489"/>
        <n v="90144.161401489764"/>
        <n v="97826.808800979037"/>
        <n v="62795.97914592037"/>
        <n v="66550.989827080368"/>
        <n v="154670.89070075389"/>
        <n v="158722.10562536391"/>
        <n v="78092.276922030491"/>
        <n v="91830.402043779875"/>
        <n v="76992.935683210482"/>
        <n v="59897.71587994037"/>
        <n v="57310.194042320363"/>
        <n v="134540.2144657376"/>
        <n v="200193.61199916029"/>
        <n v="171469.93052966279"/>
        <n v="151737.21883246521"/>
        <n v="102072.4434055789"/>
        <n v="82514.105120030377"/>
        <n v="46211.332458070247"/>
        <n v="85730.414810460134"/>
        <n v="105918.2932906084"/>
        <n v="73041.660871220491"/>
        <n v="97908.547096098671"/>
        <n v="138667.4159111364"/>
        <n v="162162.103518324"/>
        <n v="138520.1268039264"/>
        <n v="358597.42850915849"/>
        <n v="424009.8825170612"/>
        <n v="203861.47237812541"/>
        <n v="220506.20933281549"/>
        <n v="139935.9369763452"/>
        <n v="161064.75234488389"/>
        <n v="144328.54518998519"/>
        <n v="293071.75919640332"/>
        <n v="267782.15396190819"/>
        <n v="136052.68842362519"/>
        <n v="86703.314090379165"/>
        <n v="95474.357369099642"/>
        <n v="198431.62752698149"/>
        <n v="157291.73399894519"/>
        <n v="307540.67515623698"/>
        <n v="350898.76351026969"/>
        <n v="256701.54273334061"/>
        <n v="234705.592779103"/>
        <n v="249380.5654475792"/>
        <n v="258211.44416769789"/>
        <n v="145975.83394282509"/>
        <n v="269239.85258366819"/>
        <n v="306920.21160129207"/>
        <n v="122106.7956223864"/>
        <n v="117661.2807925471"/>
        <n v="62499.799171560371"/>
        <n v="57063.98412427037"/>
        <n v="48008.482841660247"/>
        <n v="117446.83911330831"/>
        <n v="150591.5479008352"/>
        <n v="67152.474953640369"/>
        <n v="80635.289248590489"/>
        <n v="50669.637098340369"/>
        <n v="48648.992664940248"/>
        <n v="43213.177617650254"/>
        <n v="96881.018094589395"/>
        <n v="121360.8851412364"/>
        <n v="66954.366371970376"/>
        <n v="81342.150763930375"/>
        <n v="125060.7079117364"/>
        <n v="253218.83124198421"/>
        <n v="229184.47188046671"/>
        <n v="354191.35095056967"/>
        <n v="459484.66663548641"/>
        <n v="224102.88847081421"/>
        <n v="215203.5587823579"/>
        <n v="355534.91204206698"/>
        <n v="498894.34393015638"/>
        <n v="715032.18987024296"/>
        <n v="510289.21560512908"/>
        <n v="400302.03949241102"/>
        <n v="135578.20344503759"/>
        <n v="182466.2552086603"/>
        <n v="176814.2025694703"/>
        <n v="100917.67156519881"/>
        <n v="74690.672729450496"/>
        <n v="114067.0771017275"/>
        <n v="126507.8009411664"/>
        <n v="79648.629394640506"/>
        <n v="83137.432427590247"/>
        <n v="40776.027061670247"/>
        <n v="58278.457926050367"/>
        <n v="50000.101443420237"/>
        <n v="103911.9190821282"/>
        <n v="132843.22261657639"/>
        <n v="62786.611277180004"/>
        <n v="57233.406641560126"/>
        <n v="56874.345455010007"/>
        <n v="132737.73701689861"/>
        <n v="60310.338948120007"/>
        <n v="343587.00847871922"/>
        <n v="496882.31502370269"/>
        <n v="200369.82986166119"/>
        <n v="194028.06181921621"/>
        <n v="190560.57918183241"/>
        <n v="198985.3996226124"/>
        <n v="385482.8720257082"/>
        <n v="499703.41471803008"/>
        <n v="461667.00388101261"/>
        <n v="259541.60872151391"/>
        <n v="320309.27440158668"/>
        <n v="239922.99815095021"/>
        <n v="224994.1950701554"/>
        <n v="117197.9717299037"/>
        <n v="330589.1998128597"/>
        <n v="389972.11975571001"/>
        <n v="166536.00026357031"/>
        <n v="198442.91265382789"/>
        <n v="193182.15055271279"/>
        <n v="166403.12699582271"/>
        <n v="149178.60148103401"/>
        <n v="380592.57758342719"/>
        <n v="413700.17893234122"/>
        <n v="177159.67306561911"/>
        <n v="196420.7635368479"/>
        <n v="137940.87216380521"/>
        <n v="166176.2838115927"/>
        <n v="84604.377572639161"/>
        <n v="321821.02028676088"/>
        <n v="418715.41064993001"/>
        <n v="169541.26594736151"/>
        <n v="256434.50993607429"/>
        <n v="199385.91241487031"/>
        <n v="243554.22433855539"/>
        <n v="217746.01291984669"/>
        <n v="472160.75210974878"/>
        <n v="546135.46241509903"/>
        <n v="264637.36527971062"/>
        <n v="440905.99870597001"/>
        <n v="334318.89783315209"/>
        <n v="269835.82862680301"/>
        <n v="201146.4892798303"/>
        <n v="293461.08393818582"/>
        <n v="349413.00982046733"/>
        <n v="179602.91516319031"/>
        <n v="109810.54567571809"/>
        <n v="76956.920353649635"/>
        <n v="71199.588402039517"/>
        <n v="68988.346670324769"/>
        <n v="155156.87922800641"/>
        <n v="185109.5231460139"/>
        <n v="83779.544010808924"/>
        <n v="149501.57453075761"/>
        <n v="100477.29679260369"/>
        <n v="89072.705347079172"/>
        <n v="78746.595857519525"/>
        <n v="141913.38242954639"/>
        <n v="169304.27828351519"/>
        <n v="89512.242836068428"/>
        <n v="85984.075339139163"/>
        <n v="64956.462075899639"/>
        <n v="106613.4328354785"/>
        <n v="183843.81729524271"/>
        <n v="319579.79409435572"/>
        <n v="369245.75870664971"/>
        <n v="185648.49109673029"/>
        <n v="165557.76178385271"/>
        <n v="212465.0832049415"/>
        <n v="305231.90808635822"/>
        <n v="250481.61765724421"/>
        <n v="268410.4807020094"/>
        <n v="316365.49873839208"/>
        <n v="156873.04365826401"/>
        <n v="173987.75154080149"/>
        <n v="135753.76604209639"/>
        <n v="84426.509412029525"/>
        <n v="70815.190285530247"/>
        <n v="125983.15175354639"/>
        <n v="142378.1840412264"/>
        <n v="57427.680707010128"/>
        <n v="63331.33100223037"/>
        <n v="51241.02855330037"/>
        <n v="80326.440809250256"/>
        <n v="71912.565728060246"/>
        <n v="119204.3095347464"/>
        <n v="129441.27865673639"/>
        <n v="77645.749935120242"/>
        <n v="69926.650362450004"/>
        <n v="71973.044300340131"/>
        <n v="44304.898362210253"/>
        <n v="66799.723730490499"/>
        <n v="125689.59284090641"/>
        <n v="138624.94500363519"/>
        <n v="81715.045331780377"/>
        <n v="86842.861357880131"/>
        <n v="56976.785283900383"/>
        <n v="53433.668027530373"/>
        <n v="55134.081818380357"/>
        <n v="145033.61079266519"/>
        <n v="173306.90648994269"/>
        <n v="88154.338712390003"/>
        <n v="81142.027847790378"/>
        <n v="77672.882777740495"/>
        <n v="75483.422554300487"/>
        <n v="74354.570102040496"/>
        <n v="120326.876292698"/>
        <n v="131867.9935040164"/>
        <n v="75504.002742620491"/>
        <n v="69968.077699080488"/>
        <n v="60187.149047280371"/>
        <n v="44698.700751095254"/>
        <n v="39463.409059930251"/>
        <n v="85794.096902620251"/>
        <n v="117288.0100538017"/>
        <n v="71056.061003780487"/>
        <n v="64394.074453330373"/>
        <n v="35165.972082725253"/>
        <n v="23234.183195130121"/>
        <n v="24754.95718180012"/>
        <n v="76691.283029055499"/>
        <n v="102231.2117923578"/>
        <n v="56974.868025790369"/>
        <n v="59442.73111516537"/>
        <n v="217683.362264025"/>
        <n v="275458.8068961961"/>
        <n v="228731.86548652739"/>
        <n v="387639.11999952199"/>
        <n v="461188.00485173479"/>
        <n v="202249.67716942501"/>
        <n v="332559.76497908588"/>
        <n v="384806.77158197842"/>
        <n v="345776.25028037588"/>
        <n v="271551.09510075609"/>
        <n v="340440.20546208572"/>
        <n v="364416.73158213811"/>
        <n v="164719.6044916152"/>
        <n v="178921.0993487364"/>
        <n v="70286.997810770496"/>
        <n v="76013.677901710485"/>
        <n v="48406.787146740236"/>
        <n v="85940.026940790005"/>
        <n v="57381.751454185367"/>
        <n v="32479.796394255129"/>
        <n v="52160.18393341537"/>
        <n v="51002.839569495241"/>
        <n v="30194.715956215121"/>
        <n v="29751.222605555118"/>
        <n v="68504.63943753537"/>
        <n v="68996.561757290488"/>
        <n v="41855.928759400253"/>
        <n v="44303.466485900237"/>
        <n v="46599.298130810253"/>
        <n v="125182.7571653476"/>
        <n v="150036.8050416176"/>
        <n v="368037.69194465881"/>
        <n v="351319.63806908001"/>
        <n v="163289.93666880389"/>
        <n v="190892.45898757639"/>
        <n v="143082.1332657676"/>
        <n v="323548.78534206882"/>
        <n v="402312.33315894648"/>
        <n v="393635.17485489399"/>
        <n v="451100.06007685699"/>
        <n v="202902.62490132521"/>
        <n v="294557.64636622381"/>
        <n v="221618.32824753021"/>
        <n v="63968.38248018537"/>
        <n v="59609.544705280372"/>
        <n v="126588.25297451641"/>
        <n v="119755.01159048091"/>
        <n v="57413.410482090367"/>
        <n v="57749.13693860537"/>
        <n v="40140.82003455524"/>
        <n v="42195.817364850249"/>
        <n v="53490.797465390373"/>
        <n v="110809.3158055775"/>
        <n v="111527.01346960261"/>
        <n v="59808.138668750369"/>
        <n v="55166.226228085383"/>
        <n v="42054.680471955253"/>
        <n v="53678.179109280252"/>
        <n v="55930.168643105368"/>
        <n v="185771.00146306361"/>
        <n v="253116.91319854019"/>
        <n v="118618.4537021529"/>
        <n v="123320.78404237361"/>
        <n v="117051.2772154027"/>
        <n v="159299.98906190021"/>
        <n v="119047.4098679029"/>
        <n v="285081.97432843532"/>
        <n v="391656.21258357138"/>
        <n v="274814.77805485041"/>
        <n v="269555.02312096767"/>
        <n v="192001.03461514859"/>
        <n v="201367.78697700129"/>
        <n v="111874.5589729527"/>
        <n v="214540.33309084759"/>
        <n v="280264.24446527619"/>
        <n v="134136.72870994979"/>
        <n v="94243.465527933557"/>
        <n v="131436.19785473641"/>
        <n v="147893.9414709764"/>
        <n v="140238.39051047139"/>
        <n v="358183.77400468499"/>
        <n v="377937.13869747258"/>
        <n v="168729.96240320889"/>
        <n v="177192.56981712021"/>
        <n v="152368.74909244641"/>
        <n v="147471.80491951641"/>
        <n v="145697.15198235639"/>
        <n v="301033.98651272239"/>
        <n v="309518.07207128493"/>
        <n v="152504.6317273539"/>
        <n v="79711.583414100489"/>
        <n v="111021.3791139987"/>
        <n v="243161.25923328879"/>
        <n v="311443.18123189738"/>
        <n v="375876.01342195261"/>
        <n v="434639.65899526927"/>
        <n v="238637.81635545639"/>
        <n v="260653.66696349639"/>
        <n v="262394.78001827881"/>
        <n v="248437.7113010938"/>
        <n v="201048.83046167399"/>
        <n v="317690.76093605132"/>
        <n v="378527.87261716381"/>
        <n v="195425.3910795952"/>
        <n v="90441.603368529759"/>
        <n v="117649.0006330129"/>
        <n v="141285.39545671371"/>
        <n v="133183.69368019371"/>
        <n v="229672.25632039239"/>
        <n v="333488.79787881998"/>
        <n v="185422.8856361036"/>
        <n v="173833.13316842369"/>
        <n v="220271.72138524521"/>
        <n v="234468.07119528641"/>
        <n v="213778.13805030519"/>
        <n v="273563.01479629381"/>
        <n v="337506.78841922001"/>
        <n v="155312.7838621664"/>
        <n v="289243.38305619761"/>
        <n v="313125.33253251761"/>
        <n v="268330.39270501549"/>
        <n v="392228.13795848232"/>
        <n v="133728.9837288514"/>
        <n v="82778.444048310368"/>
        <n v="69522.836973940372"/>
        <n v="133021.2727953626"/>
        <n v="161267.52059183759"/>
        <n v="208583.21799035519"/>
        <n v="325457.52500147879"/>
        <n v="111650.2397740787"/>
        <n v="262421.28186455759"/>
        <n v="164527.53891335521"/>
        <n v="274990.1464991988"/>
        <n v="215737.84279871389"/>
        <n v="98646.982697528802"/>
        <n v="74401.21529302049"/>
        <n v="106592.34299626789"/>
        <n v="134629.65819693019"/>
        <n v="90773.653057909149"/>
        <n v="121373.06822441641"/>
        <n v="99445.557103979168"/>
        <n v="67587.54693007037"/>
        <n v="61685.935238410369"/>
        <n v="150006.9297918239"/>
        <n v="191287.35348550291"/>
        <n v="92595.46083693915"/>
        <n v="96947.054288479165"/>
        <n v="70512.894500490496"/>
        <n v="159590.49006920139"/>
        <n v="67046.273415800373"/>
        <n v="266949.23879314208"/>
        <n v="315272.22477212187"/>
        <n v="149138.92151888521"/>
        <n v="215171.03820176999"/>
        <n v="205197.8983571688"/>
        <n v="214452.24842869499"/>
        <n v="195767.9735540376"/>
        <n v="397984.32926288783"/>
        <n v="512603.10345302342"/>
        <n v="218104.0669391714"/>
        <n v="339004.33688676252"/>
        <n v="278116.36932756339"/>
        <n v="264159.3006103735"/>
        <n v="197778.13374055881"/>
        <n v="325749.00890694692"/>
        <n v="371561.97638721432"/>
        <n v="174581.67684583139"/>
        <n v="208489.36941933131"/>
        <n v="84495.166667640122"/>
        <n v="76661.250030179392"/>
        <n v="64034.940459509773"/>
        <n v="148839.97486826521"/>
        <n v="172541.50792952391"/>
        <n v="87991.663002118541"/>
        <n v="123445.3815504276"/>
        <n v="77344.691873669406"/>
        <n v="158963.02488179519"/>
        <n v="69598.07115293965"/>
        <n v="161275.60219880519"/>
        <n v="325215.07679238252"/>
        <n v="96957.295844458073"/>
        <n v="85224.477091228793"/>
        <n v="54612.878841539881"/>
        <n v="81530.612382324645"/>
        <n v="160947.53264018759"/>
        <n v="188736.24741743511"/>
        <n v="215951.50786707399"/>
        <n v="134995.85449594259"/>
        <n v="163079.37804396759"/>
        <n v="180828.6740918264"/>
        <n v="171196.1751944664"/>
        <n v="129719.0505263338"/>
        <n v="142127.64209061259"/>
        <n v="152124.4078943276"/>
        <n v="74132.787023074285"/>
        <n v="91143.028607709275"/>
        <n v="60528.093358145001"/>
        <n v="38340.599611080237"/>
        <n v="37453.006182510253"/>
        <n v="77997.045012869392"/>
        <n v="79752.282678029282"/>
        <n v="37155.588484560249"/>
        <n v="45046.513214430241"/>
        <n v="55489.332757800243"/>
        <n v="41893.303158000243"/>
        <n v="34348.504189710133"/>
        <n v="78276.831216934515"/>
        <n v="92851.402660078791"/>
        <n v="54845.789298270247"/>
        <n v="48037.799902380248"/>
        <n v="65905.723262160012"/>
        <n v="84870.05130086976"/>
        <n v="262459.50568130391"/>
        <n v="228124.3980292739"/>
        <n v="162929.49214412639"/>
        <n v="58359.83218482013"/>
        <n v="85605.331920599157"/>
        <n v="84836.414342129283"/>
        <n v="64308.91421652049"/>
        <n v="131168.48552294759"/>
        <n v="232410.19797781549"/>
        <n v="195831.0974571179"/>
        <n v="90716.547889139882"/>
        <n v="131638.01960717639"/>
        <n v="81910.872618989408"/>
        <n v="54821.908513709888"/>
        <n v="155615.41941446639"/>
        <n v="264086.89378034999"/>
        <n v="272761.29754268879"/>
        <n v="104689.4279184585"/>
        <n v="131170.5969337764"/>
        <n v="123179.4894003888"/>
        <n v="124431.0463716888"/>
        <n v="162166.83599087509"/>
        <n v="354042.02323982882"/>
        <n v="327352.26139595878"/>
        <n v="164809.3030482539"/>
        <n v="151157.79430871521"/>
        <n v="126895.93649753759"/>
        <n v="166395.44582884011"/>
        <n v="167796.35478000139"/>
        <n v="351146.01699924428"/>
        <n v="420738.8217596446"/>
        <n v="186166.15078643881"/>
        <n v="251449.52963919111"/>
        <n v="280321.81074676593"/>
        <n v="313434.93331366457"/>
        <n v="257324.60308093971"/>
        <n v="455554.33604822948"/>
        <n v="556865.20327505236"/>
        <n v="354856.04492208688"/>
        <n v="283284.5812539708"/>
        <n v="297500.67396872578"/>
        <n v="285968.48778251972"/>
        <n v="237946.63267226369"/>
        <n v="340851.5058648595"/>
        <n v="388187.60143352812"/>
        <n v="139178.98405924521"/>
        <n v="66400.30304726951"/>
        <n v="42723.524457810243"/>
        <n v="35014.399481130247"/>
        <n v="27210.406631640119"/>
        <n v="79840.0882456494"/>
        <n v="82484.448292049157"/>
        <n v="51497.237336430007"/>
        <n v="42871.832866800367"/>
        <n v="39104.639102460249"/>
        <n v="34406.750005710237"/>
        <n v="39403.658560350254"/>
        <n v="96830.902423738444"/>
        <n v="99380.394597328297"/>
        <n v="61656.181334069763"/>
        <n v="69163.557365579516"/>
        <n v="113112.8650211096"/>
        <n v="253686.3024535861"/>
        <n v="210305.2919440362"/>
        <n v="364087.42429993051"/>
        <n v="397480.36947452551"/>
        <n v="204028.1767573524"/>
        <n v="172797.93513446639"/>
        <n v="258970.6541101849"/>
        <n v="368789.57262197061"/>
        <n v="278071.38656924601"/>
        <n v="373959.36203922692"/>
        <n v="402057.2528885355"/>
        <n v="205719.45323581621"/>
        <n v="177626.95012448641"/>
        <n v="70441.907412239394"/>
        <n v="162923.84958070019"/>
        <n v="138752.5276097676"/>
        <n v="252458.26223048879"/>
        <n v="293917.85248111701"/>
        <n v="138350.12182847521"/>
        <n v="130067.2755641964"/>
        <n v="107168.6610764994"/>
        <n v="224030.55444808619"/>
        <n v="201918.22207274401"/>
        <n v="329344.26830316131"/>
        <n v="308642.97722408187"/>
        <n v="134472.4066282764"/>
        <n v="143809.72058396641"/>
        <n v="123252.1510558476"/>
        <n v="40067.15121186024"/>
        <n v="143752.73676064881"/>
        <n v="389904.00855466258"/>
        <n v="461280.78558277438"/>
        <n v="221578.69682356139"/>
        <n v="253702.2229766188"/>
        <n v="200616.07618333891"/>
        <n v="211700.81315721021"/>
        <n v="282757.71144459757"/>
        <n v="479010.15670774202"/>
        <n v="454543.2857587894"/>
        <n v="242185.18070257761"/>
        <n v="281531.68555597891"/>
        <n v="219363.2201356389"/>
        <n v="204005.58223455391"/>
        <n v="69579.068455469765"/>
        <n v="87184.740028708911"/>
        <n v="78700.43604833915"/>
        <n v="39809.559090600371"/>
        <n v="45839.238770190248"/>
        <n v="36851.763746850367"/>
        <n v="33225.670471770121"/>
        <n v="30423.391456740119"/>
        <n v="80345.637659439148"/>
        <n v="95297.338626638681"/>
        <n v="45324.054527670247"/>
        <n v="51604.118408790237"/>
        <n v="37870.119032340357"/>
        <n v="35169.915809850128"/>
        <n v="61148.205011279642"/>
        <n v="77171.701800149516"/>
        <n v="40881.354912270253"/>
        <n v="43085.59501152025"/>
        <n v="43894.993432110241"/>
        <n v="67780.728886469529"/>
        <n v="51907.943146500242"/>
        <n v="93508.633886369164"/>
        <n v="95343.59551217893"/>
        <n v="59514.992330639878"/>
        <n v="65133.966200159761"/>
        <n v="70641.253717499887"/>
        <n v="48442.171479960249"/>
        <n v="46291.371916890253"/>
        <n v="73453.14329216964"/>
        <n v="71508.897954089523"/>
        <n v="30066.12618285013"/>
        <n v="37726.615903170241"/>
        <n v="30831.694626900251"/>
        <n v="146811.45511516009"/>
        <n v="99867.329619087352"/>
        <n v="210664.86278147751"/>
        <n v="266271.03907309339"/>
        <n v="123084.0390694151"/>
        <n v="162727.52477714521"/>
        <n v="114708.9459940466"/>
        <n v="122318.90746898641"/>
        <n v="112010.3445314969"/>
        <n v="229861.4702805799"/>
        <n v="249981.2496941947"/>
        <n v="136480.2491167002"/>
        <n v="127369.80261433141"/>
        <n v="43537.728158220249"/>
        <n v="120407.4132678633"/>
        <n v="226375.54313479611"/>
        <n v="337900.17823359562"/>
        <n v="355069.54010681692"/>
        <n v="153893.68522805019"/>
        <n v="159625.74092242509"/>
        <n v="133961.9669928514"/>
        <n v="236305.15636647621"/>
        <n v="313491.73511881451"/>
        <n v="370355.00173424062"/>
        <n v="369091.05539249809"/>
        <n v="209026.01967195861"/>
        <n v="228177.31678002991"/>
        <n v="154494.7820491702"/>
        <n v="50736.474172200127"/>
        <n v="43292.149236510253"/>
        <n v="77335.918597634154"/>
        <n v="85070.234889733911"/>
        <n v="48831.666105370241"/>
        <n v="52075.157176600122"/>
        <n v="30424.72625669013"/>
        <n v="20495.113025005001"/>
        <n v="40742.171681120242"/>
        <n v="69864.836990219526"/>
        <n v="100120.7110532329"/>
        <n v="49825.097035430132"/>
        <n v="46566.462052040253"/>
        <n v="37923.765855785372"/>
        <n v="50084.812702065246"/>
        <n v="41885.828278280373"/>
        <n v="147503.57315832519"/>
        <n v="151639.18384341139"/>
        <n v="72457.297587654524"/>
        <n v="67355.061182414633"/>
        <n v="58941.792828474892"/>
        <n v="58796.785015724643"/>
        <n v="57019.389671394638"/>
        <n v="155918.3825994826"/>
        <n v="208489.09032479019"/>
        <n v="118580.4725762977"/>
        <n v="142758.8811215114"/>
        <n v="96620.986929783307"/>
        <n v="78861.594940484283"/>
        <n v="70279.474392869641"/>
        <n v="87748.862891213546"/>
        <n v="92053.325769973191"/>
        <n v="51751.383246910009"/>
        <n v="50934.983193855121"/>
        <n v="36113.934872670237"/>
        <n v="31023.359765175119"/>
        <n v="22334.212530659999"/>
        <n v="69440.928795190252"/>
        <n v="92159.029791471577"/>
        <n v="57296.28785375024"/>
        <n v="57184.941268830247"/>
        <n v="40951.10427692964"/>
        <n v="37672.447294289763"/>
        <n v="38648.137519559627"/>
        <n v="96020.545374096837"/>
        <n v="105662.59415837259"/>
        <n v="54738.483516835127"/>
        <n v="40131.573511264643"/>
        <n v="70402.991926425369"/>
        <n v="62501.740698760252"/>
        <n v="53675.218280300003"/>
        <n v="102606.3269819471"/>
        <n v="124988.1554671887"/>
        <n v="67521.037488925373"/>
        <n v="70020.596009840374"/>
        <n v="126954.1701789974"/>
        <n v="97558.247051041471"/>
        <n v="97039.009870491587"/>
        <n v="168349.26532293609"/>
        <n v="202017.4219781323"/>
        <n v="108459.00005362221"/>
        <n v="112536.3770572526"/>
        <n v="100479.92998887179"/>
        <n v="81649.688672410848"/>
        <n v="71529.162644240496"/>
        <n v="160938.60161507491"/>
        <n v="164998.84464116491"/>
        <n v="97946.783047396821"/>
        <n v="87834.253684381343"/>
        <n v="95509.134975070017"/>
        <n v="77229.971885239516"/>
        <m/>
        <n v="186909828.25648293"/>
      </sharedItems>
    </cacheField>
    <cacheField name="Cost Of Sales" numFmtId="0">
      <sharedItems containsString="0" containsBlank="1" containsNumber="1" minValue="18375.052607697839" maxValue="872081.58500352106" count="1054">
        <n v="230079.62101244801"/>
        <n v="306986.12048428319"/>
        <n v="87986.318214449886"/>
        <n v="202881.17770623259"/>
        <n v="333806.29187335481"/>
        <n v="313652.34827236348"/>
        <n v="183083.28498402701"/>
        <n v="313446.06814884301"/>
        <n v="229533.9737283797"/>
        <n v="99381.967517224926"/>
        <n v="104816.45851255261"/>
        <n v="141333.99628349251"/>
        <n v="143179.66998839291"/>
        <n v="93126.147238344056"/>
        <n v="112186.3086630527"/>
        <n v="78096.76018225115"/>
        <n v="97159.002586869974"/>
        <n v="83350.433158824555"/>
        <n v="132703.3354197717"/>
        <n v="146928.41178089229"/>
        <n v="72782.284321402927"/>
        <n v="81789.136122352749"/>
        <n v="88388.916069159721"/>
        <n v="57157.282544092297"/>
        <n v="62863.98723906299"/>
        <n v="114823.7952238127"/>
        <n v="152636.27656236591"/>
        <n v="81583.166949853185"/>
        <n v="71377.156455436343"/>
        <n v="49769.098243003224"/>
        <n v="66529.441996531445"/>
        <n v="63757.83986845208"/>
        <n v="135609.5075820497"/>
        <n v="178435.71534579591"/>
        <n v="111466.5168475372"/>
        <n v="140505.6347230032"/>
        <n v="128496.2877011727"/>
        <n v="195078.6033309428"/>
        <n v="101977.98995528861"/>
        <n v="313529.18774871569"/>
        <n v="329754.77946358221"/>
        <n v="141530.7086832913"/>
        <n v="154828.68457507671"/>
        <n v="139824.1616410127"/>
        <n v="166893.36891900509"/>
        <n v="141027.4344556813"/>
        <n v="343519.87554694671"/>
        <n v="373973.59333485219"/>
        <n v="136797.07737015281"/>
        <n v="152887.1063994804"/>
        <n v="53463.244211993297"/>
        <n v="107736.4440759586"/>
        <n v="75934.394822039583"/>
        <n v="322089.78895544191"/>
        <n v="320116.92432327801"/>
        <n v="140752.60159166719"/>
        <n v="134505.40422379479"/>
        <n v="227546.44655960059"/>
        <n v="228214.1421194314"/>
        <n v="365935.6529559262"/>
        <n v="686656.79099217081"/>
        <n v="872081.58500352106"/>
        <n v="495554.44992388849"/>
        <n v="557567.13698481338"/>
        <n v="323325.02992702462"/>
        <n v="267308.50708271051"/>
        <n v="168135.69000612191"/>
        <n v="483774.59671529243"/>
        <n v="541498.95824459626"/>
        <n v="233589.98296831999"/>
        <n v="297642.8914364595"/>
        <n v="191499.0428132079"/>
        <n v="197153.4240190601"/>
        <n v="168975.1740454408"/>
        <n v="406765.91395402339"/>
        <n v="534383.14311860851"/>
        <n v="233191.1045662229"/>
        <n v="250794.2212640947"/>
        <n v="90571.58892297688"/>
        <n v="88255.840991793899"/>
        <n v="172344.30443948091"/>
        <n v="192019.14427492701"/>
        <n v="165201.30501850991"/>
        <n v="67061.622709446878"/>
        <n v="77703.6463336835"/>
        <n v="127394.2892421362"/>
        <n v="122275.1025821775"/>
        <n v="118186.5750412271"/>
        <n v="271550.89558082249"/>
        <n v="352250.83007461781"/>
        <n v="160525.4268777135"/>
        <n v="187072.59522993831"/>
        <n v="239700.68479759869"/>
        <n v="153366.0188105522"/>
        <n v="134523.0686337204"/>
        <n v="187742.30001175261"/>
        <n v="213540.7341841938"/>
        <n v="116856.31461341619"/>
        <n v="130784.4447090652"/>
        <n v="115305.8051854457"/>
        <n v="121264.7031181628"/>
        <n v="183278.50242698641"/>
        <n v="326322.52601226018"/>
        <n v="383727.19401292427"/>
        <n v="170061.86414652271"/>
        <n v="198212.06872996839"/>
        <n v="255956.65403528849"/>
        <n v="301522.35225437139"/>
        <n v="627927.75867338968"/>
        <n v="476692.5436944089"/>
        <n v="369765.61276322469"/>
        <n v="117190.8261541667"/>
        <n v="165415.08384550369"/>
        <n v="187344.7371716582"/>
        <n v="106849.898795566"/>
        <n v="96197.482231430811"/>
        <n v="292327.02825568401"/>
        <n v="281159.58112341299"/>
        <n v="123042.1589528976"/>
        <n v="122516.0657042025"/>
        <n v="130405.26385817111"/>
        <n v="150644.3482406672"/>
        <n v="175656.65039321329"/>
        <n v="157300.625596072"/>
        <n v="127601.9447259398"/>
        <n v="91601.506543395022"/>
        <n v="109460.1532226706"/>
        <n v="115693.1066418478"/>
        <n v="93157.170582525898"/>
        <n v="93696.216137213793"/>
        <n v="325836.94011389237"/>
        <n v="465253.81571558799"/>
        <n v="215907.82491282909"/>
        <n v="197835.49508379781"/>
        <n v="157693.18930052701"/>
        <n v="218098.7618880111"/>
        <n v="289864.79847427219"/>
        <n v="441790.76722722728"/>
        <n v="526707.3769616452"/>
        <n v="174376.63247461841"/>
        <n v="175540.11551824521"/>
        <n v="187748.1722021974"/>
        <n v="204460.66537744281"/>
        <n v="115011.3226088317"/>
        <n v="449274.18625836552"/>
        <n v="614245.79414952744"/>
        <n v="217364.46301139219"/>
        <n v="225607.5951852721"/>
        <n v="234496.51283165641"/>
        <n v="252929.29469238099"/>
        <n v="215118.84649511721"/>
        <n v="521651.08612557303"/>
        <n v="626259.38684881607"/>
        <n v="473223.98073157662"/>
        <n v="442155.99116118718"/>
        <n v="340913.59172520298"/>
        <n v="296902.67253080232"/>
        <n v="192824.890128464"/>
        <n v="300213.55940666178"/>
        <n v="407438.91960054089"/>
        <n v="201254.7125115463"/>
        <n v="220255.21917882841"/>
        <n v="195254.78100370179"/>
        <n v="180978.60103822939"/>
        <n v="207757.70297321581"/>
        <n v="486180.54436187987"/>
        <n v="492135.2922944348"/>
        <n v="233554.03224643381"/>
        <n v="193340.31536521239"/>
        <n v="221403.64501723999"/>
        <n v="192057.51084707779"/>
        <n v="119544.0197640804"/>
        <n v="205350.64307872241"/>
        <n v="206918.9125938658"/>
        <n v="135372.5270250313"/>
        <n v="139206.02689008071"/>
        <n v="35299.064235203223"/>
        <n v="53925.257631037668"/>
        <n v="53688.24119505065"/>
        <n v="127302.42713472139"/>
        <n v="141012.32941184979"/>
        <n v="60083.86983686743"/>
        <n v="90294.376087688332"/>
        <n v="173842.9209259059"/>
        <n v="101615.7320157364"/>
        <n v="90927.089657647652"/>
        <n v="95423.273987227221"/>
        <n v="114395.6276274463"/>
        <n v="68252.24220948873"/>
        <n v="66990.88135215205"/>
        <n v="105373.30003337099"/>
        <n v="79496.494243965513"/>
        <n v="101270.971050946"/>
        <n v="130633.2627145483"/>
        <n v="96688.497813017515"/>
        <n v="48370.308994006256"/>
        <n v="73393.446593668908"/>
        <n v="107437.38095161279"/>
        <n v="164641.3539874852"/>
        <n v="78844.86050033744"/>
        <n v="121612.17892455601"/>
        <n v="255779.85446049331"/>
        <n v="83020.514125462476"/>
        <n v="84643.271827215489"/>
        <n v="55278.707829230581"/>
        <n v="173725.35752062299"/>
        <n v="92416.903838237486"/>
        <n v="538260.27180390677"/>
        <n v="586670.51408478804"/>
        <n v="277238.01036147983"/>
        <n v="304508.37903080799"/>
        <n v="221017.0730997668"/>
        <n v="205903.82494520771"/>
        <n v="307222.39542168751"/>
        <n v="636341.31592619617"/>
        <n v="653779.96345324407"/>
        <n v="319500.00945712812"/>
        <n v="376645.75093448581"/>
        <n v="272809.29044380988"/>
        <n v="77649.636533253579"/>
        <n v="99367.233222687966"/>
        <n v="456509.62185022031"/>
        <n v="424340.94938278513"/>
        <n v="203331.43478475651"/>
        <n v="241134.5277944064"/>
        <n v="197438.11163851491"/>
        <n v="205114.1289482273"/>
        <n v="184687.52914036711"/>
        <n v="491559.42296304408"/>
        <n v="562953.37077365373"/>
        <n v="249203.12076822479"/>
        <n v="265532.5462048222"/>
        <n v="167021.15782900871"/>
        <n v="174723.17542794361"/>
        <n v="167239.64875993141"/>
        <n v="384006.045320909"/>
        <n v="463250.07125509798"/>
        <n v="218347.79777692939"/>
        <n v="323293.3966404731"/>
        <n v="259860.5125486858"/>
        <n v="304334.78464343678"/>
        <n v="287168.56608982541"/>
        <n v="660937.80480560346"/>
        <n v="797788.89197623753"/>
        <n v="398562.60743015882"/>
        <n v="662850.99076108413"/>
        <n v="523480.3033456417"/>
        <n v="517180.5432955554"/>
        <n v="348177.12054578192"/>
        <n v="558766.69034694601"/>
        <n v="616169.85143113649"/>
        <n v="261088.3863729678"/>
        <n v="272633.39980275778"/>
        <n v="120070.9501885974"/>
        <n v="77071.542706110122"/>
        <n v="69489.36084683513"/>
        <n v="145956.13969592101"/>
        <n v="168652.2035714417"/>
        <n v="84948.374577163748"/>
        <n v="118094.0431931489"/>
        <n v="81753.424593545584"/>
        <n v="72471.919323404494"/>
        <n v="68280.383276895183"/>
        <n v="135276.90958604589"/>
        <n v="151376.13558980459"/>
        <n v="74546.668253599157"/>
        <n v="89653.637589452905"/>
        <n v="108880.4089631831"/>
        <n v="223554.08660175069"/>
        <n v="382967.98317568301"/>
        <n v="625980.93020941468"/>
        <n v="661010.59126386233"/>
        <n v="304440.65150645463"/>
        <n v="283912.96869744168"/>
        <n v="384823.43987807218"/>
        <n v="639306.56878246542"/>
        <n v="506072.03334142908"/>
        <n v="557939.36927636876"/>
        <n v="705891.30026245222"/>
        <n v="301279.65498243202"/>
        <n v="404178.92105522793"/>
        <n v="74251.874725965463"/>
        <n v="67141.979629084031"/>
        <n v="98065.939078450887"/>
        <n v="170757.581177207"/>
        <n v="131192.31677147359"/>
        <n v="57992.341511187689"/>
        <n v="82392.333264616391"/>
        <n v="66313.940979270206"/>
        <n v="124398.43162958849"/>
        <n v="91087.851335542873"/>
        <n v="116949.7912742107"/>
        <n v="164492.94663284859"/>
        <n v="87911.211583205484"/>
        <n v="98870.811877197717"/>
        <n v="100424.1557433229"/>
        <n v="96511.722157538141"/>
        <n v="94763.842548765941"/>
        <n v="241961.14324530261"/>
        <n v="294129.67112311861"/>
        <n v="124739.23394868799"/>
        <n v="140651.93717842031"/>
        <n v="87067.05131891428"/>
        <n v="80112.54801498825"/>
        <n v="68293.096389796119"/>
        <n v="163319.71647067659"/>
        <n v="242638.80119746839"/>
        <n v="145646.33680169421"/>
        <n v="201281.239025563"/>
        <n v="90949.442252201086"/>
        <n v="67872.774326885235"/>
        <n v="84486.086086063602"/>
        <n v="136539.20329644671"/>
        <n v="156700.82499573231"/>
        <n v="71994.346393653148"/>
        <n v="73967.60569443136"/>
        <n v="54996.866607590731"/>
        <n v="48289.892276094753"/>
        <n v="53997.218873107588"/>
        <n v="146994.89550113151"/>
        <n v="176898.27782037071"/>
        <n v="73905.810158820022"/>
        <n v="84418.78910931063"/>
        <n v="61158.361090192768"/>
        <n v="47409.554056467168"/>
        <n v="50038.142634161093"/>
        <n v="47192.498284101879"/>
        <n v="41179.088245459163"/>
        <n v="26893.304677301021"/>
        <n v="23516.041718095501"/>
        <n v="35674.190763166298"/>
        <n v="26054.849168281438"/>
        <n v="32719.689636421641"/>
        <n v="40652.576408851382"/>
        <n v="79880.243682936474"/>
        <n v="93177.884704390279"/>
        <n v="97257.394665729371"/>
        <n v="85533.428923318512"/>
        <n v="69654.93030590401"/>
        <n v="54503.02854750456"/>
        <n v="77619.29488939041"/>
        <n v="154998.83458187681"/>
        <n v="111903.7379024793"/>
        <n v="91081.66819408616"/>
        <n v="77014.255960305571"/>
        <n v="169348.5185848648"/>
        <n v="171692.99360653351"/>
        <n v="301236.10987981001"/>
        <n v="402564.67862758518"/>
        <n v="192327.32065612171"/>
        <n v="304489.638251931"/>
        <n v="179571.12907994099"/>
        <n v="161137.52200304749"/>
        <n v="221435.76864963601"/>
        <n v="299516.83776498272"/>
        <n v="346378.30476784823"/>
        <n v="190644.50156869169"/>
        <n v="210188.9094104479"/>
        <n v="326627.13841637562"/>
        <n v="495909.08956339589"/>
        <n v="140525.78674110339"/>
        <n v="49028.365072183813"/>
        <n v="112383.5592473063"/>
        <n v="70482.717802969084"/>
        <n v="136003.48252575181"/>
        <n v="235723.76475390821"/>
        <n v="398013.34833037207"/>
        <n v="122170.43168462771"/>
        <n v="295019.46942959027"/>
        <n v="267734.72525537072"/>
        <n v="194427.44797350231"/>
        <n v="239988.0274603873"/>
        <n v="197328.94391081069"/>
        <n v="84728.831196631072"/>
        <n v="78468.095499687464"/>
        <n v="126444.1425182809"/>
        <n v="123392.8040677807"/>
        <n v="71051.363502932756"/>
        <n v="86467.537750281685"/>
        <n v="65980.422089859814"/>
        <n v="60703.356028777598"/>
        <n v="80337.748312174546"/>
        <n v="152030.98648053521"/>
        <n v="173547.0271100424"/>
        <n v="76003.928254213824"/>
        <n v="91110.969347994804"/>
        <n v="99134.30698859354"/>
        <n v="64144.088875245921"/>
        <n v="67952.150554841501"/>
        <n v="158031.79104317201"/>
        <n v="162082.4184385144"/>
        <n v="79795.0431031607"/>
        <n v="93808.086746872388"/>
        <n v="78614.457753375827"/>
        <n v="61194.180255889572"/>
        <n v="58531.41098518647"/>
        <n v="137221.53747357719"/>
        <n v="203814.73638908501"/>
        <n v="174652.45798996431"/>
        <n v="154148.5988130215"/>
        <n v="103634.964229016"/>
        <n v="83232.391367362128"/>
        <n v="46407.299117268973"/>
        <n v="85765.709336061569"/>
        <n v="105662.5562409002"/>
        <n v="73046.233899676779"/>
        <n v="97097.936590193072"/>
        <n v="148522.8490204199"/>
        <n v="173661.82783508641"/>
        <n v="147756.34279381519"/>
        <n v="382447.08041708497"/>
        <n v="451548.0275596244"/>
        <n v="217065.61516082729"/>
        <n v="234723.22004532229"/>
        <n v="148697.54369598959"/>
        <n v="170739.36662316829"/>
        <n v="152824.1148984046"/>
        <n v="310240.37839534058"/>
        <n v="283430.33683376323"/>
        <n v="144020.1227597401"/>
        <n v="85730.966539282686"/>
        <n v="100867.5240607559"/>
        <n v="209499.79410912099"/>
        <n v="166305.03762747039"/>
        <n v="324997.33647802821"/>
        <n v="375030.63545205921"/>
        <n v="276569.25039235951"/>
        <n v="252709.82306975979"/>
        <n v="268761.83235694439"/>
        <n v="278825.60667853651"/>
        <n v="157578.00586652799"/>
        <n v="291365.01755439863"/>
        <n v="332242.411551486"/>
        <n v="121394.8122011722"/>
        <n v="116861.1582735515"/>
        <n v="62073.872654165207"/>
        <n v="56638.281370608107"/>
        <n v="47681.672078871583"/>
        <n v="116681.1415516587"/>
        <n v="149573.8275926896"/>
        <n v="66802.983217839879"/>
        <n v="80121.290522541603"/>
        <n v="50308.957054208033"/>
        <n v="48362.068791947771"/>
        <n v="42981.216847754557"/>
        <n v="96453.287284883205"/>
        <n v="120829.2879710704"/>
        <n v="66756.376443642119"/>
        <n v="81132.012897235923"/>
        <n v="136375.1527135167"/>
        <n v="276194.82948404271"/>
        <n v="250361.15020932569"/>
        <n v="386464.65132698609"/>
        <n v="501362.57249034831"/>
        <n v="244359.80746223289"/>
        <n v="234819.44742668921"/>
        <n v="386988.91474848392"/>
        <n v="542483.83580550889"/>
        <n v="777522.19275101577"/>
        <n v="554159.81941342691"/>
        <n v="434872.72891034582"/>
        <n v="147335.92505366591"/>
        <n v="198405.2291123257"/>
        <n v="178390.14906155379"/>
        <n v="100579.12894836511"/>
        <n v="74427.585972183966"/>
        <n v="113653.97356322029"/>
        <n v="126043.76915933751"/>
        <n v="79349.402451342714"/>
        <n v="82700.354170302948"/>
        <n v="39940.199579223197"/>
        <n v="56969.922594239448"/>
        <n v="48827.885381172753"/>
        <n v="101408.94958672021"/>
        <n v="129545.5321235172"/>
        <n v="61213.255905066573"/>
        <n v="55706.875425596532"/>
        <n v="55172.171225548656"/>
        <n v="140263.9301023919"/>
        <n v="58446.054929901373"/>
        <n v="362390.59604190831"/>
        <n v="535306.00987018819"/>
        <n v="210964.76808699651"/>
        <n v="204053.49893464721"/>
        <n v="200804.03684509991"/>
        <n v="209483.87580877281"/>
        <n v="406252.00759341638"/>
        <n v="526206.93717221648"/>
        <n v="496852.8019930757"/>
        <n v="273280.04637040471"/>
        <n v="336742.60236538568"/>
        <n v="251700.96640120179"/>
        <n v="242259.85953966621"/>
        <n v="115769.08632788141"/>
        <n v="355565.04173447768"/>
        <n v="419827.1365222265"/>
        <n v="179243.05183339989"/>
        <n v="213676.42842593021"/>
        <n v="208039.1734455548"/>
        <n v="179221.57229364"/>
        <n v="160620.2071408729"/>
        <n v="409812.43266368861"/>
        <n v="445569.71910740522"/>
        <n v="190811.57794423791"/>
        <n v="211510.78612034491"/>
        <n v="147846.05216339661"/>
        <n v="178568.18048077749"/>
        <n v="81763.267389330111"/>
        <n v="346487.52033416741"/>
        <n v="450936.27926429448"/>
        <n v="182419.1414416233"/>
        <n v="276173.7924514967"/>
        <n v="214719.75281922091"/>
        <n v="262251.08007940761"/>
        <n v="234483.41700980731"/>
        <n v="508265.14697374182"/>
        <n v="588250.18115078332"/>
        <n v="284828.65965624881"/>
        <n v="474967.32763121481"/>
        <n v="360168.82707700803"/>
        <n v="290492.10628032242"/>
        <n v="216428.50043796099"/>
        <n v="315937.86219659372"/>
        <n v="376094.7218058327"/>
        <n v="193348.59144622891"/>
        <n v="106166.08162125781"/>
        <n v="74212.790574549421"/>
        <n v="68669.394963916289"/>
        <n v="66539.165195767971"/>
        <n v="149423.24358090671"/>
        <n v="178347.369376849"/>
        <n v="80659.821812082024"/>
        <n v="143962.87189290189"/>
        <n v="96810.103581569099"/>
        <n v="85639.307745994563"/>
        <n v="75673.78198741567"/>
        <n v="136017.75039375731"/>
        <n v="162287.90922482399"/>
        <n v="85781.807031229662"/>
        <n v="82427.231536907115"/>
        <n v="62169.777124857188"/>
        <n v="113428.4742746674"/>
        <n v="195365.7307199428"/>
        <n v="339241.69180245663"/>
        <n v="392017.97345098661"/>
        <n v="197095.1087429694"/>
        <n v="175871.11092052259"/>
        <n v="225678.93452530191"/>
        <n v="324248.84149134008"/>
        <n v="266061.92835854058"/>
        <n v="284592.99466123187"/>
        <n v="335025.07636012638"/>
        <n v="165968.6245016396"/>
        <n v="184188.97897635491"/>
        <n v="143799.59868752939"/>
        <n v="84588.963035420922"/>
        <n v="71913.068580605148"/>
        <n v="127884.5872444484"/>
        <n v="143924.56511903761"/>
        <n v="58723.040531751663"/>
        <n v="64690.059069980809"/>
        <n v="52509.916219996157"/>
        <n v="81730.270702131005"/>
        <n v="73762.629173268782"/>
        <n v="122669.6994279253"/>
        <n v="132493.4315208937"/>
        <n v="79555.63473624234"/>
        <n v="71362.517838136861"/>
        <n v="73851.78839873473"/>
        <n v="45468.836976009428"/>
        <n v="69323.647871911555"/>
        <n v="130428.2263951168"/>
        <n v="143537.39521883641"/>
        <n v="85089.22343005694"/>
        <n v="90242.794097153615"/>
        <n v="59094.076857821427"/>
        <n v="55516.525562079609"/>
        <n v="57064.750696012437"/>
        <n v="149876.87328204009"/>
        <n v="178699.97587509951"/>
        <n v="90828.661699823351"/>
        <n v="83114.57680933841"/>
        <n v="80417.746442173302"/>
        <n v="78024.284675030634"/>
        <n v="76978.305238407411"/>
        <n v="123707.76157316699"/>
        <n v="135721.426030331"/>
        <n v="77978.694471478811"/>
        <n v="72665.725527117203"/>
        <n v="62538.493277924979"/>
        <n v="46849.567146474838"/>
        <n v="41414.418370139807"/>
        <n v="89898.894227499957"/>
        <n v="122504.35720229719"/>
        <n v="74589.172866250257"/>
        <n v="67505.254139283716"/>
        <n v="36841.967322813813"/>
        <n v="24104.085977912531"/>
        <n v="25407.174070346191"/>
        <n v="78691.956315552306"/>
        <n v="104713.0074997764"/>
        <n v="57548.985153409623"/>
        <n v="59785.428614563789"/>
        <n v="246975.73076564309"/>
        <n v="307092.27437902818"/>
        <n v="252845.44555357669"/>
        <n v="426783.30221814412"/>
        <n v="504578.18875722651"/>
        <n v="220152.1867539582"/>
        <n v="361970.285938652"/>
        <n v="418101.5975483603"/>
        <n v="373816.16840063431"/>
        <n v="293343.87397356221"/>
        <n v="366359.65859248448"/>
        <n v="392128.30126516859"/>
        <n v="176647.84265184921"/>
        <n v="192507.52873248939"/>
        <n v="66639.698052811495"/>
        <n v="72211.103174650692"/>
        <n v="45316.542733610833"/>
        <n v="81559.845623271962"/>
        <n v="54340.891509322857"/>
        <n v="30763.688117313319"/>
        <n v="49656.007748568787"/>
        <n v="48601.967504707303"/>
        <n v="28605.46079761381"/>
        <n v="28084.235128364078"/>
        <n v="64881.975648256928"/>
        <n v="65211.57177094122"/>
        <n v="39629.451872277546"/>
        <n v="41485.458718801397"/>
        <n v="43806.73201043591"/>
        <n v="138583.8378162164"/>
        <n v="167704.85540677371"/>
        <n v="413540.807164328"/>
        <n v="397626.58505845559"/>
        <n v="185404.04401051009"/>
        <n v="216571.0595214621"/>
        <n v="162929.01847235279"/>
        <n v="368434.8859088649"/>
        <n v="459285.80452600669"/>
        <n v="448390.96576197422"/>
        <n v="515549.38991623401"/>
        <n v="232360.32715548939"/>
        <n v="336897.92240040551"/>
        <n v="253291.062286083"/>
        <n v="61942.842677746637"/>
        <n v="57736.476659462976"/>
        <n v="122622.36311479039"/>
        <n v="116003.6869136254"/>
        <n v="55617.584643929717"/>
        <n v="55933.008575846157"/>
        <n v="38881.088441786422"/>
        <n v="40869.24947226706"/>
        <n v="51799.165903400812"/>
        <n v="107331.98051512289"/>
        <n v="108023.60734392131"/>
        <n v="57937.458655969502"/>
        <n v="53436.897092784871"/>
        <n v="40736.150475592272"/>
        <n v="51999.860868195567"/>
        <n v="54177.690061877343"/>
        <n v="192527.0110099228"/>
        <n v="262409.56942291622"/>
        <n v="122915.26701698839"/>
        <n v="128133.7786088713"/>
        <n v="122175.0002727018"/>
        <n v="174699.07672381031"/>
        <n v="124349.2654892959"/>
        <n v="297627.69071540632"/>
        <n v="429832.83476080548"/>
        <n v="287978.17491181649"/>
        <n v="281915.19210462889"/>
        <n v="201125.7754746837"/>
        <n v="220579.99556067711"/>
        <n v="116637.034345283"/>
        <n v="223738.43271863071"/>
        <n v="306935.16039581352"/>
        <n v="140236.30330013481"/>
        <n v="89949.304171877258"/>
        <n v="143823.38644063799"/>
        <n v="161665.60055441549"/>
        <n v="153481.4533973026"/>
        <n v="391310.32068493689"/>
        <n v="413010.2290451295"/>
        <n v="184673.48850580241"/>
        <n v="193615.30370472989"/>
        <n v="166625.36501779759"/>
        <n v="161402.91869953019"/>
        <n v="159317.60939427299"/>
        <n v="328965.14326487982"/>
        <n v="338720.02362598572"/>
        <n v="167600.650935746"/>
        <n v="74375.788707864966"/>
        <n v="121456.5240191974"/>
        <n v="266054.36985679291"/>
        <n v="355343.87184090709"/>
        <n v="431325.6866936764"/>
        <n v="498895.61864535551"/>
        <n v="274093.57795911958"/>
        <n v="283981.1506886445"/>
        <n v="285838.55681476911"/>
        <n v="269807.62043909793"/>
        <n v="219110.3931964541"/>
        <n v="345449.52994686092"/>
        <n v="410385.03700937238"/>
        <n v="210461.38622248991"/>
        <n v="83999.591253936887"/>
        <n v="121640.3797902365"/>
        <n v="145443.04659183419"/>
        <n v="137725.87611044809"/>
        <n v="237672.0164167957"/>
        <n v="359621.07489373692"/>
        <n v="191390.40131031329"/>
        <n v="179871.05329942369"/>
        <n v="237123.3433401052"/>
        <n v="251493.90890012981"/>
        <n v="230994.35519885991"/>
        <n v="295854.55231599201"/>
        <n v="362223.16087670921"/>
        <n v="167421.97369517089"/>
        <n v="312784.97431839362"/>
        <n v="338299.61784548633"/>
        <n v="249584.21516385439"/>
        <n v="364396.19424887962"/>
        <n v="124363.5572766095"/>
        <n v="76876.492698314294"/>
        <n v="64616.07664627437"/>
        <n v="123500.7877896752"/>
        <n v="175378.1459152207"/>
        <n v="227060.26267849401"/>
        <n v="353929.73835499171"/>
        <n v="121448.2838171389"/>
        <n v="285675.84571316058"/>
        <n v="179308.94953055491"/>
        <n v="299576.24136966269"/>
        <n v="234642.0857481322"/>
        <n v="91610.560001972306"/>
        <n v="68988.861259106357"/>
        <n v="99021.682920692168"/>
        <n v="124963.4655138471"/>
        <n v="84299.288239980437"/>
        <n v="112550.43230873271"/>
        <n v="92226.518095758031"/>
        <n v="62760.356831462283"/>
        <n v="57191.43931779157"/>
        <n v="139244.89576770909"/>
        <n v="177577.2872134948"/>
        <n v="86018.189605519379"/>
        <n v="89961.359503772677"/>
        <n v="65453.276391554507"/>
        <n v="182351.13884524151"/>
        <n v="61894.262560530507"/>
        <n v="294322.92718273471"/>
        <n v="346093.06700429099"/>
        <n v="163505.7130198981"/>
        <n v="234621.59885970881"/>
        <n v="221931.58005274381"/>
        <n v="231730.23274989819"/>
        <n v="210639.84818927519"/>
        <n v="437198.92957971449"/>
        <n v="561872.20603298978"/>
        <n v="238662.19210478579"/>
        <n v="371177.18688303168"/>
        <n v="295645.62910879822"/>
        <n v="280392.27359994513"/>
        <n v="209372.29223082791"/>
        <n v="345287.81149657938"/>
        <n v="393884.43303565029"/>
        <n v="185040.81733893289"/>
        <n v="221372.83694683231"/>
        <n v="74682.266818099233"/>
        <n v="66379.563604373863"/>
        <n v="55491.338529373483"/>
        <n v="129583.4920673977"/>
        <n v="150538.98368314141"/>
        <n v="76378.504638063911"/>
        <n v="108669.225381257"/>
        <n v="68269.248838410713"/>
        <n v="167521.52586053711"/>
        <n v="61492.968308179203"/>
        <n v="143446.35832758571"/>
        <n v="345446.00184870971"/>
        <n v="86455.494378043557"/>
        <n v="75960.718021940367"/>
        <n v="49071.802537897172"/>
        <n v="81738.0564373136"/>
        <n v="162597.49684526821"/>
        <n v="183103.23368799081"/>
        <n v="210032.78807855889"/>
        <n v="129938.7057703585"/>
        <n v="160332.58940603069"/>
        <n v="182962.33699647631"/>
        <n v="174428.680891675"/>
        <n v="131961.93250828909"/>
        <n v="144039.41368270031"/>
        <n v="153377.51203867729"/>
        <n v="74332.279484224229"/>
        <n v="95167.528732048944"/>
        <n v="62342.881166359934"/>
        <n v="35918.335153329201"/>
        <n v="35108.200106536773"/>
        <n v="73051.675542545359"/>
        <n v="74962.816397036033"/>
        <n v="34962.830504184181"/>
        <n v="42368.045353504087"/>
        <n v="52263.056988226643"/>
        <n v="39495.455901503272"/>
        <n v="32292.837602068419"/>
        <n v="73746.758711538583"/>
        <n v="87451.566175781234"/>
        <n v="51625.511717785288"/>
        <n v="45187.641575720692"/>
        <n v="62023.881297700063"/>
        <n v="81472.827175989325"/>
        <n v="259298.45661843679"/>
        <n v="222208.35038080389"/>
        <n v="161434.81509850451"/>
        <n v="57681.569884933917"/>
        <n v="85022.380920180585"/>
        <n v="84595.217934805929"/>
        <n v="68427.59466606575"/>
        <n v="138589.10006426301"/>
        <n v="245358.62998053379"/>
        <n v="205442.82809681169"/>
        <n v="95543.133646196758"/>
        <n v="130700.1889420074"/>
        <n v="79969.510545293015"/>
        <n v="50800.008514759313"/>
        <n v="171592.12587915739"/>
        <n v="291378.57980277447"/>
        <n v="298164.41609707451"/>
        <n v="113609.3042530743"/>
        <n v="142022.81259344591"/>
        <n v="132714.96020410041"/>
        <n v="132889.05689693731"/>
        <n v="172225.65270563861"/>
        <n v="373200.30598406307"/>
        <n v="345338.62806920632"/>
        <n v="175167.42875982969"/>
        <n v="159828.76503430531"/>
        <n v="133726.28056152479"/>
        <n v="179020.54245850781"/>
        <n v="182485.09893705399"/>
        <n v="380098.15640387451"/>
        <n v="455415.34932802978"/>
        <n v="202391.17869529041"/>
        <n v="273255.0985307931"/>
        <n v="302469.83197523467"/>
        <n v="337931.11696619709"/>
        <n v="276852.17994257738"/>
        <n v="489215.06753789558"/>
        <n v="598925.66788870073"/>
        <n v="380511.15915810911"/>
        <n v="304997.85181689629"/>
        <n v="319786.35946856107"/>
        <n v="305506.9982349475"/>
        <n v="254527.41550552609"/>
        <n v="364361.03286413848"/>
        <n v="414644.62349081138"/>
        <n v="148731.0905273041"/>
        <n v="57741.738907512547"/>
        <n v="37112.985056990263"/>
        <n v="30393.74011981647"/>
        <n v="23570.159155417459"/>
        <n v="69078.714144542624"/>
        <n v="71426.011644710306"/>
        <n v="44611.939679509756"/>
        <n v="37139.308256889854"/>
        <n v="33890.360432496309"/>
        <n v="29884.33058936759"/>
        <n v="34229.631915798513"/>
        <n v="83926.003498834732"/>
        <n v="86179.513387184299"/>
        <n v="53463.734557835058"/>
        <n v="59948.438707535541"/>
        <n v="117414.6989296848"/>
        <n v="268974.57069396519"/>
        <n v="223289.08457385481"/>
        <n v="386499.89642918651"/>
        <n v="421674.1018697652"/>
        <n v="216777.31572566379"/>
        <n v="183715.80719950749"/>
        <n v="274386.0154347705"/>
        <n v="391923.65961429192"/>
        <n v="295548.24164090329"/>
        <n v="396324.1786662704"/>
        <n v="426466.13217659132"/>
        <n v="218408.1820732757"/>
        <n v="188629.754225902"/>
        <n v="60910.748400180237"/>
        <n v="173292.68113445409"/>
        <n v="143791.47808201631"/>
        <n v="261502.38177856401"/>
        <n v="311853.52053473581"/>
        <n v="143346.67460602429"/>
        <n v="134950.56648943009"/>
        <n v="111173.15847846519"/>
        <n v="237934.73415063301"/>
        <n v="209095.56974137691"/>
        <n v="341253.32963499142"/>
        <n v="327672.04148404137"/>
        <n v="139385.87617680739"/>
        <n v="148953.91085321491"/>
        <n v="127533.0092765032"/>
        <n v="34559.084522627527"/>
        <n v="155659.53374373459"/>
        <n v="422372.58158070029"/>
        <n v="498910.32902054378"/>
        <n v="240449.62229152219"/>
        <n v="274426.08027789328"/>
        <n v="217104.57971570609"/>
        <n v="229023.81073969579"/>
        <n v="305894.18009482371"/>
        <n v="517742.19259753643"/>
        <n v="490487.0246492626"/>
        <n v="261534.91203924711"/>
        <n v="304052.47699526697"/>
        <n v="237026.35054084621"/>
        <n v="219722.89495004769"/>
        <n v="59598.917800192386"/>
        <n v="74654.520419296809"/>
        <n v="67367.383240402574"/>
        <n v="34091.569662440699"/>
        <n v="39231.195372207752"/>
        <n v="31574.325469600979"/>
        <n v="28489.081398148792"/>
        <n v="26053.796718671529"/>
        <n v="68788.094536384728"/>
        <n v="81655.857730858726"/>
        <n v="38809.808900032527"/>
        <n v="44222.784476633977"/>
        <n v="32436.79596517127"/>
        <n v="36607.390656376527"/>
        <n v="30133.318639665871"/>
        <n v="52384.447482992728"/>
        <n v="66113.832037556145"/>
        <n v="35019.112638998413"/>
        <n v="36887.366171890637"/>
        <n v="37604.658419582847"/>
        <n v="58196.145986195363"/>
        <n v="44544.630743101319"/>
        <n v="80346.69413385824"/>
        <n v="81874.288863507725"/>
        <n v="51145.403341245627"/>
        <n v="55946.056559077122"/>
        <n v="60629.552999890897"/>
        <n v="41610.783939948822"/>
        <n v="39783.360668054564"/>
        <n v="63386.492591361231"/>
        <n v="61500.574648541122"/>
        <n v="25872.48835407582"/>
        <n v="32490.136024940541"/>
        <n v="26577.079448522589"/>
        <n v="155135.6291118357"/>
        <n v="103826.7014124711"/>
        <n v="220379.27667655639"/>
        <n v="281658.41831912257"/>
        <n v="129601.5272266189"/>
        <n v="168580.1705714394"/>
        <n v="119758.061703468"/>
        <n v="128298.34345694909"/>
        <n v="117374.1915793604"/>
        <n v="241090.13355630499"/>
        <n v="262145.17733741982"/>
        <n v="143734.22721517089"/>
        <n v="133350.16138222881"/>
        <n v="37649.387527999519"/>
        <n v="127699.4159113958"/>
        <n v="240429.68554720341"/>
        <n v="358772.25036410952"/>
        <n v="376755.56448352599"/>
        <n v="163401.32915405891"/>
        <n v="169479.10605406531"/>
        <n v="142299.91779184839"/>
        <n v="250572.4533877949"/>
        <n v="333030.87570402719"/>
        <n v="392493.08269182261"/>
        <n v="391842.50139780319"/>
        <n v="222163.72890927369"/>
        <n v="242589.58721854401"/>
        <n v="164108.82644458601"/>
        <n v="43830.196852872301"/>
        <n v="37391.680889456111"/>
        <n v="69612.126701887464"/>
        <n v="76591.852917484997"/>
        <n v="44014.232018730218"/>
        <n v="46884.142508087811"/>
        <n v="27398.58812689369"/>
        <n v="18375.052607697839"/>
        <n v="36464.759814940677"/>
        <n v="62545.19068453311"/>
        <n v="89572.407615025208"/>
        <n v="44593.796883395269"/>
        <n v="41660.440426083711"/>
        <n v="34031.14948711513"/>
        <n v="44832.212598977239"/>
        <n v="37565.478590927647"/>
        <n v="131964.51579369849"/>
        <n v="135498.16319719431"/>
        <n v="64758.504173580448"/>
        <n v="60179.020849316512"/>
        <n v="52812.7825145229"/>
        <n v="57168.560498432882"/>
        <n v="55187.383906271898"/>
        <n v="151036.44551858699"/>
        <n v="201416.83759006459"/>
        <n v="113346.95726852609"/>
        <n v="126506.34468214821"/>
        <n v="85491.833244422392"/>
        <n v="69675.429153985417"/>
        <n v="61976.305791476298"/>
        <n v="77446.609435800405"/>
        <n v="81209.248347010551"/>
        <n v="45607.234099697387"/>
        <n v="44983.777302442017"/>
        <n v="31885.288450330809"/>
        <n v="27817.642466410722"/>
        <n v="19704.093150736491"/>
        <n v="62070.751184300032"/>
        <n v="83371.817021350085"/>
        <n v="52701.294613812352"/>
        <n v="51764.937371772758"/>
        <n v="37288.624545278682"/>
        <n v="33678.459271288069"/>
        <n v="35038.068691629327"/>
        <n v="86810.277533434695"/>
        <n v="95930.016514689429"/>
        <n v="49990.519289317977"/>
        <n v="36347.698715160222"/>
        <n v="63452.761037813718"/>
        <n v="56100.874288607927"/>
        <n v="48201.940975749021"/>
        <n v="92657.699525096017"/>
        <n v="113187.8460229753"/>
        <n v="61233.718874185091"/>
        <n v="62316.15133820178"/>
        <n v="110698.74289754211"/>
        <n v="86203.875203719464"/>
        <n v="89413.415966019093"/>
        <n v="156675.5901244042"/>
        <n v="189394.69373774901"/>
        <n v="102250.16777596821"/>
        <n v="105978.4824783128"/>
        <n v="94692.479289428011"/>
        <n v="77081.66057395043"/>
        <n v="67551.25097109293"/>
        <n v="152555.41733723061"/>
        <n v="156263.1494739097"/>
        <n v="93112.608909273331"/>
        <n v="83068.269026507172"/>
        <n v="88104.204530400457"/>
        <n v="71428.870002172305"/>
        <m/>
      </sharedItems>
    </cacheField>
    <cacheField name="Quantity Sold" numFmtId="0">
      <sharedItems containsString="0" containsBlank="1" containsNumber="1" containsInteger="1" minValue="508" maxValue="26410" count="990">
        <n v="6827"/>
        <n v="9268"/>
        <n v="2678"/>
        <n v="6175"/>
        <n v="10084"/>
        <n v="9470"/>
        <n v="5524"/>
        <n v="9448"/>
        <n v="6911"/>
        <n v="2990"/>
        <n v="3159"/>
        <n v="4246"/>
        <n v="4297"/>
        <n v="2796"/>
        <n v="3369"/>
        <n v="2348"/>
        <n v="2903"/>
        <n v="2491"/>
        <n v="3968"/>
        <n v="4393"/>
        <n v="2176"/>
        <n v="2443"/>
        <n v="2638"/>
        <n v="1704"/>
        <n v="1872"/>
        <n v="3423"/>
        <n v="4544"/>
        <n v="2426"/>
        <n v="2117"/>
        <n v="1476"/>
        <n v="1974"/>
        <n v="1892"/>
        <n v="4030"/>
        <n v="5304"/>
        <n v="3320"/>
        <n v="4191"/>
        <n v="3809"/>
        <n v="5764"/>
        <n v="3028"/>
        <n v="9284"/>
        <n v="9737"/>
        <n v="4163"/>
        <n v="4552"/>
        <n v="4172"/>
        <n v="5037"/>
        <n v="4259"/>
        <n v="10381"/>
        <n v="11332"/>
        <n v="4127"/>
        <n v="4649"/>
        <n v="1627"/>
        <n v="3281"/>
        <n v="2310"/>
        <n v="9802"/>
        <n v="9772"/>
        <n v="4270"/>
        <n v="4106"/>
        <n v="6937"/>
        <n v="6934"/>
        <n v="11082"/>
        <n v="20805"/>
        <n v="26410"/>
        <n v="15004"/>
        <n v="16884"/>
        <n v="9789"/>
        <n v="8079"/>
        <n v="5072"/>
        <n v="14551"/>
        <n v="16262"/>
        <n v="7014"/>
        <n v="8932"/>
        <n v="5737"/>
        <n v="5903"/>
        <n v="5056"/>
        <n v="12167"/>
        <n v="15971"/>
        <n v="6968"/>
        <n v="7494"/>
        <n v="2707"/>
        <n v="2637"/>
        <n v="5149"/>
        <n v="5735"/>
        <n v="4936"/>
        <n v="2003"/>
        <n v="2323"/>
        <n v="3822"/>
        <n v="3666"/>
        <n v="3543"/>
        <n v="8130"/>
        <n v="10518"/>
        <n v="4791"/>
        <n v="5583"/>
        <n v="7155"/>
        <n v="4575"/>
        <n v="3997"/>
        <n v="5558"/>
        <n v="6320"/>
        <n v="3447"/>
        <n v="3854"/>
        <n v="3394"/>
        <n v="3563"/>
        <n v="5380"/>
        <n v="9573"/>
        <n v="11250"/>
        <n v="4990"/>
        <n v="5810"/>
        <n v="7497"/>
        <n v="8821"/>
        <n v="18366"/>
        <n v="13940"/>
        <n v="10814"/>
        <n v="3429"/>
        <n v="4834"/>
        <n v="5475"/>
        <n v="3121"/>
        <n v="2809"/>
        <n v="8537"/>
        <n v="8209"/>
        <n v="3592"/>
        <n v="3576"/>
        <n v="3807"/>
        <n v="4398"/>
        <n v="5124"/>
        <n v="4581"/>
        <n v="3697"/>
        <n v="2642"/>
        <n v="3154"/>
        <n v="3324"/>
        <n v="2677"/>
        <n v="2683"/>
        <n v="9328"/>
        <n v="13306"/>
        <n v="6173"/>
        <n v="5653"/>
        <n v="4503"/>
        <n v="6253"/>
        <n v="8408"/>
        <n v="12949"/>
        <n v="15508"/>
        <n v="5141"/>
        <n v="5194"/>
        <n v="5550"/>
        <n v="6070"/>
        <n v="3421"/>
        <n v="13384"/>
        <n v="18356"/>
        <n v="6500"/>
        <n v="6752"/>
        <n v="7023"/>
        <n v="7579"/>
        <n v="6448"/>
        <n v="15637"/>
        <n v="18775"/>
        <n v="14188"/>
        <n v="13256"/>
        <n v="10223"/>
        <n v="8904"/>
        <n v="5783"/>
        <n v="9005"/>
        <n v="12222"/>
        <n v="6037"/>
        <n v="6607"/>
        <n v="5857"/>
        <n v="5429"/>
        <n v="6232"/>
        <n v="14585"/>
        <n v="14745"/>
        <n v="6991"/>
        <n v="5788"/>
        <n v="6632"/>
        <n v="5752"/>
        <n v="3578"/>
        <n v="6119"/>
        <n v="6161"/>
        <n v="4015"/>
        <n v="4133"/>
        <n v="1047"/>
        <n v="1601"/>
        <n v="1592"/>
        <n v="3759"/>
        <n v="1772"/>
        <n v="2672"/>
        <n v="5143"/>
        <n v="2667"/>
        <n v="2799"/>
        <n v="3355"/>
        <n v="2002"/>
        <n v="1967"/>
        <n v="3094"/>
        <n v="2335"/>
        <n v="2968"/>
        <n v="3825"/>
        <n v="2833"/>
        <n v="1419"/>
        <n v="2151"/>
        <n v="3148"/>
        <n v="4825"/>
        <n v="2307"/>
        <n v="3557"/>
        <n v="7485"/>
        <n v="2428"/>
        <n v="2475"/>
        <n v="1618"/>
        <n v="5106"/>
        <n v="2729"/>
        <n v="15897"/>
        <n v="17343"/>
        <n v="8207"/>
        <n v="9018"/>
        <n v="6548"/>
        <n v="6102"/>
        <n v="9108"/>
        <n v="18867"/>
        <n v="19384"/>
        <n v="9473"/>
        <n v="11170"/>
        <n v="8091"/>
        <n v="2303"/>
        <n v="2947"/>
        <n v="13542"/>
        <n v="12588"/>
        <n v="6032"/>
        <n v="7158"/>
        <n v="5863"/>
        <n v="6092"/>
        <n v="5485"/>
        <n v="14587"/>
        <n v="16686"/>
        <n v="7380"/>
        <n v="7864"/>
        <n v="4941"/>
        <n v="5151"/>
        <n v="4928"/>
        <n v="11309"/>
        <n v="13613"/>
        <n v="6424"/>
        <n v="9493"/>
        <n v="7619"/>
        <n v="8909"/>
        <n v="8400"/>
        <n v="19317"/>
        <n v="23310"/>
        <n v="11646"/>
        <n v="19366"/>
        <n v="15291"/>
        <n v="15100"/>
        <n v="10164"/>
        <n v="16310"/>
        <n v="17985"/>
        <n v="7620"/>
        <n v="7958"/>
        <n v="3503"/>
        <n v="2247"/>
        <n v="2023"/>
        <n v="4242"/>
        <n v="4901"/>
        <n v="2467"/>
        <n v="3432"/>
        <n v="2375"/>
        <n v="2105"/>
        <n v="1982"/>
        <n v="3915"/>
        <n v="4383"/>
        <n v="2159"/>
        <n v="2592"/>
        <n v="3143"/>
        <n v="6457"/>
        <n v="11039"/>
        <n v="18036"/>
        <n v="19017"/>
        <n v="8747"/>
        <n v="8147"/>
        <n v="11036"/>
        <n v="18330"/>
        <n v="14503"/>
        <n v="15986"/>
        <n v="20223"/>
        <n v="8631"/>
        <n v="11579"/>
        <n v="2127"/>
        <n v="1923"/>
        <n v="4891"/>
        <n v="3758"/>
        <n v="1661"/>
        <n v="2360"/>
        <n v="1894"/>
        <n v="3548"/>
        <n v="2591"/>
        <n v="3293"/>
        <n v="4611"/>
        <n v="2468"/>
        <n v="2773"/>
        <n v="2815"/>
        <n v="2701"/>
        <n v="2651"/>
        <n v="6781"/>
        <n v="8249"/>
        <n v="3502"/>
        <n v="3949"/>
        <n v="2435"/>
        <n v="2232"/>
        <n v="1898"/>
        <n v="4537"/>
        <n v="6730"/>
        <n v="4038"/>
        <n v="5581"/>
        <n v="2519"/>
        <n v="1847"/>
        <n v="2309"/>
        <n v="3722"/>
        <n v="4268"/>
        <n v="1968"/>
        <n v="2016"/>
        <n v="1497"/>
        <n v="1314"/>
        <n v="1466"/>
        <n v="3984"/>
        <n v="4802"/>
        <n v="2017"/>
        <n v="2297"/>
        <n v="1665"/>
        <n v="1291"/>
        <n v="1361"/>
        <n v="1281"/>
        <n v="1122"/>
        <n v="737"/>
        <n v="641"/>
        <n v="968"/>
        <n v="709"/>
        <n v="880"/>
        <n v="1096"/>
        <n v="2068"/>
        <n v="2492"/>
        <n v="2170"/>
        <n v="1784"/>
        <n v="1368"/>
        <n v="1914"/>
        <n v="3765"/>
        <n v="2712"/>
        <n v="2222"/>
        <n v="1861"/>
        <n v="4095"/>
        <n v="4157"/>
        <n v="7259"/>
        <n v="9654"/>
        <n v="4632"/>
        <n v="7341"/>
        <n v="4308"/>
        <n v="3865"/>
        <n v="5288"/>
        <n v="7141"/>
        <n v="8268"/>
        <n v="4541"/>
        <n v="5014"/>
        <n v="7778"/>
        <n v="11809"/>
        <n v="3344"/>
        <n v="1169"/>
        <n v="2676"/>
        <n v="1677"/>
        <n v="3237"/>
        <n v="5607"/>
        <n v="9464"/>
        <n v="2905"/>
        <n v="6371"/>
        <n v="4624"/>
        <n v="5717"/>
        <n v="4705"/>
        <n v="2020"/>
        <n v="1868"/>
        <n v="3008"/>
        <n v="2934"/>
        <n v="1690"/>
        <n v="2058"/>
        <n v="1570"/>
        <n v="1446"/>
        <n v="1921"/>
        <n v="3629"/>
        <n v="4144"/>
        <n v="1815"/>
        <n v="2189"/>
        <n v="2376"/>
        <n v="1525"/>
        <n v="1616"/>
        <n v="3757"/>
        <n v="3855"/>
        <n v="1897"/>
        <n v="2230"/>
        <n v="1870"/>
        <n v="1455"/>
        <n v="1392"/>
        <n v="3268"/>
        <n v="4862"/>
        <n v="4165"/>
        <n v="3685"/>
        <n v="2479"/>
        <n v="2005"/>
        <n v="2082"/>
        <n v="2573"/>
        <n v="1774"/>
        <n v="2378"/>
        <n v="3677"/>
        <n v="4299"/>
        <n v="3674"/>
        <n v="9505"/>
        <n v="11237"/>
        <n v="5406"/>
        <n v="5846"/>
        <n v="3713"/>
        <n v="3827"/>
        <n v="7770"/>
        <n v="7102"/>
        <n v="3608"/>
        <n v="2150"/>
        <n v="2530"/>
        <n v="5253"/>
        <n v="4171"/>
        <n v="8156"/>
        <n v="9296"/>
        <n v="6803"/>
        <n v="6221"/>
        <n v="6611"/>
        <n v="6843"/>
        <n v="3858"/>
        <n v="7128"/>
        <n v="8127"/>
        <n v="2966"/>
        <n v="2858"/>
        <n v="1518"/>
        <n v="1386"/>
        <n v="1166"/>
        <n v="2853"/>
        <n v="3657"/>
        <n v="1631"/>
        <n v="1959"/>
        <n v="1230"/>
        <n v="1182"/>
        <n v="1050"/>
        <n v="2353"/>
        <n v="1626"/>
        <n v="1976"/>
        <n v="3312"/>
        <n v="6704"/>
        <n v="6077"/>
        <n v="9386"/>
        <n v="12181"/>
        <n v="5937"/>
        <n v="5706"/>
        <n v="9421"/>
        <n v="13207"/>
        <n v="18936"/>
        <n v="13503"/>
        <n v="10600"/>
        <n v="3591"/>
        <n v="4836"/>
        <n v="4348"/>
        <n v="2451"/>
        <n v="1814"/>
        <n v="2770"/>
        <n v="3072"/>
        <n v="1934"/>
        <n v="2019"/>
        <n v="979"/>
        <n v="1398"/>
        <n v="1198"/>
        <n v="2485"/>
        <n v="3172"/>
        <n v="1365"/>
        <n v="1353"/>
        <n v="3439"/>
        <n v="1434"/>
        <n v="8892"/>
        <n v="13144"/>
        <n v="5179"/>
        <n v="5150"/>
        <n v="9986"/>
        <n v="12937"/>
        <n v="12217"/>
        <n v="6721"/>
        <n v="8283"/>
        <n v="6191"/>
        <n v="5959"/>
        <n v="2848"/>
        <n v="8748"/>
        <n v="10329"/>
        <n v="4410"/>
        <n v="5257"/>
        <n v="5118"/>
        <n v="3952"/>
        <n v="10964"/>
        <n v="4695"/>
        <n v="5205"/>
        <n v="3638"/>
        <n v="4394"/>
        <n v="2012"/>
        <n v="8526"/>
        <n v="11096"/>
        <n v="4489"/>
        <n v="6795"/>
        <n v="5283"/>
        <n v="6453"/>
        <n v="5770"/>
        <n v="12507"/>
        <n v="14475"/>
        <n v="7009"/>
        <n v="11688"/>
        <n v="8863"/>
        <n v="7148"/>
        <n v="5326"/>
        <n v="7775"/>
        <n v="9255"/>
        <n v="4758"/>
        <n v="2613"/>
        <n v="1830"/>
        <n v="1694"/>
        <n v="1642"/>
        <n v="3690"/>
        <n v="4404"/>
        <n v="1992"/>
        <n v="2395"/>
        <n v="2120"/>
        <n v="1875"/>
        <n v="3376"/>
        <n v="4027"/>
        <n v="2128"/>
        <n v="2046"/>
        <n v="1546"/>
        <n v="2822"/>
        <n v="4865"/>
        <n v="8450"/>
        <n v="9770"/>
        <n v="4914"/>
        <n v="4385"/>
        <n v="5627"/>
        <n v="8086"/>
        <n v="6639"/>
        <n v="7104"/>
        <n v="8364"/>
        <n v="4146"/>
        <n v="4601"/>
        <n v="3593"/>
        <n v="2114"/>
        <n v="1797"/>
        <n v="3195"/>
        <n v="3595"/>
        <n v="1467"/>
        <n v="1610"/>
        <n v="1307"/>
        <n v="2050"/>
        <n v="1849"/>
        <n v="3070"/>
        <n v="3322"/>
        <n v="1787"/>
        <n v="1846"/>
        <n v="1142"/>
        <n v="1734"/>
        <n v="3259"/>
        <n v="3572"/>
        <n v="2109"/>
        <n v="2242"/>
        <n v="1474"/>
        <n v="1381"/>
        <n v="1423"/>
        <n v="3740"/>
        <n v="4453"/>
        <n v="2258"/>
        <n v="2074"/>
        <n v="2007"/>
        <n v="1948"/>
        <n v="1922"/>
        <n v="3088"/>
        <n v="3388"/>
        <n v="1944"/>
        <n v="1812"/>
        <n v="1563"/>
        <n v="1171"/>
        <n v="1035"/>
        <n v="3068"/>
        <n v="1866"/>
        <n v="922"/>
        <n v="604"/>
        <n v="643"/>
        <n v="2006"/>
        <n v="1528"/>
        <n v="6360"/>
        <n v="8035"/>
        <n v="6675"/>
        <n v="11330"/>
        <n v="13484"/>
        <n v="5913"/>
        <n v="9721"/>
        <n v="11257"/>
        <n v="10102"/>
        <n v="7938"/>
        <n v="9936"/>
        <n v="10643"/>
        <n v="4800"/>
        <n v="5228"/>
        <n v="1810"/>
        <n v="1961"/>
        <n v="1232"/>
        <n v="2194"/>
        <n v="1469"/>
        <n v="829"/>
        <n v="1329"/>
        <n v="1300"/>
        <n v="773"/>
        <n v="760"/>
        <n v="1755"/>
        <n v="1766"/>
        <n v="1078"/>
        <n v="1124"/>
        <n v="3725"/>
        <n v="4492"/>
        <n v="11030"/>
        <n v="10528"/>
        <n v="4895"/>
        <n v="5720"/>
        <n v="4288"/>
        <n v="9693"/>
        <n v="12065"/>
        <n v="11758"/>
        <n v="13508"/>
        <n v="6085"/>
        <n v="8828"/>
        <n v="6636"/>
        <n v="1622"/>
        <n v="1512"/>
        <n v="3211"/>
        <n v="3037"/>
        <n v="1456"/>
        <n v="1465"/>
        <n v="1018"/>
        <n v="1070"/>
        <n v="1357"/>
        <n v="2810"/>
        <n v="2829"/>
        <n v="1517"/>
        <n v="1399"/>
        <n v="1067"/>
        <n v="5042"/>
        <n v="6872"/>
        <n v="3218"/>
        <n v="3347"/>
        <n v="3177"/>
        <n v="4532"/>
        <n v="3231"/>
        <n v="7731"/>
        <n v="11148"/>
        <n v="7459"/>
        <n v="7316"/>
        <n v="5211"/>
        <n v="5731"/>
        <n v="3036"/>
        <n v="5822"/>
        <n v="7987"/>
        <n v="3640"/>
        <n v="2338"/>
        <n v="3744"/>
        <n v="4216"/>
        <n v="4000"/>
        <n v="10204"/>
        <n v="10769"/>
        <n v="4803"/>
        <n v="4342"/>
        <n v="4202"/>
        <n v="4151"/>
        <n v="8567"/>
        <n v="8811"/>
        <n v="4345"/>
        <n v="1937"/>
        <n v="3160"/>
        <n v="6924"/>
        <n v="9273"/>
        <n v="13019"/>
        <n v="7139"/>
        <n v="7423"/>
        <n v="7474"/>
        <n v="7056"/>
        <n v="5732"/>
        <n v="9038"/>
        <n v="10737"/>
        <n v="5505"/>
        <n v="2198"/>
        <n v="3190"/>
        <n v="3814"/>
        <n v="3610"/>
        <n v="6227"/>
        <n v="9422"/>
        <n v="4715"/>
        <n v="6212"/>
        <n v="6585"/>
        <n v="6051"/>
        <n v="7750"/>
        <n v="9490"/>
        <n v="4382"/>
        <n v="8196"/>
        <n v="6534"/>
        <n v="9540"/>
        <n v="3256"/>
        <n v="2013"/>
        <n v="1692"/>
        <n v="3234"/>
        <n v="4592"/>
        <n v="5945"/>
        <n v="9266"/>
        <n v="3179"/>
        <n v="7479"/>
        <n v="4694"/>
        <n v="7843"/>
        <n v="6150"/>
        <n v="2401"/>
        <n v="1808"/>
        <n v="2594"/>
        <n v="3274"/>
        <n v="2207"/>
        <n v="2949"/>
        <n v="2417"/>
        <n v="1644"/>
        <n v="1499"/>
        <n v="3648"/>
        <n v="4652"/>
        <n v="2252"/>
        <n v="2357"/>
        <n v="1715"/>
        <n v="4776"/>
        <n v="1628"/>
        <n v="7806"/>
        <n v="9210"/>
        <n v="4351"/>
        <n v="6278"/>
        <n v="5992"/>
        <n v="6265"/>
        <n v="5723"/>
        <n v="11900"/>
        <n v="15345"/>
        <n v="6525"/>
        <n v="10153"/>
        <n v="8116"/>
        <n v="7712"/>
        <n v="5759"/>
        <n v="9501"/>
        <n v="10840"/>
        <n v="5089"/>
        <n v="6087"/>
        <n v="2053"/>
        <n v="1825"/>
        <n v="3542"/>
        <n v="4105"/>
        <n v="2094"/>
        <n v="2940"/>
        <n v="1841"/>
        <n v="4529"/>
        <n v="1658"/>
        <n v="3841"/>
        <n v="9260"/>
        <n v="2308"/>
        <n v="2028"/>
        <n v="1301"/>
        <n v="2213"/>
        <n v="4935"/>
        <n v="5609"/>
        <n v="3452"/>
        <n v="4719"/>
        <n v="4451"/>
        <n v="3364"/>
        <n v="3665"/>
        <n v="3889"/>
        <n v="1882"/>
        <n v="2405"/>
        <n v="1577"/>
        <n v="913"/>
        <n v="892"/>
        <n v="1855"/>
        <n v="883"/>
        <n v="1071"/>
        <n v="1320"/>
        <n v="997"/>
        <n v="817"/>
        <n v="2211"/>
        <n v="1304"/>
        <n v="1143"/>
        <n v="1573"/>
        <n v="2065"/>
        <n v="6588"/>
        <n v="5652"/>
        <n v="4103"/>
        <n v="2162"/>
        <n v="2155"/>
        <n v="1746"/>
        <n v="3554"/>
        <n v="6282"/>
        <n v="5259"/>
        <n v="2446"/>
        <n v="3345"/>
        <n v="2048"/>
        <n v="1303"/>
        <n v="4413"/>
        <n v="7738"/>
        <n v="2958"/>
        <n v="3504"/>
        <n v="3534"/>
        <n v="10045"/>
        <n v="9301"/>
        <n v="4678"/>
        <n v="4294"/>
        <n v="3606"/>
        <n v="4838"/>
        <n v="10269"/>
        <n v="12317"/>
        <n v="5453"/>
        <n v="7372"/>
        <n v="8211"/>
        <n v="9182"/>
        <n v="7520"/>
        <n v="13321"/>
        <n v="16276"/>
        <n v="10388"/>
        <n v="8298"/>
        <n v="8717"/>
        <n v="9973"/>
        <n v="11363"/>
        <n v="4074"/>
        <n v="1579"/>
        <n v="1016"/>
        <n v="832"/>
        <n v="647"/>
        <n v="1224"/>
        <n v="1019"/>
        <n v="930"/>
        <n v="818"/>
        <n v="937"/>
        <n v="2302"/>
        <n v="2363"/>
        <n v="3224"/>
        <n v="7392"/>
        <n v="6138"/>
        <n v="10624"/>
        <n v="11590"/>
        <n v="5048"/>
        <n v="7542"/>
        <n v="10761"/>
        <n v="8120"/>
        <n v="10896"/>
        <n v="11726"/>
        <n v="6007"/>
        <n v="5185"/>
        <n v="1675"/>
        <n v="4765"/>
        <n v="3953"/>
        <n v="7190"/>
        <n v="8577"/>
        <n v="3943"/>
        <n v="3707"/>
        <n v="3054"/>
        <n v="6541"/>
        <n v="5749"/>
        <n v="9385"/>
        <n v="9012"/>
        <n v="3831"/>
        <n v="4097"/>
        <n v="3509"/>
        <n v="953"/>
        <n v="4305"/>
        <n v="11667"/>
        <n v="13793"/>
        <n v="6641"/>
        <n v="7593"/>
        <n v="6345"/>
        <n v="8482"/>
        <n v="14344"/>
        <n v="13609"/>
        <n v="8431"/>
        <n v="6577"/>
        <n v="6098"/>
        <n v="1654"/>
        <n v="2073"/>
        <n v="1871"/>
        <n v="946"/>
        <n v="1090"/>
        <n v="876"/>
        <n v="790"/>
        <n v="723"/>
        <n v="1910"/>
        <n v="2266"/>
        <n v="1227"/>
        <n v="900"/>
        <n v="836"/>
        <n v="1454"/>
        <n v="1835"/>
        <n v="972"/>
        <n v="1024"/>
        <n v="1044"/>
        <n v="1611"/>
        <n v="1234"/>
        <n v="2223"/>
        <n v="2267"/>
        <n v="1415"/>
        <n v="1548"/>
        <n v="1679"/>
        <n v="1152"/>
        <n v="1101"/>
        <n v="1700"/>
        <n v="715"/>
        <n v="897"/>
        <n v="733"/>
        <n v="4282"/>
        <n v="2867"/>
        <n v="6082"/>
        <n v="7771"/>
        <n v="3302"/>
        <n v="3536"/>
        <n v="3236"/>
        <n v="6646"/>
        <n v="7220"/>
        <n v="3958"/>
        <n v="3672"/>
        <n v="3549"/>
        <n v="6647"/>
        <n v="9908"/>
        <n v="10393"/>
        <n v="4507"/>
        <n v="4672"/>
        <n v="3924"/>
        <n v="6918"/>
        <n v="9183"/>
        <n v="10830"/>
        <n v="10800"/>
        <n v="6685"/>
        <n v="4519"/>
        <n v="1206"/>
        <n v="1029"/>
        <n v="1917"/>
        <n v="2108"/>
        <n v="1211"/>
        <n v="755"/>
        <n v="508"/>
        <n v="1010"/>
        <n v="1733"/>
        <n v="2482"/>
        <n v="1235"/>
        <n v="1155"/>
        <n v="940"/>
        <n v="1241"/>
        <n v="1039"/>
        <n v="1671"/>
        <n v="1462"/>
        <n v="1581"/>
        <n v="1534"/>
        <n v="5632"/>
        <n v="3173"/>
        <n v="3540"/>
        <n v="2397"/>
        <n v="1955"/>
        <n v="1740"/>
        <n v="2283"/>
        <n v="1284"/>
        <n v="1263"/>
        <n v="896"/>
        <n v="768"/>
        <n v="521"/>
        <n v="2147"/>
        <n v="1335"/>
        <n v="1332"/>
        <n v="954"/>
        <n v="877"/>
        <n v="906"/>
        <n v="2249"/>
        <n v="2472"/>
        <n v="1280"/>
        <n v="1650"/>
        <n v="1257"/>
        <n v="2929"/>
        <n v="1582"/>
        <n v="1639"/>
        <n v="2971"/>
        <n v="2284"/>
        <n v="3938"/>
        <n v="4720"/>
        <n v="2537"/>
        <n v="2621"/>
        <n v="2341"/>
        <n v="1901"/>
        <n v="1666"/>
        <n v="3748"/>
        <n v="3843"/>
        <n v="2281"/>
        <n v="2181"/>
        <n v="1763"/>
        <m/>
      </sharedItems>
    </cacheField>
    <cacheField name="Daily Sales Price Per Unit" numFmtId="0">
      <sharedItems containsString="0" containsBlank="1" containsNumber="1" minValue="30.702370088622562" maxValue="43.805996531616287"/>
    </cacheField>
    <cacheField name="Gross Profit" numFmtId="0">
      <sharedItems containsString="0" containsBlank="1" containsNumber="1" minValue="-7116281.1900259992" maxValue="27831.943709602696"/>
    </cacheField>
    <cacheField name="Gross Profit %" numFmtId="10">
      <sharedItems containsString="0" containsBlank="1" containsNumber="1" minValue="-9.2135041617852913" maxValue="0.14415691829245161"/>
    </cacheField>
    <cacheField name="Gross Profit Per Unit" numFmtId="0">
      <sharedItems containsString="0" containsBlank="1" containsNumber="1" minValue="-4.9664885283181368" maxValue="6.0882682182911747"/>
    </cacheField>
    <cacheField name="Months (Date)" numFmtId="0" databaseField="0">
      <fieldGroup base="0">
        <rangePr groupBy="months" startDate="2013-12-30T00:00:00" endDate="2016-11-17T00:00:00"/>
        <groupItems count="14">
          <s v="&lt;2013/12/30"/>
          <s v="Jan"/>
          <s v="Feb"/>
          <s v="Mar"/>
          <s v="Apr"/>
          <s v="May"/>
          <s v="Jun"/>
          <s v="Jul"/>
          <s v="Aug"/>
          <s v="Sept"/>
          <s v="Oct"/>
          <s v="Nov"/>
          <s v="Dec"/>
          <s v="&gt;2016/11/17"/>
        </groupItems>
      </fieldGroup>
    </cacheField>
    <cacheField name="Quarters (Date)" numFmtId="0" databaseField="0">
      <fieldGroup base="0">
        <rangePr groupBy="quarters" startDate="2013-12-30T00:00:00" endDate="2016-11-17T00:00:00"/>
        <groupItems count="6">
          <s v="&lt;2013/12/30"/>
          <s v="Qtr1"/>
          <s v="Qtr2"/>
          <s v="Qtr3"/>
          <s v="Qtr4"/>
          <s v="&gt;2016/11/17"/>
        </groupItems>
      </fieldGroup>
    </cacheField>
    <cacheField name="Years (Date)" numFmtId="0" databaseField="0">
      <fieldGroup base="0">
        <rangePr groupBy="years" startDate="2013-12-30T00:00:00" endDate="2016-11-17T00:00:00"/>
        <groupItems count="6">
          <s v="&lt;2013/12/30"/>
          <s v="2013"/>
          <s v="2014"/>
          <s v="2015"/>
          <s v="2016"/>
          <s v="&gt;2016/11/17"/>
        </groupItems>
      </fieldGroup>
    </cacheField>
  </cacheFields>
  <extLst>
    <ext xmlns:x14="http://schemas.microsoft.com/office/spreadsheetml/2009/9/main" uri="{725AE2AE-9491-48be-B2B4-4EB974FC3084}">
      <x14:pivotCacheDefinition pivotCacheId="2065210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4">
  <r>
    <d v="2013-12-30T00:00:00"/>
    <n v="223937.9678697265"/>
    <n v="230079.62101244801"/>
    <n v="6827"/>
  </r>
  <r>
    <d v="2013-12-31T00:00:00"/>
    <n v="300345.48456398572"/>
    <n v="306986.12048428319"/>
    <n v="9268"/>
  </r>
  <r>
    <d v="2014-01-01T00:00:00"/>
    <n v="86782.467727417796"/>
    <n v="87986.318214449886"/>
    <n v="2678"/>
  </r>
  <r>
    <d v="2014-01-02T00:00:00"/>
    <n v="200173.11675267719"/>
    <n v="202881.17770623259"/>
    <n v="6175"/>
  </r>
  <r>
    <d v="2014-01-03T00:00:00"/>
    <n v="326906.07417633059"/>
    <n v="333806.29187335481"/>
    <n v="10084"/>
  </r>
  <r>
    <d v="2014-01-04T00:00:00"/>
    <n v="307043.93542216189"/>
    <n v="313652.34827236348"/>
    <n v="9470"/>
  </r>
  <r>
    <d v="2014-01-05T00:00:00"/>
    <n v="179188.8844878097"/>
    <n v="183083.28498402701"/>
    <n v="5524"/>
  </r>
  <r>
    <d v="2014-01-06T00:00:00"/>
    <n v="306351.95085899188"/>
    <n v="313446.06814884301"/>
    <n v="9448"/>
  </r>
  <r>
    <d v="2014-01-07T00:00:00"/>
    <n v="224020.40996847831"/>
    <n v="229533.9737283797"/>
    <n v="6911"/>
  </r>
  <r>
    <d v="2014-01-08T00:00:00"/>
    <n v="101836.4022362371"/>
    <n v="99381.967517224926"/>
    <n v="2990"/>
  </r>
  <r>
    <d v="2014-01-09T00:00:00"/>
    <n v="107804.30494723171"/>
    <n v="104816.45851255261"/>
    <n v="3159"/>
  </r>
  <r>
    <d v="2014-01-10T00:00:00"/>
    <n v="144829.9567239302"/>
    <n v="141333.99628349251"/>
    <n v="4246"/>
  </r>
  <r>
    <d v="2014-01-11T00:00:00"/>
    <n v="146571.48235324019"/>
    <n v="143179.66998839291"/>
    <n v="4297"/>
  </r>
  <r>
    <d v="2014-01-12T00:00:00"/>
    <n v="95422.3729783171"/>
    <n v="93126.147238344056"/>
    <n v="2796"/>
  </r>
  <r>
    <d v="2014-01-13T00:00:00"/>
    <n v="114883.17379115619"/>
    <n v="112186.3086630527"/>
    <n v="3369"/>
  </r>
  <r>
    <d v="2014-01-14T00:00:00"/>
    <n v="80090.80007989271"/>
    <n v="78096.76018225115"/>
    <n v="2348"/>
  </r>
  <r>
    <d v="2014-01-15T00:00:00"/>
    <n v="98945.371159077826"/>
    <n v="97159.002586869974"/>
    <n v="2903"/>
  </r>
  <r>
    <d v="2014-01-16T00:00:00"/>
    <n v="84904.901714107822"/>
    <n v="83350.433158824555"/>
    <n v="2491"/>
  </r>
  <r>
    <d v="2014-01-17T00:00:00"/>
    <n v="135460.6197039852"/>
    <n v="132703.3354197717"/>
    <n v="3968"/>
  </r>
  <r>
    <d v="2014-01-18T00:00:00"/>
    <n v="149925.74968577511"/>
    <n v="146928.41178089229"/>
    <n v="4393"/>
  </r>
  <r>
    <d v="2014-01-19T00:00:00"/>
    <n v="74297.307184182937"/>
    <n v="72782.284321402927"/>
    <n v="2176"/>
  </r>
  <r>
    <d v="2014-01-20T00:00:00"/>
    <n v="83356.424561202701"/>
    <n v="81789.136122352749"/>
    <n v="2443"/>
  </r>
  <r>
    <d v="2014-01-21T00:00:00"/>
    <n v="89922.014286172576"/>
    <n v="88388.916069159721"/>
    <n v="2638"/>
  </r>
  <r>
    <d v="2014-01-22T00:00:00"/>
    <n v="57806.302780099039"/>
    <n v="57157.282544092297"/>
    <n v="1704"/>
  </r>
  <r>
    <d v="2014-01-23T00:00:00"/>
    <n v="63977.750348923553"/>
    <n v="62863.98723906299"/>
    <n v="1872"/>
  </r>
  <r>
    <d v="2014-01-24T00:00:00"/>
    <n v="116958.799847952"/>
    <n v="114823.7952238127"/>
    <n v="3423"/>
  </r>
  <r>
    <d v="2014-01-25T00:00:00"/>
    <n v="155272.8248054802"/>
    <n v="152636.27656236591"/>
    <n v="4544"/>
  </r>
  <r>
    <d v="2014-01-26T00:00:00"/>
    <n v="82885.215909762715"/>
    <n v="81583.166949853185"/>
    <n v="2426"/>
  </r>
  <r>
    <d v="2014-01-27T00:00:00"/>
    <n v="72353.425882453303"/>
    <n v="71377.156455436343"/>
    <n v="2117"/>
  </r>
  <r>
    <d v="2014-01-28T00:00:00"/>
    <n v="50415.903762389164"/>
    <n v="49769.098243003224"/>
    <n v="1476"/>
  </r>
  <r>
    <d v="2014-01-29T00:00:00"/>
    <n v="67458.30189127379"/>
    <n v="66529.441996531445"/>
    <n v="1974"/>
  </r>
  <r>
    <d v="2014-01-30T00:00:00"/>
    <n v="64640.369313193798"/>
    <n v="63757.83986845208"/>
    <n v="1892"/>
  </r>
  <r>
    <d v="2014-01-31T00:00:00"/>
    <n v="137693.87350033139"/>
    <n v="135609.5075820497"/>
    <n v="4030"/>
  </r>
  <r>
    <d v="2014-02-01T00:00:00"/>
    <n v="181209.1284812126"/>
    <n v="178435.71534579591"/>
    <n v="5304"/>
  </r>
  <r>
    <d v="2014-02-02T00:00:00"/>
    <n v="113433.581045457"/>
    <n v="111466.5168475372"/>
    <n v="3320"/>
  </r>
  <r>
    <d v="2014-02-03T00:00:00"/>
    <n v="143192.5333561764"/>
    <n v="140505.6347230032"/>
    <n v="4191"/>
  </r>
  <r>
    <d v="2014-02-04T00:00:00"/>
    <n v="130126.6498928814"/>
    <n v="128496.2877011727"/>
    <n v="3809"/>
  </r>
  <r>
    <d v="2014-02-05T00:00:00"/>
    <n v="187155.86854573971"/>
    <n v="195078.6033309428"/>
    <n v="5764"/>
  </r>
  <r>
    <d v="2014-02-06T00:00:00"/>
    <n v="102314.70959650401"/>
    <n v="101977.98995528861"/>
    <n v="3028"/>
  </r>
  <r>
    <d v="2014-02-07T00:00:00"/>
    <n v="301553.84255508689"/>
    <n v="313529.18774871569"/>
    <n v="9284"/>
  </r>
  <r>
    <d v="2014-02-08T00:00:00"/>
    <n v="316073.17754939431"/>
    <n v="329754.77946358221"/>
    <n v="9737"/>
  </r>
  <r>
    <d v="2014-02-09T00:00:00"/>
    <n v="135178.04255458229"/>
    <n v="141530.7086832913"/>
    <n v="4163"/>
  </r>
  <r>
    <d v="2014-02-10T00:00:00"/>
    <n v="147727.5161863135"/>
    <n v="154828.68457507671"/>
    <n v="4552"/>
  </r>
  <r>
    <d v="2014-02-11T00:00:00"/>
    <n v="135498.74644438611"/>
    <n v="139824.1616410127"/>
    <n v="4172"/>
  </r>
  <r>
    <d v="2014-02-12T00:00:00"/>
    <n v="163432.8452052823"/>
    <n v="166893.36891900509"/>
    <n v="5037"/>
  </r>
  <r>
    <d v="2014-02-13T00:00:00"/>
    <n v="138291.63332158609"/>
    <n v="141027.4344556813"/>
    <n v="4259"/>
  </r>
  <r>
    <d v="2014-02-14T00:00:00"/>
    <n v="336901.37170009938"/>
    <n v="343519.87554694671"/>
    <n v="10381"/>
  </r>
  <r>
    <d v="2014-02-15T00:00:00"/>
    <n v="367729.26821441198"/>
    <n v="373973.59333485219"/>
    <n v="11332"/>
  </r>
  <r>
    <d v="2014-02-16T00:00:00"/>
    <n v="133913.84138739109"/>
    <n v="136797.07737015281"/>
    <n v="4127"/>
  </r>
  <r>
    <d v="2014-02-17T00:00:00"/>
    <n v="150800.3470166623"/>
    <n v="152887.1063994804"/>
    <n v="4649"/>
  </r>
  <r>
    <d v="2014-02-18T00:00:00"/>
    <n v="55591.930335773912"/>
    <n v="53463.244211993297"/>
    <n v="1627"/>
  </r>
  <r>
    <d v="2014-02-19T00:00:00"/>
    <n v="106427.191838824"/>
    <n v="107736.4440759586"/>
    <n v="3281"/>
  </r>
  <r>
    <d v="2014-02-20T00:00:00"/>
    <n v="78940.554424797941"/>
    <n v="75934.394822039583"/>
    <n v="2310"/>
  </r>
  <r>
    <d v="2014-02-21T00:00:00"/>
    <n v="317916.31785853428"/>
    <n v="322089.78895544191"/>
    <n v="9802"/>
  </r>
  <r>
    <d v="2014-02-22T00:00:00"/>
    <n v="309217.87556252623"/>
    <n v="320116.92432327801"/>
    <n v="9772"/>
  </r>
  <r>
    <d v="2014-02-23T00:00:00"/>
    <n v="138491.5499504623"/>
    <n v="140752.60159166719"/>
    <n v="4270"/>
  </r>
  <r>
    <d v="2014-02-24T00:00:00"/>
    <n v="133146.22220523609"/>
    <n v="134505.40422379479"/>
    <n v="4106"/>
  </r>
  <r>
    <d v="2014-02-25T00:00:00"/>
    <n v="224994.65618289221"/>
    <n v="227546.44655960059"/>
    <n v="6937"/>
  </r>
  <r>
    <d v="2014-02-26T00:00:00"/>
    <n v="225051.59146803219"/>
    <n v="228214.1421194314"/>
    <n v="6934"/>
  </r>
  <r>
    <d v="2014-02-27T00:00:00"/>
    <n v="344299.68244112999"/>
    <n v="365935.6529559262"/>
    <n v="11082"/>
  </r>
  <r>
    <d v="2014-02-28T00:00:00"/>
    <n v="661876.49999964947"/>
    <n v="686656.79099217081"/>
    <n v="20805"/>
  </r>
  <r>
    <d v="2014-03-01T00:00:00"/>
    <n v="846678.38816080405"/>
    <n v="872081.58500352106"/>
    <n v="26410"/>
  </r>
  <r>
    <d v="2014-03-02T00:00:00"/>
    <n v="478902.30487182317"/>
    <n v="495554.44992388849"/>
    <n v="15004"/>
  </r>
  <r>
    <d v="2014-03-03T00:00:00"/>
    <n v="538827.20213254262"/>
    <n v="557567.13698481338"/>
    <n v="16884"/>
  </r>
  <r>
    <d v="2014-03-04T00:00:00"/>
    <n v="310346.12128754472"/>
    <n v="323325.02992702462"/>
    <n v="9789"/>
  </r>
  <r>
    <d v="2014-03-05T00:00:00"/>
    <n v="256390.52221047229"/>
    <n v="267308.50708271051"/>
    <n v="8079"/>
  </r>
  <r>
    <d v="2014-03-06T00:00:00"/>
    <n v="167803.65977609379"/>
    <n v="168135.69000612191"/>
    <n v="5072"/>
  </r>
  <r>
    <d v="2014-03-07T00:00:00"/>
    <n v="465318.02151156618"/>
    <n v="483774.59671529243"/>
    <n v="14551"/>
  </r>
  <r>
    <d v="2014-03-08T00:00:00"/>
    <n v="520146.74963959062"/>
    <n v="541498.95824459626"/>
    <n v="16262"/>
  </r>
  <r>
    <d v="2014-03-09T00:00:00"/>
    <n v="224699.25281941221"/>
    <n v="233589.98296831999"/>
    <n v="7014"/>
  </r>
  <r>
    <d v="2014-03-10T00:00:00"/>
    <n v="286230.67889633839"/>
    <n v="297642.8914364595"/>
    <n v="8932"/>
  </r>
  <r>
    <d v="2014-03-11T00:00:00"/>
    <n v="187143.01806258349"/>
    <n v="191499.0428132079"/>
    <n v="5737"/>
  </r>
  <r>
    <d v="2014-03-12T00:00:00"/>
    <n v="191700.3891282347"/>
    <n v="197153.4240190601"/>
    <n v="5903"/>
  </r>
  <r>
    <d v="2014-03-13T00:00:00"/>
    <n v="164663.9676028023"/>
    <n v="168975.1740454408"/>
    <n v="5056"/>
  </r>
  <r>
    <d v="2014-03-14T00:00:00"/>
    <n v="395941.34513216221"/>
    <n v="406765.91395402339"/>
    <n v="12167"/>
  </r>
  <r>
    <d v="2014-03-15T00:00:00"/>
    <n v="518183.2103749144"/>
    <n v="534383.14311860851"/>
    <n v="15971"/>
  </r>
  <r>
    <d v="2014-03-16T00:00:00"/>
    <n v="226617.95494027081"/>
    <n v="233191.1045662229"/>
    <n v="6968"/>
  </r>
  <r>
    <d v="2014-03-17T00:00:00"/>
    <n v="243707.87194737699"/>
    <n v="250794.2212640947"/>
    <n v="7494"/>
  </r>
  <r>
    <d v="2014-03-18T00:00:00"/>
    <n v="94849.743799770498"/>
    <n v="90571.58892297688"/>
    <n v="2707"/>
  </r>
  <r>
    <d v="2014-03-19T00:00:00"/>
    <n v="92386.783066575619"/>
    <n v="88255.840991793899"/>
    <n v="2637"/>
  </r>
  <r>
    <d v="2014-03-20T00:00:00"/>
    <n v="180394.82770444019"/>
    <n v="172344.30443948091"/>
    <n v="5149"/>
  </r>
  <r>
    <d v="2014-03-21T00:00:00"/>
    <n v="200939.69236394399"/>
    <n v="192019.14427492701"/>
    <n v="5735"/>
  </r>
  <r>
    <d v="2014-03-22T00:00:00"/>
    <n v="172953.92471044019"/>
    <n v="165201.30501850991"/>
    <n v="4936"/>
  </r>
  <r>
    <d v="2014-03-23T00:00:00"/>
    <n v="70194.79953786121"/>
    <n v="67061.622709446878"/>
    <n v="2003"/>
  </r>
  <r>
    <d v="2014-03-24T00:00:00"/>
    <n v="81378.21463167097"/>
    <n v="77703.6463336835"/>
    <n v="2323"/>
  </r>
  <r>
    <d v="2014-03-25T00:00:00"/>
    <n v="130227.01471457881"/>
    <n v="127394.2892421362"/>
    <n v="3822"/>
  </r>
  <r>
    <d v="2014-03-26T00:00:00"/>
    <n v="125310.0364078538"/>
    <n v="122275.1025821775"/>
    <n v="3666"/>
  </r>
  <r>
    <d v="2014-03-27T00:00:00"/>
    <n v="119452.33963454991"/>
    <n v="118186.5750412271"/>
    <n v="3543"/>
  </r>
  <r>
    <d v="2014-03-28T00:00:00"/>
    <n v="276174.76932028373"/>
    <n v="271550.89558082249"/>
    <n v="8130"/>
  </r>
  <r>
    <d v="2014-03-29T00:00:00"/>
    <n v="357369.26694065123"/>
    <n v="352250.83007461781"/>
    <n v="10518"/>
  </r>
  <r>
    <d v="2014-03-30T00:00:00"/>
    <n v="163865.49027270381"/>
    <n v="160525.4268777135"/>
    <n v="4791"/>
  </r>
  <r>
    <d v="2014-03-31T00:00:00"/>
    <n v="190719.61452860001"/>
    <n v="187072.59522993831"/>
    <n v="5583"/>
  </r>
  <r>
    <d v="2014-04-01T00:00:00"/>
    <n v="244535.20522546369"/>
    <n v="239700.68479759869"/>
    <n v="7155"/>
  </r>
  <r>
    <d v="2014-04-02T00:00:00"/>
    <n v="155620.50378882751"/>
    <n v="153366.0188105522"/>
    <n v="4575"/>
  </r>
  <r>
    <d v="2014-04-03T00:00:00"/>
    <n v="136001.97816007739"/>
    <n v="134523.0686337204"/>
    <n v="3997"/>
  </r>
  <r>
    <d v="2014-04-04T00:00:00"/>
    <n v="190559.8875127674"/>
    <n v="187742.30001175261"/>
    <n v="5558"/>
  </r>
  <r>
    <d v="2014-04-05T00:00:00"/>
    <n v="217110.50252912121"/>
    <n v="213540.7341841938"/>
    <n v="6320"/>
  </r>
  <r>
    <d v="2014-04-06T00:00:00"/>
    <n v="119190.0999825563"/>
    <n v="116856.31461341619"/>
    <n v="3447"/>
  </r>
  <r>
    <d v="2014-04-07T00:00:00"/>
    <n v="131910.19745153241"/>
    <n v="130784.4447090652"/>
    <n v="3854"/>
  </r>
  <r>
    <d v="2014-04-08T00:00:00"/>
    <n v="118921.3076762588"/>
    <n v="115305.8051854457"/>
    <n v="3394"/>
  </r>
  <r>
    <d v="2014-04-09T00:00:00"/>
    <n v="124828.28283680879"/>
    <n v="121264.7031181628"/>
    <n v="3563"/>
  </r>
  <r>
    <d v="2014-04-10T00:00:00"/>
    <n v="179326.4902280964"/>
    <n v="183278.50242698641"/>
    <n v="5380"/>
  </r>
  <r>
    <d v="2014-04-11T00:00:00"/>
    <n v="318949.81705616001"/>
    <n v="326322.52601226018"/>
    <n v="9573"/>
  </r>
  <r>
    <d v="2014-04-12T00:00:00"/>
    <n v="375031.10932268901"/>
    <n v="383727.19401292427"/>
    <n v="11250"/>
  </r>
  <r>
    <d v="2014-04-13T00:00:00"/>
    <n v="166393.5407052727"/>
    <n v="170061.86414652271"/>
    <n v="4990"/>
  </r>
  <r>
    <d v="2014-04-14T00:00:00"/>
    <n v="193652.32776782889"/>
    <n v="198212.06872996839"/>
    <n v="5810"/>
  </r>
  <r>
    <d v="2014-04-15T00:00:00"/>
    <n v="249805.5172134914"/>
    <n v="255956.65403528849"/>
    <n v="7497"/>
  </r>
  <r>
    <d v="2014-04-16T00:00:00"/>
    <n v="294023.41088805022"/>
    <n v="301522.35225437139"/>
    <n v="8821"/>
  </r>
  <r>
    <d v="2014-04-17T00:00:00"/>
    <n v="612236.00579723774"/>
    <n v="627927.75867338968"/>
    <n v="18366"/>
  </r>
  <r>
    <d v="2014-04-18T00:00:00"/>
    <n v="464815.51786854689"/>
    <n v="476692.5436944089"/>
    <n v="13940"/>
  </r>
  <r>
    <d v="2014-04-19T00:00:00"/>
    <n v="360480.94044953783"/>
    <n v="369765.61276322469"/>
    <n v="10814"/>
  </r>
  <r>
    <d v="2014-04-20T00:00:00"/>
    <n v="114279.5772537695"/>
    <n v="117190.8261541667"/>
    <n v="3429"/>
  </r>
  <r>
    <d v="2014-04-21T00:00:00"/>
    <n v="161170.8204027302"/>
    <n v="165415.08384550369"/>
    <n v="4834"/>
  </r>
  <r>
    <d v="2014-04-22T00:00:00"/>
    <n v="182483.14649530521"/>
    <n v="187344.7371716582"/>
    <n v="5475"/>
  </r>
  <r>
    <d v="2014-04-23T00:00:00"/>
    <n v="109358.41252901949"/>
    <n v="106849.898795566"/>
    <n v="3121"/>
  </r>
  <r>
    <d v="2014-04-24T00:00:00"/>
    <n v="98430.114109290502"/>
    <n v="96197.482231430811"/>
    <n v="2809"/>
  </r>
  <r>
    <d v="2014-04-25T00:00:00"/>
    <n v="295741.34696188261"/>
    <n v="292327.02825568401"/>
    <n v="8537"/>
  </r>
  <r>
    <d v="2014-04-26T00:00:00"/>
    <n v="285053.97993312759"/>
    <n v="281159.58112341299"/>
    <n v="8209"/>
  </r>
  <r>
    <d v="2014-04-27T00:00:00"/>
    <n v="124964.7964680588"/>
    <n v="123042.1589528976"/>
    <n v="3592"/>
  </r>
  <r>
    <d v="2014-04-28T00:00:00"/>
    <n v="124175.8083521588"/>
    <n v="122516.0657042025"/>
    <n v="3576"/>
  </r>
  <r>
    <d v="2014-04-29T00:00:00"/>
    <n v="131842.57163224381"/>
    <n v="130405.26385817111"/>
    <n v="3807"/>
  </r>
  <r>
    <d v="2014-04-30T00:00:00"/>
    <n v="154850.05725768139"/>
    <n v="150644.3482406672"/>
    <n v="4398"/>
  </r>
  <r>
    <d v="2014-05-01T00:00:00"/>
    <n v="180294.2687300276"/>
    <n v="175656.65039321329"/>
    <n v="5124"/>
  </r>
  <r>
    <d v="2014-05-02T00:00:00"/>
    <n v="163849.03582968141"/>
    <n v="157300.625596072"/>
    <n v="4581"/>
  </r>
  <r>
    <d v="2014-05-03T00:00:00"/>
    <n v="131436.7924474414"/>
    <n v="127601.9447259398"/>
    <n v="3697"/>
  </r>
  <r>
    <d v="2014-05-04T00:00:00"/>
    <n v="93082.043956892812"/>
    <n v="91601.506543395022"/>
    <n v="2642"/>
  </r>
  <r>
    <d v="2014-05-05T00:00:00"/>
    <n v="110887.01329721219"/>
    <n v="109460.1532226706"/>
    <n v="3154"/>
  </r>
  <r>
    <d v="2014-05-06T00:00:00"/>
    <n v="119385.5753679569"/>
    <n v="115693.1066418478"/>
    <n v="3324"/>
  </r>
  <r>
    <d v="2014-05-07T00:00:00"/>
    <n v="91719.589378837452"/>
    <n v="93157.170582525898"/>
    <n v="2677"/>
  </r>
  <r>
    <d v="2014-05-08T00:00:00"/>
    <n v="96335.448951387458"/>
    <n v="93696.216137213793"/>
    <n v="2683"/>
  </r>
  <r>
    <d v="2014-05-09T00:00:00"/>
    <n v="303226.29835425451"/>
    <n v="325836.94011389237"/>
    <n v="9328"/>
  </r>
  <r>
    <d v="2014-05-10T00:00:00"/>
    <n v="431695.70916738012"/>
    <n v="465253.81571558799"/>
    <n v="13306"/>
  </r>
  <r>
    <d v="2014-05-11T00:00:00"/>
    <n v="200407.27706754219"/>
    <n v="215907.82491282909"/>
    <n v="6173"/>
  </r>
  <r>
    <d v="2014-05-12T00:00:00"/>
    <n v="183413.70834773601"/>
    <n v="197835.49508379781"/>
    <n v="5653"/>
  </r>
  <r>
    <d v="2014-05-13T00:00:00"/>
    <n v="146166.60112478229"/>
    <n v="157693.18930052701"/>
    <n v="4503"/>
  </r>
  <r>
    <d v="2014-05-14T00:00:00"/>
    <n v="201120.7276408147"/>
    <n v="218098.7618880111"/>
    <n v="6253"/>
  </r>
  <r>
    <d v="2014-05-15T00:00:00"/>
    <n v="270123.55082332838"/>
    <n v="289864.79847427219"/>
    <n v="8408"/>
  </r>
  <r>
    <d v="2014-05-16T00:00:00"/>
    <n v="415315.38394824741"/>
    <n v="441790.76722722728"/>
    <n v="12949"/>
  </r>
  <r>
    <d v="2014-05-17T00:00:00"/>
    <n v="498716.9975550141"/>
    <n v="526707.3769616452"/>
    <n v="15508"/>
  </r>
  <r>
    <d v="2014-05-18T00:00:00"/>
    <n v="166433.17212925971"/>
    <n v="174376.63247461841"/>
    <n v="5141"/>
  </r>
  <r>
    <d v="2014-05-19T00:00:00"/>
    <n v="168520.62936742851"/>
    <n v="175540.11551824521"/>
    <n v="5194"/>
  </r>
  <r>
    <d v="2014-05-20T00:00:00"/>
    <n v="178123.53210953469"/>
    <n v="187748.1722021974"/>
    <n v="5550"/>
  </r>
  <r>
    <d v="2014-05-21T00:00:00"/>
    <n v="194878.80263463091"/>
    <n v="204460.66537744281"/>
    <n v="6070"/>
  </r>
  <r>
    <d v="2014-05-22T00:00:00"/>
    <n v="115475.0968962598"/>
    <n v="115011.3226088317"/>
    <n v="3421"/>
  </r>
  <r>
    <d v="2014-05-23T00:00:00"/>
    <n v="430521.02453865513"/>
    <n v="449274.18625836552"/>
    <n v="13384"/>
  </r>
  <r>
    <d v="2014-05-24T00:00:00"/>
    <n v="590642.82566064375"/>
    <n v="614245.79414952744"/>
    <n v="18356"/>
  </r>
  <r>
    <d v="2014-05-25T00:00:00"/>
    <n v="210764.7179522909"/>
    <n v="217364.46301139219"/>
    <n v="6500"/>
  </r>
  <r>
    <d v="2014-05-26T00:00:00"/>
    <n v="218189.34852144719"/>
    <n v="225607.5951852721"/>
    <n v="6752"/>
  </r>
  <r>
    <d v="2014-05-27T00:00:00"/>
    <n v="226132.46392936219"/>
    <n v="234496.51283165641"/>
    <n v="7023"/>
  </r>
  <r>
    <d v="2014-05-28T00:00:00"/>
    <n v="243720.86804506721"/>
    <n v="252929.29469238099"/>
    <n v="7579"/>
  </r>
  <r>
    <d v="2014-05-29T00:00:00"/>
    <n v="207429.42904813591"/>
    <n v="215118.84649511721"/>
    <n v="6448"/>
  </r>
  <r>
    <d v="2014-05-30T00:00:00"/>
    <n v="503149.43134534778"/>
    <n v="521651.08612557303"/>
    <n v="15637"/>
  </r>
  <r>
    <d v="2014-05-31T00:00:00"/>
    <n v="603748.78952607629"/>
    <n v="626259.38684881607"/>
    <n v="18775"/>
  </r>
  <r>
    <d v="2014-06-01T00:00:00"/>
    <n v="456017.46309267642"/>
    <n v="473223.98073157662"/>
    <n v="14188"/>
  </r>
  <r>
    <d v="2014-06-02T00:00:00"/>
    <n v="425845.19604472112"/>
    <n v="442155.99116118718"/>
    <n v="13256"/>
  </r>
  <r>
    <d v="2014-06-03T00:00:00"/>
    <n v="328217.76995264698"/>
    <n v="340913.59172520298"/>
    <n v="10223"/>
  </r>
  <r>
    <d v="2014-06-04T00:00:00"/>
    <n v="286405.99880250322"/>
    <n v="296902.67253080232"/>
    <n v="8904"/>
  </r>
  <r>
    <d v="2014-06-05T00:00:00"/>
    <n v="184989.88866687589"/>
    <n v="192824.890128464"/>
    <n v="5783"/>
  </r>
  <r>
    <d v="2014-06-06T00:00:00"/>
    <n v="288118.30444745562"/>
    <n v="300213.55940666178"/>
    <n v="9005"/>
  </r>
  <r>
    <d v="2014-06-07T00:00:00"/>
    <n v="391930.87800966093"/>
    <n v="407438.91960054089"/>
    <n v="12222"/>
  </r>
  <r>
    <d v="2014-06-08T00:00:00"/>
    <n v="193772.58110879711"/>
    <n v="201254.7125115463"/>
    <n v="6037"/>
  </r>
  <r>
    <d v="2014-06-09T00:00:00"/>
    <n v="214177.9834426184"/>
    <n v="220255.21917882841"/>
    <n v="6607"/>
  </r>
  <r>
    <d v="2014-06-10T00:00:00"/>
    <n v="188334.52117067971"/>
    <n v="195254.78100370179"/>
    <n v="5857"/>
  </r>
  <r>
    <d v="2014-06-11T00:00:00"/>
    <n v="174324.99481545971"/>
    <n v="180978.60103822939"/>
    <n v="5429"/>
  </r>
  <r>
    <d v="2014-06-12T00:00:00"/>
    <n v="200271.5643162597"/>
    <n v="207757.70297321581"/>
    <n v="6232"/>
  </r>
  <r>
    <d v="2014-06-13T00:00:00"/>
    <n v="468701.63017391373"/>
    <n v="486180.54436187987"/>
    <n v="14585"/>
  </r>
  <r>
    <d v="2014-06-14T00:00:00"/>
    <n v="473425.75415694882"/>
    <n v="492135.2922944348"/>
    <n v="14745"/>
  </r>
  <r>
    <d v="2014-06-15T00:00:00"/>
    <n v="224232.1213750946"/>
    <n v="233554.03224643381"/>
    <n v="6991"/>
  </r>
  <r>
    <d v="2014-06-16T00:00:00"/>
    <n v="185606.27501469469"/>
    <n v="193340.31536521239"/>
    <n v="5788"/>
  </r>
  <r>
    <d v="2014-06-17T00:00:00"/>
    <n v="212687.5094148122"/>
    <n v="221403.64501723999"/>
    <n v="6632"/>
  </r>
  <r>
    <d v="2014-06-18T00:00:00"/>
    <n v="184259.6924214997"/>
    <n v="192057.51084707779"/>
    <n v="5752"/>
  </r>
  <r>
    <d v="2014-06-19T00:00:00"/>
    <n v="113735.8161577795"/>
    <n v="119544.0197640804"/>
    <n v="3578"/>
  </r>
  <r>
    <d v="2014-06-20T00:00:00"/>
    <n v="203165.08297513981"/>
    <n v="205350.64307872241"/>
    <n v="6119"/>
  </r>
  <r>
    <d v="2014-06-21T00:00:00"/>
    <n v="203345.24456475489"/>
    <n v="206918.9125938658"/>
    <n v="6161"/>
  </r>
  <r>
    <d v="2014-06-22T00:00:00"/>
    <n v="134944.48896695641"/>
    <n v="135372.5270250313"/>
    <n v="4015"/>
  </r>
  <r>
    <d v="2014-06-23T00:00:00"/>
    <n v="138298.21024496641"/>
    <n v="139206.02689008071"/>
    <n v="4133"/>
  </r>
  <r>
    <d v="2014-06-24T00:00:00"/>
    <n v="36692.679861900491"/>
    <n v="35299.064235203223"/>
    <n v="1047"/>
  </r>
  <r>
    <d v="2014-06-25T00:00:00"/>
    <n v="56077.542692130737"/>
    <n v="53925.257631037668"/>
    <n v="1601"/>
  </r>
  <r>
    <d v="2014-06-26T00:00:00"/>
    <n v="55780.707452340743"/>
    <n v="53688.24119505065"/>
    <n v="1592"/>
  </r>
  <r>
    <d v="2014-06-27T00:00:00"/>
    <n v="131721.2383167888"/>
    <n v="127302.42713472139"/>
    <n v="3759"/>
  </r>
  <r>
    <d v="2014-06-28T00:00:00"/>
    <n v="146169.07657195261"/>
    <n v="141012.32941184979"/>
    <n v="4172"/>
  </r>
  <r>
    <d v="2014-06-29T00:00:00"/>
    <n v="62073.585412980981"/>
    <n v="60083.86983686743"/>
    <n v="1772"/>
  </r>
  <r>
    <d v="2014-06-30T00:00:00"/>
    <n v="93619.846991295737"/>
    <n v="90294.376087688332"/>
    <n v="2672"/>
  </r>
  <r>
    <d v="2014-07-01T00:00:00"/>
    <n v="180183.0313560114"/>
    <n v="173842.9209259059"/>
    <n v="5143"/>
  </r>
  <r>
    <d v="2014-07-02T00:00:00"/>
    <n v="104760.70623579"/>
    <n v="101615.7320157364"/>
    <n v="2990"/>
  </r>
  <r>
    <d v="2014-07-03T00:00:00"/>
    <n v="93450.533684910493"/>
    <n v="90927.089657647652"/>
    <n v="2667"/>
  </r>
  <r>
    <d v="2014-07-04T00:00:00"/>
    <n v="98087.555903940738"/>
    <n v="95423.273987227221"/>
    <n v="2799"/>
  </r>
  <r>
    <d v="2014-07-05T00:00:00"/>
    <n v="117562.2629053492"/>
    <n v="114395.6276274463"/>
    <n v="3355"/>
  </r>
  <r>
    <d v="2014-07-06T00:00:00"/>
    <n v="70153.080972151351"/>
    <n v="68252.24220948873"/>
    <n v="2002"/>
  </r>
  <r>
    <d v="2014-07-07T00:00:00"/>
    <n v="68918.415287491109"/>
    <n v="66990.88135215205"/>
    <n v="1967"/>
  </r>
  <r>
    <d v="2014-07-08T00:00:00"/>
    <n v="108417.40283335961"/>
    <n v="105373.30003337099"/>
    <n v="3094"/>
  </r>
  <r>
    <d v="2014-07-09T00:00:00"/>
    <n v="81802.6082085011"/>
    <n v="79496.494243965513"/>
    <n v="2335"/>
  </r>
  <r>
    <d v="2014-07-10T00:00:00"/>
    <n v="103998.55973343051"/>
    <n v="101270.971050946"/>
    <n v="2968"/>
  </r>
  <r>
    <d v="2014-07-11T00:00:00"/>
    <n v="134018.0892634776"/>
    <n v="130633.2627145483"/>
    <n v="3825"/>
  </r>
  <r>
    <d v="2014-07-12T00:00:00"/>
    <n v="99277.299503010508"/>
    <n v="96688.497813017515"/>
    <n v="2833"/>
  </r>
  <r>
    <d v="2014-07-13T00:00:00"/>
    <n v="49705.231999920732"/>
    <n v="48370.308994006256"/>
    <n v="1419"/>
  </r>
  <r>
    <d v="2014-07-14T00:00:00"/>
    <n v="75384.57455073134"/>
    <n v="73393.446593668908"/>
    <n v="2151"/>
  </r>
  <r>
    <d v="2014-07-15T00:00:00"/>
    <n v="110288.2341741906"/>
    <n v="107437.38095161279"/>
    <n v="3148"/>
  </r>
  <r>
    <d v="2014-07-16T00:00:00"/>
    <n v="156536.68620542111"/>
    <n v="164641.3539874852"/>
    <n v="4825"/>
  </r>
  <r>
    <d v="2014-07-17T00:00:00"/>
    <n v="80823.059197921219"/>
    <n v="78844.86050033744"/>
    <n v="2307"/>
  </r>
  <r>
    <d v="2014-07-18T00:00:00"/>
    <n v="124615.68560840881"/>
    <n v="121612.17892455601"/>
    <n v="3557"/>
  </r>
  <r>
    <d v="2014-07-19T00:00:00"/>
    <n v="242758.9505283758"/>
    <n v="255779.85446049331"/>
    <n v="7485"/>
  </r>
  <r>
    <d v="2014-07-20T00:00:00"/>
    <n v="85078.243689436087"/>
    <n v="83020.514125462476"/>
    <n v="2428"/>
  </r>
  <r>
    <d v="2014-07-21T00:00:00"/>
    <n v="86738.067427260859"/>
    <n v="84643.271827215489"/>
    <n v="2475"/>
  </r>
  <r>
    <d v="2014-07-22T00:00:00"/>
    <n v="56673.615811620853"/>
    <n v="55278.707829230581"/>
    <n v="1618"/>
  </r>
  <r>
    <d v="2014-07-23T00:00:00"/>
    <n v="165742.1704642335"/>
    <n v="173725.35752062299"/>
    <n v="5106"/>
  </r>
  <r>
    <d v="2014-07-24T00:00:00"/>
    <n v="95618.248803710856"/>
    <n v="92416.903838237486"/>
    <n v="2729"/>
  </r>
  <r>
    <d v="2014-07-25T00:00:00"/>
    <n v="515698.7957661752"/>
    <n v="538260.27180390677"/>
    <n v="15897"/>
  </r>
  <r>
    <d v="2014-07-26T00:00:00"/>
    <n v="562590.36654784065"/>
    <n v="586670.51408478804"/>
    <n v="17343"/>
  </r>
  <r>
    <d v="2014-07-27T00:00:00"/>
    <n v="266305.92588997318"/>
    <n v="277238.01036147983"/>
    <n v="8207"/>
  </r>
  <r>
    <d v="2014-07-28T00:00:00"/>
    <n v="292634.74569281942"/>
    <n v="304508.37903080799"/>
    <n v="9018"/>
  </r>
  <r>
    <d v="2014-07-29T00:00:00"/>
    <n v="212360.99307795221"/>
    <n v="221017.0730997668"/>
    <n v="6548"/>
  </r>
  <r>
    <d v="2014-07-30T00:00:00"/>
    <n v="198019.33209153591"/>
    <n v="205903.82494520771"/>
    <n v="6102"/>
  </r>
  <r>
    <d v="2014-07-31T00:00:00"/>
    <n v="295508.32729426579"/>
    <n v="307222.39542168751"/>
    <n v="9108"/>
  </r>
  <r>
    <d v="2014-08-01T00:00:00"/>
    <n v="611894.67318094964"/>
    <n v="636341.31592619617"/>
    <n v="18867"/>
  </r>
  <r>
    <d v="2014-08-02T00:00:00"/>
    <n v="628685.21882835601"/>
    <n v="653779.96345324407"/>
    <n v="19384"/>
  </r>
  <r>
    <d v="2014-08-03T00:00:00"/>
    <n v="307272.68372995692"/>
    <n v="319500.00945712812"/>
    <n v="9473"/>
  </r>
  <r>
    <d v="2014-08-04T00:00:00"/>
    <n v="362106.53263594082"/>
    <n v="376645.75093448581"/>
    <n v="11170"/>
  </r>
  <r>
    <d v="2014-08-05T00:00:00"/>
    <n v="262349.59097271581"/>
    <n v="272809.29044380988"/>
    <n v="8091"/>
  </r>
  <r>
    <d v="2014-08-06T00:00:00"/>
    <n v="80697.903500791217"/>
    <n v="77649.636533253579"/>
    <n v="2303"/>
  </r>
  <r>
    <d v="2014-08-07T00:00:00"/>
    <n v="103272.6227133504"/>
    <n v="99367.233222687966"/>
    <n v="2947"/>
  </r>
  <r>
    <d v="2014-08-08T00:00:00"/>
    <n v="439421.42206707381"/>
    <n v="456509.62185022031"/>
    <n v="13542"/>
  </r>
  <r>
    <d v="2014-08-09T00:00:00"/>
    <n v="408616.35063191352"/>
    <n v="424340.94938278513"/>
    <n v="12588"/>
  </r>
  <r>
    <d v="2014-08-10T00:00:00"/>
    <n v="195866.77301944341"/>
    <n v="203331.43478475651"/>
    <n v="6032"/>
  </r>
  <r>
    <d v="2014-08-11T00:00:00"/>
    <n v="232347.35316928959"/>
    <n v="241134.5277944064"/>
    <n v="7158"/>
  </r>
  <r>
    <d v="2014-08-12T00:00:00"/>
    <n v="190325.18114338469"/>
    <n v="197438.11163851491"/>
    <n v="5863"/>
  </r>
  <r>
    <d v="2014-08-13T00:00:00"/>
    <n v="197698.11855084091"/>
    <n v="205114.1289482273"/>
    <n v="6092"/>
  </r>
  <r>
    <d v="2014-08-14T00:00:00"/>
    <n v="177908.83560484849"/>
    <n v="184687.52914036711"/>
    <n v="5485"/>
  </r>
  <r>
    <d v="2014-08-15T00:00:00"/>
    <n v="473321.88245175371"/>
    <n v="491559.42296304408"/>
    <n v="14587"/>
  </r>
  <r>
    <d v="2014-08-16T00:00:00"/>
    <n v="541600.89215953078"/>
    <n v="562953.37077365373"/>
    <n v="16686"/>
  </r>
  <r>
    <d v="2014-08-17T00:00:00"/>
    <n v="239513.97904265701"/>
    <n v="249203.12076822479"/>
    <n v="7380"/>
  </r>
  <r>
    <d v="2014-08-18T00:00:00"/>
    <n v="255224.2225523532"/>
    <n v="265532.5462048222"/>
    <n v="7864"/>
  </r>
  <r>
    <d v="2014-08-19T00:00:00"/>
    <n v="160372.03970902969"/>
    <n v="167021.15782900871"/>
    <n v="4941"/>
  </r>
  <r>
    <d v="2014-08-20T00:00:00"/>
    <n v="171587.33225254019"/>
    <n v="174723.17542794361"/>
    <n v="5151"/>
  </r>
  <r>
    <d v="2014-08-21T00:00:00"/>
    <n v="164208.0606125952"/>
    <n v="167239.64875993141"/>
    <n v="4928"/>
  </r>
  <r>
    <d v="2014-08-22T00:00:00"/>
    <n v="376778.83570449759"/>
    <n v="384006.045320909"/>
    <n v="11309"/>
  </r>
  <r>
    <d v="2014-08-23T00:00:00"/>
    <n v="453633.473978322"/>
    <n v="463250.07125509798"/>
    <n v="13613"/>
  </r>
  <r>
    <d v="2014-08-24T00:00:00"/>
    <n v="214392.40085275259"/>
    <n v="218347.79777692939"/>
    <n v="6424"/>
  </r>
  <r>
    <d v="2014-08-25T00:00:00"/>
    <n v="316404.06232243002"/>
    <n v="323293.3966404731"/>
    <n v="9493"/>
  </r>
  <r>
    <d v="2014-08-26T00:00:00"/>
    <n v="242824.50134045491"/>
    <n v="259860.5125486858"/>
    <n v="7619"/>
  </r>
  <r>
    <d v="2014-08-27T00:00:00"/>
    <n v="274712.25328416959"/>
    <n v="304334.78464343678"/>
    <n v="8909"/>
  </r>
  <r>
    <d v="2014-08-28T00:00:00"/>
    <n v="258066.16939498461"/>
    <n v="287168.56608982541"/>
    <n v="8400"/>
  </r>
  <r>
    <d v="2014-08-29T00:00:00"/>
    <n v="594007.21320371237"/>
    <n v="660937.80480560346"/>
    <n v="19317"/>
  </r>
  <r>
    <d v="2014-08-30T00:00:00"/>
    <n v="717096.71281835937"/>
    <n v="797788.89197623753"/>
    <n v="23310"/>
  </r>
  <r>
    <d v="2014-08-31T00:00:00"/>
    <n v="358170.99632881698"/>
    <n v="398562.60743015882"/>
    <n v="11646"/>
  </r>
  <r>
    <d v="2014-09-01T00:00:00"/>
    <n v="594953.63490643876"/>
    <n v="662850.99076108413"/>
    <n v="19366"/>
  </r>
  <r>
    <d v="2014-09-02T00:00:00"/>
    <n v="469469.9410251276"/>
    <n v="523480.3033456417"/>
    <n v="15291"/>
  </r>
  <r>
    <d v="2014-09-03T00:00:00"/>
    <n v="464067.7993402126"/>
    <n v="517180.5432955554"/>
    <n v="15100"/>
  </r>
  <r>
    <d v="2014-09-04T00:00:00"/>
    <n v="312311.95398119069"/>
    <n v="348177.12054578192"/>
    <n v="10164"/>
  </r>
  <r>
    <d v="2014-09-05T00:00:00"/>
    <n v="501279.00044448092"/>
    <n v="558766.69034694601"/>
    <n v="16310"/>
  </r>
  <r>
    <d v="2014-09-06T00:00:00"/>
    <n v="552703.9037581525"/>
    <n v="616169.85143113649"/>
    <n v="17985"/>
  </r>
  <r>
    <d v="2014-09-07T00:00:00"/>
    <n v="234153.76221071579"/>
    <n v="261088.3863729678"/>
    <n v="7620"/>
  </r>
  <r>
    <d v="2014-09-08T00:00:00"/>
    <n v="244481.49772930579"/>
    <n v="272633.39980275778"/>
    <n v="7958"/>
  </r>
  <r>
    <d v="2014-09-09T00:00:00"/>
    <n v="122749.63527830879"/>
    <n v="120070.9501885974"/>
    <n v="3503"/>
  </r>
  <r>
    <d v="2014-09-10T00:00:00"/>
    <n v="78736.402839721224"/>
    <n v="77071.542706110122"/>
    <n v="2247"/>
  </r>
  <r>
    <d v="2014-09-11T00:00:00"/>
    <n v="70875.110668741108"/>
    <n v="69489.36084683513"/>
    <n v="2023"/>
  </r>
  <r>
    <d v="2014-09-12T00:00:00"/>
    <n v="148634.39140687519"/>
    <n v="145956.13969592101"/>
    <n v="4242"/>
  </r>
  <r>
    <d v="2014-09-13T00:00:00"/>
    <n v="171724.82878193399"/>
    <n v="168652.2035714417"/>
    <n v="4901"/>
  </r>
  <r>
    <d v="2014-09-14T00:00:00"/>
    <n v="86435.698834951094"/>
    <n v="84948.374577163748"/>
    <n v="2467"/>
  </r>
  <r>
    <d v="2014-09-15T00:00:00"/>
    <n v="120236.18270337"/>
    <n v="118094.0431931489"/>
    <n v="3432"/>
  </r>
  <r>
    <d v="2014-09-16T00:00:00"/>
    <n v="83204.196694181097"/>
    <n v="81753.424593545584"/>
    <n v="2375"/>
  </r>
  <r>
    <d v="2014-09-17T00:00:00"/>
    <n v="73768.034734920977"/>
    <n v="72471.919323404494"/>
    <n v="2105"/>
  </r>
  <r>
    <d v="2014-09-18T00:00:00"/>
    <n v="69425.44511577097"/>
    <n v="68280.383276895183"/>
    <n v="1982"/>
  </r>
  <r>
    <d v="2014-09-19T00:00:00"/>
    <n v="137154.95408779141"/>
    <n v="135276.90958604589"/>
    <n v="3915"/>
  </r>
  <r>
    <d v="2014-09-20T00:00:00"/>
    <n v="153569.06188021021"/>
    <n v="151376.13558980459"/>
    <n v="4383"/>
  </r>
  <r>
    <d v="2014-09-21T00:00:00"/>
    <n v="75633.320588686343"/>
    <n v="74546.668253599157"/>
    <n v="2159"/>
  </r>
  <r>
    <d v="2014-09-22T00:00:00"/>
    <n v="90815.929812690869"/>
    <n v="89653.637589452905"/>
    <n v="2592"/>
  </r>
  <r>
    <d v="2014-09-23T00:00:00"/>
    <n v="110118.1563914701"/>
    <n v="108880.4089631831"/>
    <n v="3143"/>
  </r>
  <r>
    <d v="2014-09-24T00:00:00"/>
    <n v="209908.38311163971"/>
    <n v="223554.08660175069"/>
    <n v="6457"/>
  </r>
  <r>
    <d v="2014-09-25T00:00:00"/>
    <n v="358365.68296879338"/>
    <n v="382967.98317568301"/>
    <n v="11039"/>
  </r>
  <r>
    <d v="2014-09-26T00:00:00"/>
    <n v="585463.99600736017"/>
    <n v="625980.93020941468"/>
    <n v="18036"/>
  </r>
  <r>
    <d v="2014-09-27T00:00:00"/>
    <n v="617019.09153442062"/>
    <n v="661010.59126386233"/>
    <n v="19017"/>
  </r>
  <r>
    <d v="2014-09-28T00:00:00"/>
    <n v="283850.59710549947"/>
    <n v="304440.65150645463"/>
    <n v="8747"/>
  </r>
  <r>
    <d v="2014-09-29T00:00:00"/>
    <n v="264317.11036810582"/>
    <n v="283912.96869744168"/>
    <n v="8147"/>
  </r>
  <r>
    <d v="2014-09-30T00:00:00"/>
    <n v="358024.98134882591"/>
    <n v="384823.43987807218"/>
    <n v="11036"/>
  </r>
  <r>
    <d v="2014-10-01T00:00:00"/>
    <n v="594438.28078029968"/>
    <n v="639306.56878246542"/>
    <n v="18330"/>
  </r>
  <r>
    <d v="2014-10-02T00:00:00"/>
    <n v="470507.66304443887"/>
    <n v="506072.03334142908"/>
    <n v="14503"/>
  </r>
  <r>
    <d v="2014-10-03T00:00:00"/>
    <n v="518693.52866487252"/>
    <n v="557939.36927636876"/>
    <n v="15986"/>
  </r>
  <r>
    <d v="2014-10-04T00:00:00"/>
    <n v="656245.82842866576"/>
    <n v="705891.30026245222"/>
    <n v="20223"/>
  </r>
  <r>
    <d v="2014-10-05T00:00:00"/>
    <n v="280055.11771676323"/>
    <n v="301279.65498243202"/>
    <n v="8631"/>
  </r>
  <r>
    <d v="2014-10-06T00:00:00"/>
    <n v="375648.0174559537"/>
    <n v="404178.92105522793"/>
    <n v="11579"/>
  </r>
  <r>
    <d v="2014-10-07T00:00:00"/>
    <n v="78111.716463120727"/>
    <n v="74251.874725965463"/>
    <n v="2127"/>
  </r>
  <r>
    <d v="2014-10-08T00:00:00"/>
    <n v="70509.132791540367"/>
    <n v="67141.979629084031"/>
    <n v="1923"/>
  </r>
  <r>
    <d v="2014-10-09T00:00:00"/>
    <n v="103281.3110475721"/>
    <n v="98065.939078450887"/>
    <n v="2809"/>
  </r>
  <r>
    <d v="2014-10-10T00:00:00"/>
    <n v="179841.43177972361"/>
    <n v="170757.581177207"/>
    <n v="4891"/>
  </r>
  <r>
    <d v="2014-10-11T00:00:00"/>
    <n v="138038.23975289491"/>
    <n v="131192.31677147359"/>
    <n v="3758"/>
  </r>
  <r>
    <d v="2014-10-12T00:00:00"/>
    <n v="61037.562229970368"/>
    <n v="57992.341511187689"/>
    <n v="1661"/>
  </r>
  <r>
    <d v="2014-10-13T00:00:00"/>
    <n v="86799.759454041719"/>
    <n v="82392.333264616391"/>
    <n v="2360"/>
  </r>
  <r>
    <d v="2014-10-14T00:00:00"/>
    <n v="69570.501466700734"/>
    <n v="66313.940979270206"/>
    <n v="1894"/>
  </r>
  <r>
    <d v="2014-10-15T00:00:00"/>
    <n v="130476.35534524239"/>
    <n v="124398.43162958849"/>
    <n v="3548"/>
  </r>
  <r>
    <d v="2014-10-16T00:00:00"/>
    <n v="95229.773480081218"/>
    <n v="91087.851335542873"/>
    <n v="2591"/>
  </r>
  <r>
    <d v="2014-10-17T00:00:00"/>
    <n v="121057.86128350309"/>
    <n v="116949.7912742107"/>
    <n v="3293"/>
  </r>
  <r>
    <d v="2014-10-18T00:00:00"/>
    <n v="169498.9163853249"/>
    <n v="164492.94663284859"/>
    <n v="4611"/>
  </r>
  <r>
    <d v="2014-10-19T00:00:00"/>
    <n v="90692.375875501952"/>
    <n v="87911.211583205484"/>
    <n v="2468"/>
  </r>
  <r>
    <d v="2014-10-20T00:00:00"/>
    <n v="101723.9150040923"/>
    <n v="98870.811877197717"/>
    <n v="2773"/>
  </r>
  <r>
    <d v="2014-10-21T00:00:00"/>
    <n v="103395.6912687424"/>
    <n v="100424.1557433229"/>
    <n v="2815"/>
  </r>
  <r>
    <d v="2014-10-22T00:00:00"/>
    <n v="99075.599096021819"/>
    <n v="96511.722157538141"/>
    <n v="2701"/>
  </r>
  <r>
    <d v="2014-10-23T00:00:00"/>
    <n v="97476.144719572068"/>
    <n v="94763.842548765941"/>
    <n v="2651"/>
  </r>
  <r>
    <d v="2014-10-24T00:00:00"/>
    <n v="248974.65278279639"/>
    <n v="241961.14324530261"/>
    <n v="6781"/>
  </r>
  <r>
    <d v="2014-10-25T00:00:00"/>
    <n v="302721.68330040033"/>
    <n v="294129.67112311861"/>
    <n v="8249"/>
  </r>
  <r>
    <d v="2014-10-26T00:00:00"/>
    <n v="128520.72780395371"/>
    <n v="124739.23394868799"/>
    <n v="3502"/>
  </r>
  <r>
    <d v="2014-10-27T00:00:00"/>
    <n v="145185.2683360849"/>
    <n v="140651.93717842031"/>
    <n v="3949"/>
  </r>
  <r>
    <d v="2014-10-28T00:00:00"/>
    <n v="89527.556631861706"/>
    <n v="87067.05131891428"/>
    <n v="2435"/>
  </r>
  <r>
    <d v="2014-10-29T00:00:00"/>
    <n v="81991.88284141109"/>
    <n v="80112.54801498825"/>
    <n v="2232"/>
  </r>
  <r>
    <d v="2014-10-30T00:00:00"/>
    <n v="69704.491112590491"/>
    <n v="68293.096389796119"/>
    <n v="1898"/>
  </r>
  <r>
    <d v="2014-10-31T00:00:00"/>
    <n v="166652.39481922361"/>
    <n v="163319.71647067659"/>
    <n v="4537"/>
  </r>
  <r>
    <d v="2014-11-01T00:00:00"/>
    <n v="247453.10218524761"/>
    <n v="242638.80119746839"/>
    <n v="6730"/>
  </r>
  <r>
    <d v="2014-11-02T00:00:00"/>
    <n v="148476.18120917489"/>
    <n v="145646.33680169421"/>
    <n v="4038"/>
  </r>
  <r>
    <d v="2014-11-03T00:00:00"/>
    <n v="205368.92263440121"/>
    <n v="201281.239025563"/>
    <n v="5581"/>
  </r>
  <r>
    <d v="2014-11-04T00:00:00"/>
    <n v="99244.681846049149"/>
    <n v="90949.442252201086"/>
    <n v="2519"/>
  </r>
  <r>
    <d v="2014-11-05T00:00:00"/>
    <n v="72756.863100070492"/>
    <n v="67872.774326885235"/>
    <n v="1847"/>
  </r>
  <r>
    <d v="2014-11-06T00:00:00"/>
    <n v="86867.458080595141"/>
    <n v="84486.086086063602"/>
    <n v="2309"/>
  </r>
  <r>
    <d v="2014-11-07T00:00:00"/>
    <n v="140167.80386220521"/>
    <n v="136539.20329644671"/>
    <n v="3722"/>
  </r>
  <r>
    <d v="2014-11-08T00:00:00"/>
    <n v="160727.30278297889"/>
    <n v="156700.82499573231"/>
    <n v="4268"/>
  </r>
  <r>
    <d v="2014-11-09T00:00:00"/>
    <n v="74115.62877644549"/>
    <n v="71994.346393653148"/>
    <n v="1968"/>
  </r>
  <r>
    <d v="2014-11-10T00:00:00"/>
    <n v="76103.291516535493"/>
    <n v="73967.60569443136"/>
    <n v="2016"/>
  </r>
  <r>
    <d v="2014-11-11T00:00:00"/>
    <n v="56303.366574580366"/>
    <n v="54996.866607590731"/>
    <n v="1497"/>
  </r>
  <r>
    <d v="2014-11-12T00:00:00"/>
    <n v="49436.815864520373"/>
    <n v="48289.892276094753"/>
    <n v="1314"/>
  </r>
  <r>
    <d v="2014-11-13T00:00:00"/>
    <n v="55033.122403980371"/>
    <n v="53997.218873107588"/>
    <n v="1466"/>
  </r>
  <r>
    <d v="2014-11-14T00:00:00"/>
    <n v="149808.16594472641"/>
    <n v="146994.89550113151"/>
    <n v="3984"/>
  </r>
  <r>
    <d v="2014-11-15T00:00:00"/>
    <n v="180685.51072991031"/>
    <n v="176898.27782037071"/>
    <n v="4802"/>
  </r>
  <r>
    <d v="2014-11-16T00:00:00"/>
    <n v="75871.436765220482"/>
    <n v="73905.810158820022"/>
    <n v="2017"/>
  </r>
  <r>
    <d v="2014-11-17T00:00:00"/>
    <n v="86313.334083170121"/>
    <n v="84418.78910931063"/>
    <n v="2297"/>
  </r>
  <r>
    <d v="2014-11-18T00:00:00"/>
    <n v="62631.798752070368"/>
    <n v="61158.361090192768"/>
    <n v="1665"/>
  </r>
  <r>
    <d v="2014-11-19T00:00:00"/>
    <n v="48529.103360340247"/>
    <n v="47409.554056467168"/>
    <n v="1291"/>
  </r>
  <r>
    <d v="2014-11-20T00:00:00"/>
    <n v="51040.881368070251"/>
    <n v="50038.142634161093"/>
    <n v="1361"/>
  </r>
  <r>
    <d v="2014-11-21T00:00:00"/>
    <n v="53973.922240020001"/>
    <n v="47192.498284101879"/>
    <n v="1281"/>
  </r>
  <r>
    <d v="2014-11-22T00:00:00"/>
    <n v="47497.982533509879"/>
    <n v="41179.088245459163"/>
    <n v="1122"/>
  </r>
  <r>
    <d v="2014-11-23T00:00:00"/>
    <n v="31219.951528719881"/>
    <n v="26893.304677301021"/>
    <n v="737"/>
  </r>
  <r>
    <d v="2014-11-24T00:00:00"/>
    <n v="26870.323873469999"/>
    <n v="23516.041718095501"/>
    <n v="641"/>
  </r>
  <r>
    <d v="2014-11-25T00:00:00"/>
    <n v="40530.642292680008"/>
    <n v="35674.190763166298"/>
    <n v="968"/>
  </r>
  <r>
    <d v="2014-11-26T00:00:00"/>
    <n v="30371.431335049881"/>
    <n v="26054.849168281438"/>
    <n v="709"/>
  </r>
  <r>
    <d v="2014-11-27T00:00:00"/>
    <n v="37776.658766749882"/>
    <n v="32719.689636421641"/>
    <n v="880"/>
  </r>
  <r>
    <d v="2014-11-28T00:00:00"/>
    <n v="46818.205322610003"/>
    <n v="40652.576408851382"/>
    <n v="1096"/>
  </r>
  <r>
    <d v="2014-11-29T00:00:00"/>
    <n v="88321.625549760734"/>
    <n v="79880.243682936474"/>
    <n v="2068"/>
  </r>
  <r>
    <d v="2014-11-30T00:00:00"/>
    <n v="101037.8278297916"/>
    <n v="93177.884704390279"/>
    <n v="2375"/>
  </r>
  <r>
    <d v="2014-12-01T00:00:00"/>
    <n v="105100.6676485115"/>
    <n v="97257.394665729371"/>
    <n v="2492"/>
  </r>
  <r>
    <d v="2014-12-02T00:00:00"/>
    <n v="88219.52548812989"/>
    <n v="85533.428923318512"/>
    <n v="2170"/>
  </r>
  <r>
    <d v="2014-12-03T00:00:00"/>
    <n v="71590.369289220369"/>
    <n v="69654.93030590401"/>
    <n v="1784"/>
  </r>
  <r>
    <d v="2014-12-04T00:00:00"/>
    <n v="54996.621692620247"/>
    <n v="54503.02854750456"/>
    <n v="1368"/>
  </r>
  <r>
    <d v="2014-12-05T00:00:00"/>
    <n v="77884.181609825493"/>
    <n v="77619.29488939041"/>
    <n v="1914"/>
  </r>
  <r>
    <d v="2014-12-06T00:00:00"/>
    <n v="150370.11672367639"/>
    <n v="154998.83458187681"/>
    <n v="3765"/>
  </r>
  <r>
    <d v="2014-12-07T00:00:00"/>
    <n v="104675.37611534919"/>
    <n v="111903.7379024793"/>
    <n v="2712"/>
  </r>
  <r>
    <d v="2014-12-08T00:00:00"/>
    <n v="90121.530475064763"/>
    <n v="91081.66819408616"/>
    <n v="2222"/>
  </r>
  <r>
    <d v="2014-12-09T00:00:00"/>
    <n v="75425.443698290488"/>
    <n v="77014.255960305571"/>
    <n v="1861"/>
  </r>
  <r>
    <d v="2014-12-10T00:00:00"/>
    <n v="161844.8094356737"/>
    <n v="169348.5185848648"/>
    <n v="4095"/>
  </r>
  <r>
    <d v="2014-12-11T00:00:00"/>
    <n v="158603.35696800359"/>
    <n v="171692.99360653351"/>
    <n v="4157"/>
  </r>
  <r>
    <d v="2014-12-12T00:00:00"/>
    <n v="279092.09595645021"/>
    <n v="301236.10987981001"/>
    <n v="7259"/>
  </r>
  <r>
    <d v="2014-12-13T00:00:00"/>
    <n v="369350.98948089819"/>
    <n v="402564.67862758518"/>
    <n v="9654"/>
  </r>
  <r>
    <d v="2014-12-14T00:00:00"/>
    <n v="177500.10772560869"/>
    <n v="192327.32065612171"/>
    <n v="4632"/>
  </r>
  <r>
    <d v="2014-12-15T00:00:00"/>
    <n v="282246.62867828761"/>
    <n v="304489.638251931"/>
    <n v="7341"/>
  </r>
  <r>
    <d v="2014-12-16T00:00:00"/>
    <n v="166037.92572951369"/>
    <n v="179571.12907994099"/>
    <n v="4308"/>
  </r>
  <r>
    <d v="2014-12-17T00:00:00"/>
    <n v="148910.99836015861"/>
    <n v="161137.52200304749"/>
    <n v="3865"/>
  </r>
  <r>
    <d v="2014-12-18T00:00:00"/>
    <n v="202359.14289987119"/>
    <n v="221435.76864963601"/>
    <n v="5288"/>
  </r>
  <r>
    <d v="2014-12-19T00:00:00"/>
    <n v="274343.65434523381"/>
    <n v="299516.83776498272"/>
    <n v="7141"/>
  </r>
  <r>
    <d v="2014-12-20T00:00:00"/>
    <n v="316167.07465857267"/>
    <n v="346378.30476784823"/>
    <n v="8268"/>
  </r>
  <r>
    <d v="2014-12-21T00:00:00"/>
    <n v="173833.40012841369"/>
    <n v="190644.50156869169"/>
    <n v="4541"/>
  </r>
  <r>
    <d v="2014-12-22T00:00:00"/>
    <n v="204565.08183541149"/>
    <n v="210188.9094104479"/>
    <n v="5014"/>
  </r>
  <r>
    <d v="2014-12-23T00:00:00"/>
    <n v="316394.73085730919"/>
    <n v="326627.13841637562"/>
    <n v="7778"/>
  </r>
  <r>
    <d v="2014-12-24T00:00:00"/>
    <n v="486230.32019362762"/>
    <n v="495909.08956339589"/>
    <n v="11809"/>
  </r>
  <r>
    <d v="2014-12-25T00:00:00"/>
    <n v="137686.53210060639"/>
    <n v="140525.78674110339"/>
    <n v="3344"/>
  </r>
  <r>
    <d v="2014-12-26T00:00:00"/>
    <n v="48102.962409030253"/>
    <n v="49028.365072183813"/>
    <n v="1169"/>
  </r>
  <r>
    <d v="2014-12-27T00:00:00"/>
    <n v="110162.1319825481"/>
    <n v="112383.5592473063"/>
    <n v="2676"/>
  </r>
  <r>
    <d v="2014-12-28T00:00:00"/>
    <n v="69051.33709342037"/>
    <n v="70482.717802969084"/>
    <n v="1677"/>
  </r>
  <r>
    <d v="2014-12-29T00:00:00"/>
    <n v="133307.3689628276"/>
    <n v="136003.48252575181"/>
    <n v="3237"/>
  </r>
  <r>
    <d v="2014-12-30T00:00:00"/>
    <n v="216389.504268855"/>
    <n v="235723.76475390821"/>
    <n v="5607"/>
  </r>
  <r>
    <d v="2014-12-31T00:00:00"/>
    <n v="365055.31201272178"/>
    <n v="398013.34833037207"/>
    <n v="9464"/>
  </r>
  <r>
    <d v="2015-01-01T00:00:00"/>
    <n v="112161.419616753"/>
    <n v="122170.43168462771"/>
    <n v="2905"/>
  </r>
  <r>
    <d v="2015-01-02T00:00:00"/>
    <n v="271101.46167031268"/>
    <n v="295019.46942959027"/>
    <n v="7023"/>
  </r>
  <r>
    <d v="2015-01-03T00:00:00"/>
    <n v="245813.288312124"/>
    <n v="267734.72525537072"/>
    <n v="6371"/>
  </r>
  <r>
    <d v="2015-01-04T00:00:00"/>
    <n v="178394.81199754871"/>
    <n v="194427.44797350231"/>
    <n v="4624"/>
  </r>
  <r>
    <d v="2015-01-05T00:00:00"/>
    <n v="220443.631484265"/>
    <n v="239988.0274603873"/>
    <n v="5717"/>
  </r>
  <r>
    <d v="2015-01-06T00:00:00"/>
    <n v="181534.1886726786"/>
    <n v="197328.94391081069"/>
    <n v="4705"/>
  </r>
  <r>
    <d v="2015-01-07T00:00:00"/>
    <n v="83176.481393400245"/>
    <n v="84728.831196631072"/>
    <n v="2020"/>
  </r>
  <r>
    <d v="2015-01-08T00:00:00"/>
    <n v="76894.779348705371"/>
    <n v="78468.095499687464"/>
    <n v="1868"/>
  </r>
  <r>
    <d v="2015-01-09T00:00:00"/>
    <n v="123859.3879567376"/>
    <n v="126444.1425182809"/>
    <n v="3008"/>
  </r>
  <r>
    <d v="2015-01-10T00:00:00"/>
    <n v="120807.5741583273"/>
    <n v="123392.8040677807"/>
    <n v="2934"/>
  </r>
  <r>
    <d v="2015-01-11T00:00:00"/>
    <n v="69597.36734933038"/>
    <n v="71051.363502932756"/>
    <n v="1690"/>
  </r>
  <r>
    <d v="2015-01-12T00:00:00"/>
    <n v="84738.294411260125"/>
    <n v="86467.537750281685"/>
    <n v="2058"/>
  </r>
  <r>
    <d v="2015-01-13T00:00:00"/>
    <n v="64653.972138140372"/>
    <n v="65980.422089859814"/>
    <n v="1570"/>
  </r>
  <r>
    <d v="2015-01-14T00:00:00"/>
    <n v="59553.386031020251"/>
    <n v="60703.356028777598"/>
    <n v="1446"/>
  </r>
  <r>
    <d v="2015-01-15T00:00:00"/>
    <n v="79080.756957730366"/>
    <n v="80337.748312174546"/>
    <n v="1921"/>
  </r>
  <r>
    <d v="2015-01-16T00:00:00"/>
    <n v="149444.05678745391"/>
    <n v="152030.98648053521"/>
    <n v="3629"/>
  </r>
  <r>
    <d v="2015-01-17T00:00:00"/>
    <n v="170624.0799358915"/>
    <n v="173547.0271100424"/>
    <n v="4144"/>
  </r>
  <r>
    <d v="2015-01-18T00:00:00"/>
    <n v="74744.283149260489"/>
    <n v="76003.928254213824"/>
    <n v="1815"/>
  </r>
  <r>
    <d v="2015-01-19T00:00:00"/>
    <n v="90144.161401489764"/>
    <n v="91110.969347994804"/>
    <n v="2189"/>
  </r>
  <r>
    <d v="2015-01-20T00:00:00"/>
    <n v="97826.808800979037"/>
    <n v="99134.30698859354"/>
    <n v="2376"/>
  </r>
  <r>
    <d v="2015-01-21T00:00:00"/>
    <n v="62795.97914592037"/>
    <n v="64144.088875245921"/>
    <n v="1525"/>
  </r>
  <r>
    <d v="2015-01-22T00:00:00"/>
    <n v="66550.989827080368"/>
    <n v="67952.150554841501"/>
    <n v="1616"/>
  </r>
  <r>
    <d v="2015-01-23T00:00:00"/>
    <n v="154670.89070075389"/>
    <n v="158031.79104317201"/>
    <n v="3757"/>
  </r>
  <r>
    <d v="2015-01-24T00:00:00"/>
    <n v="158722.10562536391"/>
    <n v="162082.4184385144"/>
    <n v="3855"/>
  </r>
  <r>
    <d v="2015-01-25T00:00:00"/>
    <n v="78092.276922030491"/>
    <n v="79795.0431031607"/>
    <n v="1897"/>
  </r>
  <r>
    <d v="2015-01-26T00:00:00"/>
    <n v="91830.402043779875"/>
    <n v="93808.086746872388"/>
    <n v="2230"/>
  </r>
  <r>
    <d v="2015-01-27T00:00:00"/>
    <n v="76992.935683210482"/>
    <n v="78614.457753375827"/>
    <n v="1870"/>
  </r>
  <r>
    <d v="2015-01-28T00:00:00"/>
    <n v="59897.71587994037"/>
    <n v="61194.180255889572"/>
    <n v="1455"/>
  </r>
  <r>
    <d v="2015-01-29T00:00:00"/>
    <n v="57310.194042320363"/>
    <n v="58531.41098518647"/>
    <n v="1392"/>
  </r>
  <r>
    <d v="2015-01-30T00:00:00"/>
    <n v="134540.2144657376"/>
    <n v="137221.53747357719"/>
    <n v="3268"/>
  </r>
  <r>
    <d v="2015-01-31T00:00:00"/>
    <n v="200193.61199916029"/>
    <n v="203814.73638908501"/>
    <n v="4862"/>
  </r>
  <r>
    <d v="2015-02-01T00:00:00"/>
    <n v="171469.93052966279"/>
    <n v="174652.45798996431"/>
    <n v="4165"/>
  </r>
  <r>
    <d v="2015-02-02T00:00:00"/>
    <n v="151737.21883246521"/>
    <n v="154148.5988130215"/>
    <n v="3685"/>
  </r>
  <r>
    <d v="2015-02-03T00:00:00"/>
    <n v="102072.4434055789"/>
    <n v="103634.964229016"/>
    <n v="2479"/>
  </r>
  <r>
    <d v="2015-02-04T00:00:00"/>
    <n v="82514.105120030377"/>
    <n v="83232.391367362128"/>
    <n v="2005"/>
  </r>
  <r>
    <d v="2015-02-05T00:00:00"/>
    <n v="46211.332458070247"/>
    <n v="46407.299117268973"/>
    <n v="1122"/>
  </r>
  <r>
    <d v="2015-02-06T00:00:00"/>
    <n v="85730.414810460134"/>
    <n v="85765.709336061569"/>
    <n v="2082"/>
  </r>
  <r>
    <d v="2015-02-07T00:00:00"/>
    <n v="105918.2932906084"/>
    <n v="105662.5562409002"/>
    <n v="2573"/>
  </r>
  <r>
    <d v="2015-02-08T00:00:00"/>
    <n v="73041.660871220491"/>
    <n v="73046.233899676779"/>
    <n v="1774"/>
  </r>
  <r>
    <d v="2015-02-09T00:00:00"/>
    <n v="97908.547096098671"/>
    <n v="97097.936590193072"/>
    <n v="2378"/>
  </r>
  <r>
    <d v="2015-02-10T00:00:00"/>
    <n v="138667.4159111364"/>
    <n v="148522.8490204199"/>
    <n v="3677"/>
  </r>
  <r>
    <d v="2015-02-11T00:00:00"/>
    <n v="162162.103518324"/>
    <n v="173661.82783508641"/>
    <n v="4299"/>
  </r>
  <r>
    <d v="2015-02-12T00:00:00"/>
    <n v="138520.1268039264"/>
    <n v="147756.34279381519"/>
    <n v="3674"/>
  </r>
  <r>
    <d v="2015-02-13T00:00:00"/>
    <n v="358597.42850915849"/>
    <n v="382447.08041708497"/>
    <n v="9505"/>
  </r>
  <r>
    <d v="2015-02-14T00:00:00"/>
    <n v="424009.8825170612"/>
    <n v="451548.0275596244"/>
    <n v="11237"/>
  </r>
  <r>
    <d v="2015-02-15T00:00:00"/>
    <n v="203861.47237812541"/>
    <n v="217065.61516082729"/>
    <n v="5406"/>
  </r>
  <r>
    <d v="2015-02-16T00:00:00"/>
    <n v="220506.20933281549"/>
    <n v="234723.22004532229"/>
    <n v="5846"/>
  </r>
  <r>
    <d v="2015-02-17T00:00:00"/>
    <n v="139935.9369763452"/>
    <n v="148697.54369598959"/>
    <n v="3713"/>
  </r>
  <r>
    <d v="2015-02-18T00:00:00"/>
    <n v="161064.75234488389"/>
    <n v="170739.36662316829"/>
    <n v="4270"/>
  </r>
  <r>
    <d v="2015-02-19T00:00:00"/>
    <n v="144328.54518998519"/>
    <n v="152824.1148984046"/>
    <n v="3827"/>
  </r>
  <r>
    <d v="2015-02-20T00:00:00"/>
    <n v="293071.75919640332"/>
    <n v="310240.37839534058"/>
    <n v="7770"/>
  </r>
  <r>
    <d v="2015-02-21T00:00:00"/>
    <n v="267782.15396190819"/>
    <n v="283430.33683376323"/>
    <n v="7102"/>
  </r>
  <r>
    <d v="2015-02-22T00:00:00"/>
    <n v="136052.68842362519"/>
    <n v="144020.1227597401"/>
    <n v="3608"/>
  </r>
  <r>
    <d v="2015-02-23T00:00:00"/>
    <n v="86703.314090379165"/>
    <n v="85730.966539282686"/>
    <n v="2150"/>
  </r>
  <r>
    <d v="2015-02-24T00:00:00"/>
    <n v="95474.357369099642"/>
    <n v="100867.5240607559"/>
    <n v="2530"/>
  </r>
  <r>
    <d v="2015-02-25T00:00:00"/>
    <n v="198431.62752698149"/>
    <n v="209499.79410912099"/>
    <n v="5253"/>
  </r>
  <r>
    <d v="2015-02-26T00:00:00"/>
    <n v="157291.73399894519"/>
    <n v="166305.03762747039"/>
    <n v="4171"/>
  </r>
  <r>
    <d v="2015-02-27T00:00:00"/>
    <n v="307540.67515623698"/>
    <n v="324997.33647802821"/>
    <n v="8156"/>
  </r>
  <r>
    <d v="2015-02-28T00:00:00"/>
    <n v="350898.76351026969"/>
    <n v="375030.63545205921"/>
    <n v="9296"/>
  </r>
  <r>
    <d v="2015-03-01T00:00:00"/>
    <n v="256701.54273334061"/>
    <n v="276569.25039235951"/>
    <n v="6803"/>
  </r>
  <r>
    <d v="2015-03-02T00:00:00"/>
    <n v="234705.592779103"/>
    <n v="252709.82306975979"/>
    <n v="6221"/>
  </r>
  <r>
    <d v="2015-03-03T00:00:00"/>
    <n v="249380.5654475792"/>
    <n v="268761.83235694439"/>
    <n v="6611"/>
  </r>
  <r>
    <d v="2015-03-04T00:00:00"/>
    <n v="258211.44416769789"/>
    <n v="278825.60667853651"/>
    <n v="6843"/>
  </r>
  <r>
    <d v="2015-03-05T00:00:00"/>
    <n v="145975.83394282509"/>
    <n v="157578.00586652799"/>
    <n v="3858"/>
  </r>
  <r>
    <d v="2015-03-06T00:00:00"/>
    <n v="269239.85258366819"/>
    <n v="291365.01755439863"/>
    <n v="7128"/>
  </r>
  <r>
    <d v="2015-03-07T00:00:00"/>
    <n v="306920.21160129207"/>
    <n v="332242.411551486"/>
    <n v="8127"/>
  </r>
  <r>
    <d v="2015-03-08T00:00:00"/>
    <n v="122106.7956223864"/>
    <n v="121394.8122011722"/>
    <n v="2966"/>
  </r>
  <r>
    <d v="2015-03-09T00:00:00"/>
    <n v="117661.2807925471"/>
    <n v="116861.1582735515"/>
    <n v="2858"/>
  </r>
  <r>
    <d v="2015-03-10T00:00:00"/>
    <n v="62499.799171560371"/>
    <n v="62073.872654165207"/>
    <n v="1518"/>
  </r>
  <r>
    <d v="2015-03-11T00:00:00"/>
    <n v="57063.98412427037"/>
    <n v="56638.281370608107"/>
    <n v="1386"/>
  </r>
  <r>
    <d v="2015-03-12T00:00:00"/>
    <n v="48008.482841660247"/>
    <n v="47681.672078871583"/>
    <n v="1166"/>
  </r>
  <r>
    <d v="2015-03-13T00:00:00"/>
    <n v="117446.83911330831"/>
    <n v="116681.1415516587"/>
    <n v="2853"/>
  </r>
  <r>
    <d v="2015-03-14T00:00:00"/>
    <n v="150591.5479008352"/>
    <n v="149573.8275926896"/>
    <n v="3657"/>
  </r>
  <r>
    <d v="2015-03-15T00:00:00"/>
    <n v="67152.474953640369"/>
    <n v="66802.983217839879"/>
    <n v="1631"/>
  </r>
  <r>
    <d v="2015-03-16T00:00:00"/>
    <n v="80635.289248590489"/>
    <n v="80121.290522541603"/>
    <n v="1959"/>
  </r>
  <r>
    <d v="2015-03-17T00:00:00"/>
    <n v="50669.637098340369"/>
    <n v="50308.957054208033"/>
    <n v="1230"/>
  </r>
  <r>
    <d v="2015-03-18T00:00:00"/>
    <n v="48648.992664940248"/>
    <n v="48362.068791947771"/>
    <n v="1182"/>
  </r>
  <r>
    <d v="2015-03-19T00:00:00"/>
    <n v="43213.177617650254"/>
    <n v="42981.216847754557"/>
    <n v="1050"/>
  </r>
  <r>
    <d v="2015-03-20T00:00:00"/>
    <n v="96881.018094589395"/>
    <n v="96453.287284883205"/>
    <n v="2353"/>
  </r>
  <r>
    <d v="2015-03-21T00:00:00"/>
    <n v="121360.8851412364"/>
    <n v="120829.2879710704"/>
    <n v="2947"/>
  </r>
  <r>
    <d v="2015-03-22T00:00:00"/>
    <n v="66954.366371970376"/>
    <n v="66756.376443642119"/>
    <n v="1626"/>
  </r>
  <r>
    <d v="2015-03-23T00:00:00"/>
    <n v="81342.150763930375"/>
    <n v="81132.012897235923"/>
    <n v="1976"/>
  </r>
  <r>
    <d v="2015-03-24T00:00:00"/>
    <n v="125060.7079117364"/>
    <n v="136375.1527135167"/>
    <n v="3312"/>
  </r>
  <r>
    <d v="2015-03-25T00:00:00"/>
    <n v="253218.83124198421"/>
    <n v="276194.82948404271"/>
    <n v="6704"/>
  </r>
  <r>
    <d v="2015-03-26T00:00:00"/>
    <n v="229184.47188046671"/>
    <n v="250361.15020932569"/>
    <n v="6077"/>
  </r>
  <r>
    <d v="2015-03-27T00:00:00"/>
    <n v="354191.35095056967"/>
    <n v="386464.65132698609"/>
    <n v="9386"/>
  </r>
  <r>
    <d v="2015-03-28T00:00:00"/>
    <n v="459484.66663548641"/>
    <n v="501362.57249034831"/>
    <n v="12181"/>
  </r>
  <r>
    <d v="2015-03-29T00:00:00"/>
    <n v="224102.88847081421"/>
    <n v="244359.80746223289"/>
    <n v="5937"/>
  </r>
  <r>
    <d v="2015-03-30T00:00:00"/>
    <n v="215203.5587823579"/>
    <n v="234819.44742668921"/>
    <n v="5706"/>
  </r>
  <r>
    <d v="2015-03-31T00:00:00"/>
    <n v="355534.91204206698"/>
    <n v="386988.91474848392"/>
    <n v="9421"/>
  </r>
  <r>
    <d v="2015-04-01T00:00:00"/>
    <n v="498894.34393015638"/>
    <n v="542483.83580550889"/>
    <n v="13207"/>
  </r>
  <r>
    <d v="2015-04-02T00:00:00"/>
    <n v="715032.18987024296"/>
    <n v="777522.19275101577"/>
    <n v="18936"/>
  </r>
  <r>
    <d v="2015-04-03T00:00:00"/>
    <n v="510289.21560512908"/>
    <n v="554159.81941342691"/>
    <n v="13503"/>
  </r>
  <r>
    <d v="2015-04-04T00:00:00"/>
    <n v="400302.03949241102"/>
    <n v="434872.72891034582"/>
    <n v="10600"/>
  </r>
  <r>
    <d v="2015-04-05T00:00:00"/>
    <n v="135578.20344503759"/>
    <n v="147335.92505366591"/>
    <n v="3591"/>
  </r>
  <r>
    <d v="2015-04-06T00:00:00"/>
    <n v="182466.2552086603"/>
    <n v="198405.2291123257"/>
    <n v="4836"/>
  </r>
  <r>
    <d v="2015-04-07T00:00:00"/>
    <n v="176814.2025694703"/>
    <n v="178390.14906155379"/>
    <n v="4348"/>
  </r>
  <r>
    <d v="2015-04-08T00:00:00"/>
    <n v="100917.67156519881"/>
    <n v="100579.12894836511"/>
    <n v="2451"/>
  </r>
  <r>
    <d v="2015-04-09T00:00:00"/>
    <n v="74690.672729450496"/>
    <n v="74427.585972183966"/>
    <n v="1814"/>
  </r>
  <r>
    <d v="2015-04-10T00:00:00"/>
    <n v="114067.0771017275"/>
    <n v="113653.97356322029"/>
    <n v="2770"/>
  </r>
  <r>
    <d v="2015-04-11T00:00:00"/>
    <n v="126507.8009411664"/>
    <n v="126043.76915933751"/>
    <n v="3072"/>
  </r>
  <r>
    <d v="2015-04-12T00:00:00"/>
    <n v="79648.629394640506"/>
    <n v="79349.402451342714"/>
    <n v="1934"/>
  </r>
  <r>
    <d v="2015-04-13T00:00:00"/>
    <n v="83137.432427590247"/>
    <n v="82700.354170302948"/>
    <n v="2019"/>
  </r>
  <r>
    <d v="2015-04-14T00:00:00"/>
    <n v="40776.027061670247"/>
    <n v="39940.199579223197"/>
    <n v="979"/>
  </r>
  <r>
    <d v="2015-04-15T00:00:00"/>
    <n v="58278.457926050367"/>
    <n v="56969.922594239448"/>
    <n v="1398"/>
  </r>
  <r>
    <d v="2015-04-16T00:00:00"/>
    <n v="50000.101443420237"/>
    <n v="48827.885381172753"/>
    <n v="1198"/>
  </r>
  <r>
    <d v="2015-04-17T00:00:00"/>
    <n v="103911.9190821282"/>
    <n v="101408.94958672021"/>
    <n v="2485"/>
  </r>
  <r>
    <d v="2015-04-18T00:00:00"/>
    <n v="132843.22261657639"/>
    <n v="129545.5321235172"/>
    <n v="3172"/>
  </r>
  <r>
    <d v="2015-04-19T00:00:00"/>
    <n v="62786.611277180004"/>
    <n v="61213.255905066573"/>
    <n v="1497"/>
  </r>
  <r>
    <d v="2015-04-20T00:00:00"/>
    <n v="57233.406641560126"/>
    <n v="55706.875425596532"/>
    <n v="1365"/>
  </r>
  <r>
    <d v="2015-04-21T00:00:00"/>
    <n v="56874.345455010007"/>
    <n v="55172.171225548656"/>
    <n v="1353"/>
  </r>
  <r>
    <d v="2015-04-22T00:00:00"/>
    <n v="132737.73701689861"/>
    <n v="140263.9301023919"/>
    <n v="3439"/>
  </r>
  <r>
    <d v="2015-04-23T00:00:00"/>
    <n v="60310.338948120007"/>
    <n v="58446.054929901373"/>
    <n v="1434"/>
  </r>
  <r>
    <d v="2015-04-24T00:00:00"/>
    <n v="343587.00847871922"/>
    <n v="362390.59604190831"/>
    <n v="8892"/>
  </r>
  <r>
    <d v="2015-04-25T00:00:00"/>
    <n v="496882.31502370269"/>
    <n v="535306.00987018819"/>
    <n v="13144"/>
  </r>
  <r>
    <d v="2015-04-26T00:00:00"/>
    <n v="200369.82986166119"/>
    <n v="210964.76808699651"/>
    <n v="5179"/>
  </r>
  <r>
    <d v="2015-04-27T00:00:00"/>
    <n v="194028.06181921621"/>
    <n v="204053.49893464721"/>
    <n v="5014"/>
  </r>
  <r>
    <d v="2015-04-28T00:00:00"/>
    <n v="190560.57918183241"/>
    <n v="200804.03684509991"/>
    <n v="4936"/>
  </r>
  <r>
    <d v="2015-04-29T00:00:00"/>
    <n v="198985.3996226124"/>
    <n v="209483.87580877281"/>
    <n v="5150"/>
  </r>
  <r>
    <d v="2015-04-30T00:00:00"/>
    <n v="385482.8720257082"/>
    <n v="406252.00759341638"/>
    <n v="9986"/>
  </r>
  <r>
    <d v="2015-05-01T00:00:00"/>
    <n v="499703.41471803008"/>
    <n v="526206.93717221648"/>
    <n v="12937"/>
  </r>
  <r>
    <d v="2015-05-02T00:00:00"/>
    <n v="461667.00388101261"/>
    <n v="496852.8019930757"/>
    <n v="12217"/>
  </r>
  <r>
    <d v="2015-05-03T00:00:00"/>
    <n v="259541.60872151391"/>
    <n v="273280.04637040471"/>
    <n v="6721"/>
  </r>
  <r>
    <d v="2015-05-04T00:00:00"/>
    <n v="320309.27440158668"/>
    <n v="336742.60236538568"/>
    <n v="8283"/>
  </r>
  <r>
    <d v="2015-05-05T00:00:00"/>
    <n v="239922.99815095021"/>
    <n v="251700.96640120179"/>
    <n v="6191"/>
  </r>
  <r>
    <d v="2015-05-06T00:00:00"/>
    <n v="224994.1950701554"/>
    <n v="242259.85953966621"/>
    <n v="5959"/>
  </r>
  <r>
    <d v="2015-05-07T00:00:00"/>
    <n v="117197.9717299037"/>
    <n v="115769.08632788141"/>
    <n v="2848"/>
  </r>
  <r>
    <d v="2015-05-08T00:00:00"/>
    <n v="330589.1998128597"/>
    <n v="355565.04173447768"/>
    <n v="8748"/>
  </r>
  <r>
    <d v="2015-05-09T00:00:00"/>
    <n v="389972.11975571001"/>
    <n v="419827.1365222265"/>
    <n v="10329"/>
  </r>
  <r>
    <d v="2015-05-10T00:00:00"/>
    <n v="166536.00026357031"/>
    <n v="179243.05183339989"/>
    <n v="4410"/>
  </r>
  <r>
    <d v="2015-05-11T00:00:00"/>
    <n v="198442.91265382789"/>
    <n v="213676.42842593021"/>
    <n v="5257"/>
  </r>
  <r>
    <d v="2015-05-12T00:00:00"/>
    <n v="193182.15055271279"/>
    <n v="208039.1734455548"/>
    <n v="5118"/>
  </r>
  <r>
    <d v="2015-05-13T00:00:00"/>
    <n v="166403.12699582271"/>
    <n v="179221.57229364"/>
    <n v="4410"/>
  </r>
  <r>
    <d v="2015-05-14T00:00:00"/>
    <n v="149178.60148103401"/>
    <n v="160620.2071408729"/>
    <n v="3952"/>
  </r>
  <r>
    <d v="2015-05-15T00:00:00"/>
    <n v="380592.57758342719"/>
    <n v="409812.43266368861"/>
    <n v="10084"/>
  </r>
  <r>
    <d v="2015-05-16T00:00:00"/>
    <n v="413700.17893234122"/>
    <n v="445569.71910740522"/>
    <n v="10964"/>
  </r>
  <r>
    <d v="2015-05-17T00:00:00"/>
    <n v="177159.67306561911"/>
    <n v="190811.57794423791"/>
    <n v="4695"/>
  </r>
  <r>
    <d v="2015-05-18T00:00:00"/>
    <n v="196420.7635368479"/>
    <n v="211510.78612034491"/>
    <n v="5205"/>
  </r>
  <r>
    <d v="2015-05-19T00:00:00"/>
    <n v="137940.87216380521"/>
    <n v="147846.05216339661"/>
    <n v="3638"/>
  </r>
  <r>
    <d v="2015-05-20T00:00:00"/>
    <n v="166176.2838115927"/>
    <n v="178568.18048077749"/>
    <n v="4394"/>
  </r>
  <r>
    <d v="2015-05-21T00:00:00"/>
    <n v="84604.377572639161"/>
    <n v="81763.267389330111"/>
    <n v="2012"/>
  </r>
  <r>
    <d v="2015-05-22T00:00:00"/>
    <n v="321821.02028676088"/>
    <n v="346487.52033416741"/>
    <n v="8526"/>
  </r>
  <r>
    <d v="2015-05-23T00:00:00"/>
    <n v="418715.41064993001"/>
    <n v="450936.27926429448"/>
    <n v="11096"/>
  </r>
  <r>
    <d v="2015-05-24T00:00:00"/>
    <n v="169541.26594736151"/>
    <n v="182419.1414416233"/>
    <n v="4489"/>
  </r>
  <r>
    <d v="2015-05-25T00:00:00"/>
    <n v="256434.50993607429"/>
    <n v="276173.7924514967"/>
    <n v="6795"/>
  </r>
  <r>
    <d v="2015-05-26T00:00:00"/>
    <n v="199385.91241487031"/>
    <n v="214719.75281922091"/>
    <n v="5283"/>
  </r>
  <r>
    <d v="2015-05-27T00:00:00"/>
    <n v="243554.22433855539"/>
    <n v="262251.08007940761"/>
    <n v="6453"/>
  </r>
  <r>
    <d v="2015-05-28T00:00:00"/>
    <n v="217746.01291984669"/>
    <n v="234483.41700980731"/>
    <n v="5770"/>
  </r>
  <r>
    <d v="2015-05-29T00:00:00"/>
    <n v="472160.75210974878"/>
    <n v="508265.14697374182"/>
    <n v="12507"/>
  </r>
  <r>
    <d v="2015-05-30T00:00:00"/>
    <n v="546135.46241509903"/>
    <n v="588250.18115078332"/>
    <n v="14475"/>
  </r>
  <r>
    <d v="2015-05-31T00:00:00"/>
    <n v="264637.36527971062"/>
    <n v="284828.65965624881"/>
    <n v="7009"/>
  </r>
  <r>
    <d v="2015-06-01T00:00:00"/>
    <n v="440905.99870597001"/>
    <n v="474967.32763121481"/>
    <n v="11688"/>
  </r>
  <r>
    <d v="2015-06-02T00:00:00"/>
    <n v="334318.89783315209"/>
    <n v="360168.82707700803"/>
    <n v="8863"/>
  </r>
  <r>
    <d v="2015-06-03T00:00:00"/>
    <n v="269835.82862680301"/>
    <n v="290492.10628032242"/>
    <n v="7148"/>
  </r>
  <r>
    <d v="2015-06-04T00:00:00"/>
    <n v="201146.4892798303"/>
    <n v="216428.50043796099"/>
    <n v="5326"/>
  </r>
  <r>
    <d v="2015-06-05T00:00:00"/>
    <n v="293461.08393818582"/>
    <n v="315937.86219659372"/>
    <n v="7775"/>
  </r>
  <r>
    <d v="2015-06-06T00:00:00"/>
    <n v="349413.00982046733"/>
    <n v="376094.7218058327"/>
    <n v="9255"/>
  </r>
  <r>
    <d v="2015-06-07T00:00:00"/>
    <n v="179602.91516319031"/>
    <n v="193348.59144622891"/>
    <n v="4758"/>
  </r>
  <r>
    <d v="2015-06-08T00:00:00"/>
    <n v="109810.54567571809"/>
    <n v="106166.08162125781"/>
    <n v="2613"/>
  </r>
  <r>
    <d v="2015-06-09T00:00:00"/>
    <n v="76956.920353649635"/>
    <n v="74212.790574549421"/>
    <n v="1830"/>
  </r>
  <r>
    <d v="2015-06-10T00:00:00"/>
    <n v="71199.588402039517"/>
    <n v="68669.394963916289"/>
    <n v="1694"/>
  </r>
  <r>
    <d v="2015-06-11T00:00:00"/>
    <n v="68988.346670324769"/>
    <n v="66539.165195767971"/>
    <n v="1642"/>
  </r>
  <r>
    <d v="2015-06-12T00:00:00"/>
    <n v="155156.87922800641"/>
    <n v="149423.24358090671"/>
    <n v="3690"/>
  </r>
  <r>
    <d v="2015-06-13T00:00:00"/>
    <n v="185109.5231460139"/>
    <n v="178347.369376849"/>
    <n v="4404"/>
  </r>
  <r>
    <d v="2015-06-14T00:00:00"/>
    <n v="83779.544010808924"/>
    <n v="80659.821812082024"/>
    <n v="1992"/>
  </r>
  <r>
    <d v="2015-06-15T00:00:00"/>
    <n v="149501.57453075761"/>
    <n v="143962.87189290189"/>
    <n v="3557"/>
  </r>
  <r>
    <d v="2015-06-16T00:00:00"/>
    <n v="100477.29679260369"/>
    <n v="96810.103581569099"/>
    <n v="2395"/>
  </r>
  <r>
    <d v="2015-06-17T00:00:00"/>
    <n v="89072.705347079172"/>
    <n v="85639.307745994563"/>
    <n v="2120"/>
  </r>
  <r>
    <d v="2015-06-18T00:00:00"/>
    <n v="78746.595857519525"/>
    <n v="75673.78198741567"/>
    <n v="1875"/>
  </r>
  <r>
    <d v="2015-06-19T00:00:00"/>
    <n v="141913.38242954639"/>
    <n v="136017.75039375731"/>
    <n v="3376"/>
  </r>
  <r>
    <d v="2015-06-20T00:00:00"/>
    <n v="169304.27828351519"/>
    <n v="162287.90922482399"/>
    <n v="4027"/>
  </r>
  <r>
    <d v="2015-06-21T00:00:00"/>
    <n v="89512.242836068428"/>
    <n v="85781.807031229662"/>
    <n v="2128"/>
  </r>
  <r>
    <d v="2015-06-22T00:00:00"/>
    <n v="85984.075339139163"/>
    <n v="82427.231536907115"/>
    <n v="2046"/>
  </r>
  <r>
    <d v="2015-06-23T00:00:00"/>
    <n v="64956.462075899639"/>
    <n v="62169.777124857188"/>
    <n v="1546"/>
  </r>
  <r>
    <d v="2015-06-24T00:00:00"/>
    <n v="106613.4328354785"/>
    <n v="113428.4742746674"/>
    <n v="2822"/>
  </r>
  <r>
    <d v="2015-06-25T00:00:00"/>
    <n v="183843.81729524271"/>
    <n v="195365.7307199428"/>
    <n v="4865"/>
  </r>
  <r>
    <d v="2015-06-26T00:00:00"/>
    <n v="319579.79409435572"/>
    <n v="339241.69180245663"/>
    <n v="8450"/>
  </r>
  <r>
    <d v="2015-06-27T00:00:00"/>
    <n v="369245.75870664971"/>
    <n v="392017.97345098661"/>
    <n v="9770"/>
  </r>
  <r>
    <d v="2015-06-28T00:00:00"/>
    <n v="185648.49109673029"/>
    <n v="197095.1087429694"/>
    <n v="4914"/>
  </r>
  <r>
    <d v="2015-06-29T00:00:00"/>
    <n v="165557.76178385271"/>
    <n v="175871.11092052259"/>
    <n v="4385"/>
  </r>
  <r>
    <d v="2015-06-30T00:00:00"/>
    <n v="212465.0832049415"/>
    <n v="225678.93452530191"/>
    <n v="5627"/>
  </r>
  <r>
    <d v="2015-07-01T00:00:00"/>
    <n v="305231.90808635822"/>
    <n v="324248.84149134008"/>
    <n v="8086"/>
  </r>
  <r>
    <d v="2015-07-02T00:00:00"/>
    <n v="250481.61765724421"/>
    <n v="266061.92835854058"/>
    <n v="6639"/>
  </r>
  <r>
    <d v="2015-07-03T00:00:00"/>
    <n v="268410.4807020094"/>
    <n v="284592.99466123187"/>
    <n v="7104"/>
  </r>
  <r>
    <d v="2015-07-04T00:00:00"/>
    <n v="316365.49873839208"/>
    <n v="335025.07636012638"/>
    <n v="8364"/>
  </r>
  <r>
    <d v="2015-07-05T00:00:00"/>
    <n v="156873.04365826401"/>
    <n v="165968.6245016396"/>
    <n v="4146"/>
  </r>
  <r>
    <d v="2015-07-06T00:00:00"/>
    <n v="173987.75154080149"/>
    <n v="184188.97897635491"/>
    <n v="4601"/>
  </r>
  <r>
    <d v="2015-07-07T00:00:00"/>
    <n v="135753.76604209639"/>
    <n v="143799.59868752939"/>
    <n v="3593"/>
  </r>
  <r>
    <d v="2015-07-08T00:00:00"/>
    <n v="84426.509412029525"/>
    <n v="84588.963035420922"/>
    <n v="2114"/>
  </r>
  <r>
    <d v="2015-07-09T00:00:00"/>
    <n v="70815.190285530247"/>
    <n v="71913.068580605148"/>
    <n v="1797"/>
  </r>
  <r>
    <d v="2015-07-10T00:00:00"/>
    <n v="125983.15175354639"/>
    <n v="127884.5872444484"/>
    <n v="3195"/>
  </r>
  <r>
    <d v="2015-07-11T00:00:00"/>
    <n v="142378.1840412264"/>
    <n v="143924.56511903761"/>
    <n v="3595"/>
  </r>
  <r>
    <d v="2015-07-12T00:00:00"/>
    <n v="57427.680707010128"/>
    <n v="58723.040531751663"/>
    <n v="1467"/>
  </r>
  <r>
    <d v="2015-07-13T00:00:00"/>
    <n v="63331.33100223037"/>
    <n v="64690.059069980809"/>
    <n v="1610"/>
  </r>
  <r>
    <d v="2015-07-14T00:00:00"/>
    <n v="51241.02855330037"/>
    <n v="52509.916219996157"/>
    <n v="1307"/>
  </r>
  <r>
    <d v="2015-07-15T00:00:00"/>
    <n v="80326.440809250256"/>
    <n v="81730.270702131005"/>
    <n v="2050"/>
  </r>
  <r>
    <d v="2015-07-16T00:00:00"/>
    <n v="71912.565728060246"/>
    <n v="73762.629173268782"/>
    <n v="1849"/>
  </r>
  <r>
    <d v="2015-07-17T00:00:00"/>
    <n v="119204.3095347464"/>
    <n v="122669.6994279253"/>
    <n v="3070"/>
  </r>
  <r>
    <d v="2015-07-18T00:00:00"/>
    <n v="129441.27865673639"/>
    <n v="132493.4315208937"/>
    <n v="3322"/>
  </r>
  <r>
    <d v="2015-07-19T00:00:00"/>
    <n v="77645.749935120242"/>
    <n v="79555.63473624234"/>
    <n v="1982"/>
  </r>
  <r>
    <d v="2015-07-20T00:00:00"/>
    <n v="69926.650362450004"/>
    <n v="71362.517838136861"/>
    <n v="1787"/>
  </r>
  <r>
    <d v="2015-07-21T00:00:00"/>
    <n v="71973.044300340131"/>
    <n v="73851.78839873473"/>
    <n v="1846"/>
  </r>
  <r>
    <d v="2015-07-22T00:00:00"/>
    <n v="44304.898362210253"/>
    <n v="45468.836976009428"/>
    <n v="1142"/>
  </r>
  <r>
    <d v="2015-07-23T00:00:00"/>
    <n v="66799.723730490499"/>
    <n v="69323.647871911555"/>
    <n v="1734"/>
  </r>
  <r>
    <d v="2015-07-24T00:00:00"/>
    <n v="125689.59284090641"/>
    <n v="130428.2263951168"/>
    <n v="3259"/>
  </r>
  <r>
    <d v="2015-07-25T00:00:00"/>
    <n v="138624.94500363519"/>
    <n v="143537.39521883641"/>
    <n v="3572"/>
  </r>
  <r>
    <d v="2015-07-26T00:00:00"/>
    <n v="81715.045331780377"/>
    <n v="85089.22343005694"/>
    <n v="2109"/>
  </r>
  <r>
    <d v="2015-07-27T00:00:00"/>
    <n v="86842.861357880131"/>
    <n v="90242.794097153615"/>
    <n v="2242"/>
  </r>
  <r>
    <d v="2015-07-28T00:00:00"/>
    <n v="56976.785283900383"/>
    <n v="59094.076857821427"/>
    <n v="1474"/>
  </r>
  <r>
    <d v="2015-07-29T00:00:00"/>
    <n v="53433.668027530373"/>
    <n v="55516.525562079609"/>
    <n v="1381"/>
  </r>
  <r>
    <d v="2015-07-30T00:00:00"/>
    <n v="55134.081818380357"/>
    <n v="57064.750696012437"/>
    <n v="1423"/>
  </r>
  <r>
    <d v="2015-07-31T00:00:00"/>
    <n v="145033.61079266519"/>
    <n v="149876.87328204009"/>
    <n v="3740"/>
  </r>
  <r>
    <d v="2015-08-01T00:00:00"/>
    <n v="173306.90648994269"/>
    <n v="178699.97587509951"/>
    <n v="4453"/>
  </r>
  <r>
    <d v="2015-08-02T00:00:00"/>
    <n v="88154.338712390003"/>
    <n v="90828.661699823351"/>
    <n v="2258"/>
  </r>
  <r>
    <d v="2015-08-03T00:00:00"/>
    <n v="81142.027847790378"/>
    <n v="83114.57680933841"/>
    <n v="2074"/>
  </r>
  <r>
    <d v="2015-08-04T00:00:00"/>
    <n v="77672.882777740495"/>
    <n v="80417.746442173302"/>
    <n v="2007"/>
  </r>
  <r>
    <d v="2015-08-05T00:00:00"/>
    <n v="75483.422554300487"/>
    <n v="78024.284675030634"/>
    <n v="1948"/>
  </r>
  <r>
    <d v="2015-08-06T00:00:00"/>
    <n v="74354.570102040496"/>
    <n v="76978.305238407411"/>
    <n v="1922"/>
  </r>
  <r>
    <d v="2015-08-07T00:00:00"/>
    <n v="120326.876292698"/>
    <n v="123707.76157316699"/>
    <n v="3088"/>
  </r>
  <r>
    <d v="2015-08-08T00:00:00"/>
    <n v="131867.9935040164"/>
    <n v="135721.426030331"/>
    <n v="3388"/>
  </r>
  <r>
    <d v="2015-08-09T00:00:00"/>
    <n v="75504.002742620491"/>
    <n v="77978.694471478811"/>
    <n v="1944"/>
  </r>
  <r>
    <d v="2015-08-10T00:00:00"/>
    <n v="69968.077699080488"/>
    <n v="72665.725527117203"/>
    <n v="1812"/>
  </r>
  <r>
    <d v="2015-08-11T00:00:00"/>
    <n v="60187.149047280371"/>
    <n v="62538.493277924979"/>
    <n v="1563"/>
  </r>
  <r>
    <d v="2015-08-12T00:00:00"/>
    <n v="44698.700751095254"/>
    <n v="46849.567146474838"/>
    <n v="1171"/>
  </r>
  <r>
    <d v="2015-08-13T00:00:00"/>
    <n v="39463.409059930251"/>
    <n v="41414.418370139807"/>
    <n v="1035"/>
  </r>
  <r>
    <d v="2015-08-14T00:00:00"/>
    <n v="85794.096902620251"/>
    <n v="89898.894227499957"/>
    <n v="2247"/>
  </r>
  <r>
    <d v="2015-08-15T00:00:00"/>
    <n v="117288.0100538017"/>
    <n v="122504.35720229719"/>
    <n v="3068"/>
  </r>
  <r>
    <d v="2015-08-16T00:00:00"/>
    <n v="71056.061003780487"/>
    <n v="74589.172866250257"/>
    <n v="1866"/>
  </r>
  <r>
    <d v="2015-08-17T00:00:00"/>
    <n v="64394.074453330373"/>
    <n v="67505.254139283716"/>
    <n v="1690"/>
  </r>
  <r>
    <d v="2015-08-18T00:00:00"/>
    <n v="35165.972082725253"/>
    <n v="36841.967322813813"/>
    <n v="922"/>
  </r>
  <r>
    <d v="2015-08-19T00:00:00"/>
    <n v="23234.183195130121"/>
    <n v="24104.085977912531"/>
    <n v="604"/>
  </r>
  <r>
    <d v="2015-08-20T00:00:00"/>
    <n v="24754.95718180012"/>
    <n v="25407.174070346191"/>
    <n v="643"/>
  </r>
  <r>
    <d v="2015-08-21T00:00:00"/>
    <n v="76691.283029055499"/>
    <n v="78691.956315552306"/>
    <n v="2006"/>
  </r>
  <r>
    <d v="2015-08-22T00:00:00"/>
    <n v="102231.2117923578"/>
    <n v="104713.0074997764"/>
    <n v="2677"/>
  </r>
  <r>
    <d v="2015-08-23T00:00:00"/>
    <n v="56974.868025790369"/>
    <n v="57548.985153409623"/>
    <n v="1467"/>
  </r>
  <r>
    <d v="2015-08-24T00:00:00"/>
    <n v="59442.73111516537"/>
    <n v="59785.428614563789"/>
    <n v="1528"/>
  </r>
  <r>
    <d v="2015-08-25T00:00:00"/>
    <n v="217683.362264025"/>
    <n v="246975.73076564309"/>
    <n v="6360"/>
  </r>
  <r>
    <d v="2015-08-26T00:00:00"/>
    <n v="275458.8068961961"/>
    <n v="307092.27437902818"/>
    <n v="8035"/>
  </r>
  <r>
    <d v="2015-08-27T00:00:00"/>
    <n v="228731.86548652739"/>
    <n v="252845.44555357669"/>
    <n v="6675"/>
  </r>
  <r>
    <d v="2015-08-28T00:00:00"/>
    <n v="387639.11999952199"/>
    <n v="426783.30221814412"/>
    <n v="11330"/>
  </r>
  <r>
    <d v="2015-08-29T00:00:00"/>
    <n v="461188.00485173479"/>
    <n v="504578.18875722651"/>
    <n v="13484"/>
  </r>
  <r>
    <d v="2015-08-30T00:00:00"/>
    <n v="202249.67716942501"/>
    <n v="220152.1867539582"/>
    <n v="5913"/>
  </r>
  <r>
    <d v="2015-08-31T00:00:00"/>
    <n v="332559.76497908588"/>
    <n v="361970.285938652"/>
    <n v="9721"/>
  </r>
  <r>
    <d v="2015-09-01T00:00:00"/>
    <n v="384806.77158197842"/>
    <n v="418101.5975483603"/>
    <n v="11257"/>
  </r>
  <r>
    <d v="2015-09-02T00:00:00"/>
    <n v="345776.25028037588"/>
    <n v="373816.16840063431"/>
    <n v="10102"/>
  </r>
  <r>
    <d v="2015-09-03T00:00:00"/>
    <n v="271551.09510075609"/>
    <n v="293343.87397356221"/>
    <n v="7938"/>
  </r>
  <r>
    <d v="2015-09-04T00:00:00"/>
    <n v="340440.20546208572"/>
    <n v="366359.65859248448"/>
    <n v="9936"/>
  </r>
  <r>
    <d v="2015-09-05T00:00:00"/>
    <n v="364416.73158213811"/>
    <n v="392128.30126516859"/>
    <n v="10643"/>
  </r>
  <r>
    <d v="2015-09-06T00:00:00"/>
    <n v="164719.6044916152"/>
    <n v="176647.84265184921"/>
    <n v="4800"/>
  </r>
  <r>
    <d v="2015-09-07T00:00:00"/>
    <n v="178921.0993487364"/>
    <n v="192507.52873248939"/>
    <n v="5228"/>
  </r>
  <r>
    <d v="2015-09-08T00:00:00"/>
    <n v="70286.997810770496"/>
    <n v="66639.698052811495"/>
    <n v="1810"/>
  </r>
  <r>
    <d v="2015-09-09T00:00:00"/>
    <n v="76013.677901710485"/>
    <n v="72211.103174650692"/>
    <n v="1961"/>
  </r>
  <r>
    <d v="2015-09-10T00:00:00"/>
    <n v="48406.787146740236"/>
    <n v="45316.542733610833"/>
    <n v="1232"/>
  </r>
  <r>
    <d v="2015-09-11T00:00:00"/>
    <n v="85940.026940790005"/>
    <n v="81559.845623271962"/>
    <n v="2194"/>
  </r>
  <r>
    <d v="2015-09-12T00:00:00"/>
    <n v="57381.751454185367"/>
    <n v="54340.891509322857"/>
    <n v="1469"/>
  </r>
  <r>
    <d v="2015-09-13T00:00:00"/>
    <n v="32479.796394255129"/>
    <n v="30763.688117313319"/>
    <n v="829"/>
  </r>
  <r>
    <d v="2015-09-14T00:00:00"/>
    <n v="52160.18393341537"/>
    <n v="49656.007748568787"/>
    <n v="1329"/>
  </r>
  <r>
    <d v="2015-09-15T00:00:00"/>
    <n v="51002.839569495241"/>
    <n v="48601.967504707303"/>
    <n v="1300"/>
  </r>
  <r>
    <d v="2015-09-16T00:00:00"/>
    <n v="30194.715956215121"/>
    <n v="28605.46079761381"/>
    <n v="773"/>
  </r>
  <r>
    <d v="2015-09-17T00:00:00"/>
    <n v="29751.222605555118"/>
    <n v="28084.235128364078"/>
    <n v="760"/>
  </r>
  <r>
    <d v="2015-09-18T00:00:00"/>
    <n v="68504.63943753537"/>
    <n v="64881.975648256928"/>
    <n v="1755"/>
  </r>
  <r>
    <d v="2015-09-19T00:00:00"/>
    <n v="68996.561757290488"/>
    <n v="65211.57177094122"/>
    <n v="1766"/>
  </r>
  <r>
    <d v="2015-09-20T00:00:00"/>
    <n v="41855.928759400253"/>
    <n v="39629.451872277546"/>
    <n v="1078"/>
  </r>
  <r>
    <d v="2015-09-21T00:00:00"/>
    <n v="44303.466485900237"/>
    <n v="41485.458718801397"/>
    <n v="1124"/>
  </r>
  <r>
    <d v="2015-09-22T00:00:00"/>
    <n v="46599.298130810253"/>
    <n v="43806.73201043591"/>
    <n v="1182"/>
  </r>
  <r>
    <d v="2015-09-23T00:00:00"/>
    <n v="125182.7571653476"/>
    <n v="138583.8378162164"/>
    <n v="3725"/>
  </r>
  <r>
    <d v="2015-09-24T00:00:00"/>
    <n v="150036.8050416176"/>
    <n v="167704.85540677371"/>
    <n v="4492"/>
  </r>
  <r>
    <d v="2015-09-25T00:00:00"/>
    <n v="368037.69194465881"/>
    <n v="413540.807164328"/>
    <n v="11030"/>
  </r>
  <r>
    <d v="2015-09-26T00:00:00"/>
    <n v="351319.63806908001"/>
    <n v="397626.58505845559"/>
    <n v="10528"/>
  </r>
  <r>
    <d v="2015-09-27T00:00:00"/>
    <n v="163289.93666880389"/>
    <n v="185404.04401051009"/>
    <n v="4895"/>
  </r>
  <r>
    <d v="2015-09-28T00:00:00"/>
    <n v="190892.45898757639"/>
    <n v="216571.0595214621"/>
    <n v="5720"/>
  </r>
  <r>
    <d v="2015-09-29T00:00:00"/>
    <n v="143082.1332657676"/>
    <n v="162929.01847235279"/>
    <n v="4288"/>
  </r>
  <r>
    <d v="2015-09-30T00:00:00"/>
    <n v="323548.78534206882"/>
    <n v="368434.8859088649"/>
    <n v="9693"/>
  </r>
  <r>
    <d v="2015-10-01T00:00:00"/>
    <n v="402312.33315894648"/>
    <n v="459285.80452600669"/>
    <n v="12065"/>
  </r>
  <r>
    <d v="2015-10-02T00:00:00"/>
    <n v="393635.17485489399"/>
    <n v="448390.96576197422"/>
    <n v="11758"/>
  </r>
  <r>
    <d v="2015-10-03T00:00:00"/>
    <n v="451100.06007685699"/>
    <n v="515549.38991623401"/>
    <n v="13508"/>
  </r>
  <r>
    <d v="2015-10-04T00:00:00"/>
    <n v="202902.62490132521"/>
    <n v="232360.32715548939"/>
    <n v="6085"/>
  </r>
  <r>
    <d v="2015-10-05T00:00:00"/>
    <n v="294557.64636622381"/>
    <n v="336897.92240040551"/>
    <n v="8828"/>
  </r>
  <r>
    <d v="2015-10-06T00:00:00"/>
    <n v="221618.32824753021"/>
    <n v="253291.062286083"/>
    <n v="6636"/>
  </r>
  <r>
    <d v="2015-10-07T00:00:00"/>
    <n v="63968.38248018537"/>
    <n v="61942.842677746637"/>
    <n v="1622"/>
  </r>
  <r>
    <d v="2015-10-08T00:00:00"/>
    <n v="59609.544705280372"/>
    <n v="57736.476659462976"/>
    <n v="1512"/>
  </r>
  <r>
    <d v="2015-10-09T00:00:00"/>
    <n v="126588.25297451641"/>
    <n v="122622.36311479039"/>
    <n v="3211"/>
  </r>
  <r>
    <d v="2015-10-10T00:00:00"/>
    <n v="119755.01159048091"/>
    <n v="116003.6869136254"/>
    <n v="3037"/>
  </r>
  <r>
    <d v="2015-10-11T00:00:00"/>
    <n v="57413.410482090367"/>
    <n v="55617.584643929717"/>
    <n v="1456"/>
  </r>
  <r>
    <d v="2015-10-12T00:00:00"/>
    <n v="57749.13693860537"/>
    <n v="55933.008575846157"/>
    <n v="1465"/>
  </r>
  <r>
    <d v="2015-10-13T00:00:00"/>
    <n v="40140.82003455524"/>
    <n v="38881.088441786422"/>
    <n v="1018"/>
  </r>
  <r>
    <d v="2015-10-14T00:00:00"/>
    <n v="42195.817364850249"/>
    <n v="40869.24947226706"/>
    <n v="1070"/>
  </r>
  <r>
    <d v="2015-10-15T00:00:00"/>
    <n v="53490.797465390373"/>
    <n v="51799.165903400812"/>
    <n v="1357"/>
  </r>
  <r>
    <d v="2015-10-16T00:00:00"/>
    <n v="110809.3158055775"/>
    <n v="107331.98051512289"/>
    <n v="2810"/>
  </r>
  <r>
    <d v="2015-10-17T00:00:00"/>
    <n v="111527.01346960261"/>
    <n v="108023.60734392131"/>
    <n v="2829"/>
  </r>
  <r>
    <d v="2015-10-18T00:00:00"/>
    <n v="59808.138668750369"/>
    <n v="57937.458655969502"/>
    <n v="1517"/>
  </r>
  <r>
    <d v="2015-10-19T00:00:00"/>
    <n v="55166.226228085383"/>
    <n v="53436.897092784871"/>
    <n v="1399"/>
  </r>
  <r>
    <d v="2015-10-20T00:00:00"/>
    <n v="42054.680471955253"/>
    <n v="40736.150475592272"/>
    <n v="1067"/>
  </r>
  <r>
    <d v="2015-10-21T00:00:00"/>
    <n v="53678.179109280252"/>
    <n v="51999.860868195567"/>
    <n v="1361"/>
  </r>
  <r>
    <d v="2015-10-22T00:00:00"/>
    <n v="55930.168643105368"/>
    <n v="54177.690061877343"/>
    <n v="1419"/>
  </r>
  <r>
    <d v="2015-10-23T00:00:00"/>
    <n v="185771.00146306361"/>
    <n v="192527.0110099228"/>
    <n v="5042"/>
  </r>
  <r>
    <d v="2015-10-24T00:00:00"/>
    <n v="253116.91319854019"/>
    <n v="262409.56942291622"/>
    <n v="6872"/>
  </r>
  <r>
    <d v="2015-10-25T00:00:00"/>
    <n v="118618.4537021529"/>
    <n v="122915.26701698839"/>
    <n v="3218"/>
  </r>
  <r>
    <d v="2015-10-26T00:00:00"/>
    <n v="123320.78404237361"/>
    <n v="128133.7786088713"/>
    <n v="3347"/>
  </r>
  <r>
    <d v="2015-10-27T00:00:00"/>
    <n v="117051.2772154027"/>
    <n v="122175.0002727018"/>
    <n v="3177"/>
  </r>
  <r>
    <d v="2015-10-28T00:00:00"/>
    <n v="159299.98906190021"/>
    <n v="174699.07672381031"/>
    <n v="4532"/>
  </r>
  <r>
    <d v="2015-10-29T00:00:00"/>
    <n v="119047.4098679029"/>
    <n v="124349.2654892959"/>
    <n v="3231"/>
  </r>
  <r>
    <d v="2015-10-30T00:00:00"/>
    <n v="285081.97432843532"/>
    <n v="297627.69071540632"/>
    <n v="7731"/>
  </r>
  <r>
    <d v="2015-10-31T00:00:00"/>
    <n v="391656.21258357138"/>
    <n v="429832.83476080548"/>
    <n v="11148"/>
  </r>
  <r>
    <d v="2015-11-01T00:00:00"/>
    <n v="274814.77805485041"/>
    <n v="287978.17491181649"/>
    <n v="7459"/>
  </r>
  <r>
    <d v="2015-11-02T00:00:00"/>
    <n v="269555.02312096767"/>
    <n v="281915.19210462889"/>
    <n v="7316"/>
  </r>
  <r>
    <d v="2015-11-03T00:00:00"/>
    <n v="192001.03461514859"/>
    <n v="201125.7754746837"/>
    <n v="5211"/>
  </r>
  <r>
    <d v="2015-11-04T00:00:00"/>
    <n v="201367.78697700129"/>
    <n v="220579.99556067711"/>
    <n v="5731"/>
  </r>
  <r>
    <d v="2015-11-05T00:00:00"/>
    <n v="111874.5589729527"/>
    <n v="116637.034345283"/>
    <n v="3036"/>
  </r>
  <r>
    <d v="2015-11-06T00:00:00"/>
    <n v="214540.33309084759"/>
    <n v="223738.43271863071"/>
    <n v="5822"/>
  </r>
  <r>
    <d v="2015-11-07T00:00:00"/>
    <n v="280264.24446527619"/>
    <n v="306935.16039581352"/>
    <n v="7987"/>
  </r>
  <r>
    <d v="2015-11-08T00:00:00"/>
    <n v="134136.72870994979"/>
    <n v="140236.30330013481"/>
    <n v="3640"/>
  </r>
  <r>
    <d v="2015-11-09T00:00:00"/>
    <n v="94243.465527933557"/>
    <n v="89949.304171877258"/>
    <n v="2338"/>
  </r>
  <r>
    <d v="2015-11-10T00:00:00"/>
    <n v="131436.19785473641"/>
    <n v="143823.38644063799"/>
    <n v="3744"/>
  </r>
  <r>
    <d v="2015-11-11T00:00:00"/>
    <n v="147893.9414709764"/>
    <n v="161665.60055441549"/>
    <n v="4216"/>
  </r>
  <r>
    <d v="2015-11-12T00:00:00"/>
    <n v="140238.39051047139"/>
    <n v="153481.4533973026"/>
    <n v="4000"/>
  </r>
  <r>
    <d v="2015-11-13T00:00:00"/>
    <n v="358183.77400468499"/>
    <n v="391310.32068493689"/>
    <n v="10204"/>
  </r>
  <r>
    <d v="2015-11-14T00:00:00"/>
    <n v="377937.13869747258"/>
    <n v="413010.2290451295"/>
    <n v="10769"/>
  </r>
  <r>
    <d v="2015-11-15T00:00:00"/>
    <n v="168729.96240320889"/>
    <n v="184673.48850580241"/>
    <n v="4803"/>
  </r>
  <r>
    <d v="2015-11-16T00:00:00"/>
    <n v="177192.56981712021"/>
    <n v="193615.30370472989"/>
    <n v="5042"/>
  </r>
  <r>
    <d v="2015-11-17T00:00:00"/>
    <n v="152368.74909244641"/>
    <n v="166625.36501779759"/>
    <n v="4342"/>
  </r>
  <r>
    <d v="2015-11-18T00:00:00"/>
    <n v="147471.80491951641"/>
    <n v="161402.91869953019"/>
    <n v="4202"/>
  </r>
  <r>
    <d v="2015-11-19T00:00:00"/>
    <n v="145697.15198235639"/>
    <n v="159317.60939427299"/>
    <n v="4151"/>
  </r>
  <r>
    <d v="2015-11-20T00:00:00"/>
    <n v="301033.98651272239"/>
    <n v="328965.14326487982"/>
    <n v="8567"/>
  </r>
  <r>
    <d v="2015-11-21T00:00:00"/>
    <n v="309518.07207128493"/>
    <n v="338720.02362598572"/>
    <n v="8811"/>
  </r>
  <r>
    <d v="2015-11-22T00:00:00"/>
    <n v="152504.6317273539"/>
    <n v="167600.650935746"/>
    <n v="4345"/>
  </r>
  <r>
    <d v="2015-11-23T00:00:00"/>
    <n v="79711.583414100489"/>
    <n v="74375.788707864966"/>
    <n v="1937"/>
  </r>
  <r>
    <d v="2015-11-24T00:00:00"/>
    <n v="111021.3791139987"/>
    <n v="121456.5240191974"/>
    <n v="3160"/>
  </r>
  <r>
    <d v="2015-11-25T00:00:00"/>
    <n v="243161.25923328879"/>
    <n v="266054.36985679291"/>
    <n v="6924"/>
  </r>
  <r>
    <d v="2015-11-26T00:00:00"/>
    <n v="311443.18123189738"/>
    <n v="355343.87184090709"/>
    <n v="9273"/>
  </r>
  <r>
    <d v="2015-11-27T00:00:00"/>
    <n v="375876.01342195261"/>
    <n v="431325.6866936764"/>
    <n v="11257"/>
  </r>
  <r>
    <d v="2015-11-28T00:00:00"/>
    <n v="434639.65899526927"/>
    <n v="498895.61864535551"/>
    <n v="13019"/>
  </r>
  <r>
    <d v="2015-11-29T00:00:00"/>
    <n v="238637.81635545639"/>
    <n v="274093.57795911958"/>
    <n v="7139"/>
  </r>
  <r>
    <d v="2015-11-30T00:00:00"/>
    <n v="260653.66696349639"/>
    <n v="283981.1506886445"/>
    <n v="7423"/>
  </r>
  <r>
    <d v="2015-12-01T00:00:00"/>
    <n v="262394.78001827881"/>
    <n v="285838.55681476911"/>
    <n v="7474"/>
  </r>
  <r>
    <d v="2015-12-02T00:00:00"/>
    <n v="248437.7113010938"/>
    <n v="269807.62043909793"/>
    <n v="7056"/>
  </r>
  <r>
    <d v="2015-12-03T00:00:00"/>
    <n v="201048.83046167399"/>
    <n v="219110.3931964541"/>
    <n v="5732"/>
  </r>
  <r>
    <d v="2015-12-04T00:00:00"/>
    <n v="317690.76093605132"/>
    <n v="345449.52994686092"/>
    <n v="9038"/>
  </r>
  <r>
    <d v="2015-12-05T00:00:00"/>
    <n v="378527.87261716381"/>
    <n v="410385.03700937238"/>
    <n v="10737"/>
  </r>
  <r>
    <d v="2015-12-06T00:00:00"/>
    <n v="195425.3910795952"/>
    <n v="210461.38622248991"/>
    <n v="5505"/>
  </r>
  <r>
    <d v="2015-12-07T00:00:00"/>
    <n v="90441.603368529759"/>
    <n v="83999.591253936887"/>
    <n v="2198"/>
  </r>
  <r>
    <d v="2015-12-08T00:00:00"/>
    <n v="117649.0006330129"/>
    <n v="121640.3797902365"/>
    <n v="3190"/>
  </r>
  <r>
    <d v="2015-12-09T00:00:00"/>
    <n v="141285.39545671371"/>
    <n v="145443.04659183419"/>
    <n v="3814"/>
  </r>
  <r>
    <d v="2015-12-10T00:00:00"/>
    <n v="133183.69368019371"/>
    <n v="137725.87611044809"/>
    <n v="3610"/>
  </r>
  <r>
    <d v="2015-12-11T00:00:00"/>
    <n v="229672.25632039239"/>
    <n v="237672.0164167957"/>
    <n v="6227"/>
  </r>
  <r>
    <d v="2015-12-12T00:00:00"/>
    <n v="333488.79787881998"/>
    <n v="359621.07489373692"/>
    <n v="9422"/>
  </r>
  <r>
    <d v="2015-12-13T00:00:00"/>
    <n v="185422.8856361036"/>
    <n v="191390.40131031329"/>
    <n v="5014"/>
  </r>
  <r>
    <d v="2015-12-14T00:00:00"/>
    <n v="173833.13316842369"/>
    <n v="179871.05329942369"/>
    <n v="4715"/>
  </r>
  <r>
    <d v="2015-12-15T00:00:00"/>
    <n v="220271.72138524521"/>
    <n v="237123.3433401052"/>
    <n v="6212"/>
  </r>
  <r>
    <d v="2015-12-16T00:00:00"/>
    <n v="234468.07119528641"/>
    <n v="251493.90890012981"/>
    <n v="6585"/>
  </r>
  <r>
    <d v="2015-12-17T00:00:00"/>
    <n v="213778.13805030519"/>
    <n v="230994.35519885991"/>
    <n v="6051"/>
  </r>
  <r>
    <d v="2015-12-18T00:00:00"/>
    <n v="273563.01479629381"/>
    <n v="295854.55231599201"/>
    <n v="7750"/>
  </r>
  <r>
    <d v="2015-12-19T00:00:00"/>
    <n v="337506.78841922001"/>
    <n v="362223.16087670921"/>
    <n v="9490"/>
  </r>
  <r>
    <d v="2015-12-20T00:00:00"/>
    <n v="155312.7838621664"/>
    <n v="167421.97369517089"/>
    <n v="4382"/>
  </r>
  <r>
    <d v="2015-12-21T00:00:00"/>
    <n v="289243.38305619761"/>
    <n v="312784.97431839362"/>
    <n v="8196"/>
  </r>
  <r>
    <d v="2015-12-22T00:00:00"/>
    <n v="313125.33253251761"/>
    <n v="338299.61784548633"/>
    <n v="8863"/>
  </r>
  <r>
    <d v="2015-12-23T00:00:00"/>
    <n v="268330.39270501549"/>
    <n v="249584.21516385439"/>
    <n v="6534"/>
  </r>
  <r>
    <d v="2015-12-24T00:00:00"/>
    <n v="392228.13795848232"/>
    <n v="364396.19424887962"/>
    <n v="9540"/>
  </r>
  <r>
    <d v="2015-12-25T00:00:00"/>
    <n v="133728.9837288514"/>
    <n v="124363.5572766095"/>
    <n v="3256"/>
  </r>
  <r>
    <d v="2015-12-26T00:00:00"/>
    <n v="82778.444048310368"/>
    <n v="76876.492698314294"/>
    <n v="2013"/>
  </r>
  <r>
    <d v="2015-12-27T00:00:00"/>
    <n v="69522.836973940372"/>
    <n v="64616.07664627437"/>
    <n v="1692"/>
  </r>
  <r>
    <d v="2015-12-28T00:00:00"/>
    <n v="133021.2727953626"/>
    <n v="123500.7877896752"/>
    <n v="3234"/>
  </r>
  <r>
    <d v="2015-12-29T00:00:00"/>
    <n v="161267.52059183759"/>
    <n v="175378.1459152207"/>
    <n v="4592"/>
  </r>
  <r>
    <d v="2015-12-30T00:00:00"/>
    <n v="208583.21799035519"/>
    <n v="227060.26267849401"/>
    <n v="5945"/>
  </r>
  <r>
    <d v="2015-12-31T00:00:00"/>
    <n v="325457.52500147879"/>
    <n v="353929.73835499171"/>
    <n v="9266"/>
  </r>
  <r>
    <d v="2016-01-01T00:00:00"/>
    <n v="111650.2397740787"/>
    <n v="121448.2838171389"/>
    <n v="3179"/>
  </r>
  <r>
    <d v="2016-01-02T00:00:00"/>
    <n v="262421.28186455759"/>
    <n v="285675.84571316058"/>
    <n v="7479"/>
  </r>
  <r>
    <d v="2016-01-03T00:00:00"/>
    <n v="164527.53891335521"/>
    <n v="179308.94953055491"/>
    <n v="4694"/>
  </r>
  <r>
    <d v="2016-01-04T00:00:00"/>
    <n v="274990.1464991988"/>
    <n v="299576.24136966269"/>
    <n v="7843"/>
  </r>
  <r>
    <d v="2016-01-05T00:00:00"/>
    <n v="215737.84279871389"/>
    <n v="234642.0857481322"/>
    <n v="6150"/>
  </r>
  <r>
    <d v="2016-01-06T00:00:00"/>
    <n v="98646.982697528802"/>
    <n v="91610.560001972306"/>
    <n v="2401"/>
  </r>
  <r>
    <d v="2016-01-07T00:00:00"/>
    <n v="74401.21529302049"/>
    <n v="68988.861259106357"/>
    <n v="1808"/>
  </r>
  <r>
    <d v="2016-01-08T00:00:00"/>
    <n v="106592.34299626789"/>
    <n v="99021.682920692168"/>
    <n v="2594"/>
  </r>
  <r>
    <d v="2016-01-09T00:00:00"/>
    <n v="134629.65819693019"/>
    <n v="124963.4655138471"/>
    <n v="3274"/>
  </r>
  <r>
    <d v="2016-01-10T00:00:00"/>
    <n v="90773.653057909149"/>
    <n v="84299.288239980437"/>
    <n v="2207"/>
  </r>
  <r>
    <d v="2016-01-11T00:00:00"/>
    <n v="121373.06822441641"/>
    <n v="112550.43230873271"/>
    <n v="2949"/>
  </r>
  <r>
    <d v="2016-01-12T00:00:00"/>
    <n v="99445.557103979168"/>
    <n v="92226.518095758031"/>
    <n v="2417"/>
  </r>
  <r>
    <d v="2016-01-13T00:00:00"/>
    <n v="67587.54693007037"/>
    <n v="62760.356831462283"/>
    <n v="1644"/>
  </r>
  <r>
    <d v="2016-01-14T00:00:00"/>
    <n v="61685.935238410369"/>
    <n v="57191.43931779157"/>
    <n v="1499"/>
  </r>
  <r>
    <d v="2016-01-15T00:00:00"/>
    <n v="150006.9297918239"/>
    <n v="139244.89576770909"/>
    <n v="3648"/>
  </r>
  <r>
    <d v="2016-01-16T00:00:00"/>
    <n v="191287.35348550291"/>
    <n v="177577.2872134948"/>
    <n v="4652"/>
  </r>
  <r>
    <d v="2016-01-17T00:00:00"/>
    <n v="92595.46083693915"/>
    <n v="86018.189605519379"/>
    <n v="2252"/>
  </r>
  <r>
    <d v="2016-01-18T00:00:00"/>
    <n v="96947.054288479165"/>
    <n v="89961.359503772677"/>
    <n v="2357"/>
  </r>
  <r>
    <d v="2016-01-19T00:00:00"/>
    <n v="70512.894500490496"/>
    <n v="65453.276391554507"/>
    <n v="1715"/>
  </r>
  <r>
    <d v="2016-01-20T00:00:00"/>
    <n v="159590.49006920139"/>
    <n v="182351.13884524151"/>
    <n v="4776"/>
  </r>
  <r>
    <d v="2016-01-21T00:00:00"/>
    <n v="67046.273415800373"/>
    <n v="61894.262560530507"/>
    <n v="1628"/>
  </r>
  <r>
    <d v="2016-01-22T00:00:00"/>
    <n v="266949.23879314208"/>
    <n v="294322.92718273471"/>
    <n v="7806"/>
  </r>
  <r>
    <d v="2016-01-23T00:00:00"/>
    <n v="315272.22477212187"/>
    <n v="346093.06700429099"/>
    <n v="9210"/>
  </r>
  <r>
    <d v="2016-01-24T00:00:00"/>
    <n v="149138.92151888521"/>
    <n v="163505.7130198981"/>
    <n v="4351"/>
  </r>
  <r>
    <d v="2016-01-25T00:00:00"/>
    <n v="215171.03820176999"/>
    <n v="234621.59885970881"/>
    <n v="6278"/>
  </r>
  <r>
    <d v="2016-01-26T00:00:00"/>
    <n v="205197.8983571688"/>
    <n v="221931.58005274381"/>
    <n v="5992"/>
  </r>
  <r>
    <d v="2016-01-27T00:00:00"/>
    <n v="214452.24842869499"/>
    <n v="231730.23274989819"/>
    <n v="6265"/>
  </r>
  <r>
    <d v="2016-01-28T00:00:00"/>
    <n v="195767.9735540376"/>
    <n v="210639.84818927519"/>
    <n v="5723"/>
  </r>
  <r>
    <d v="2016-01-29T00:00:00"/>
    <n v="397984.32926288783"/>
    <n v="437198.92957971449"/>
    <n v="11900"/>
  </r>
  <r>
    <d v="2016-01-30T00:00:00"/>
    <n v="512603.10345302342"/>
    <n v="561872.20603298978"/>
    <n v="15345"/>
  </r>
  <r>
    <d v="2016-01-31T00:00:00"/>
    <n v="218104.0669391714"/>
    <n v="238662.19210478579"/>
    <n v="6525"/>
  </r>
  <r>
    <d v="2016-02-01T00:00:00"/>
    <n v="339004.33688676252"/>
    <n v="371177.18688303168"/>
    <n v="10153"/>
  </r>
  <r>
    <d v="2016-02-02T00:00:00"/>
    <n v="278116.36932756339"/>
    <n v="295645.62910879822"/>
    <n v="8116"/>
  </r>
  <r>
    <d v="2016-02-03T00:00:00"/>
    <n v="264159.3006103735"/>
    <n v="280392.27359994513"/>
    <n v="7712"/>
  </r>
  <r>
    <d v="2016-02-04T00:00:00"/>
    <n v="197778.13374055881"/>
    <n v="209372.29223082791"/>
    <n v="5759"/>
  </r>
  <r>
    <d v="2016-02-05T00:00:00"/>
    <n v="325749.00890694692"/>
    <n v="345287.81149657938"/>
    <n v="9501"/>
  </r>
  <r>
    <d v="2016-02-06T00:00:00"/>
    <n v="371561.97638721432"/>
    <n v="393884.43303565029"/>
    <n v="10840"/>
  </r>
  <r>
    <d v="2016-02-07T00:00:00"/>
    <n v="174581.67684583139"/>
    <n v="185040.81733893289"/>
    <n v="5089"/>
  </r>
  <r>
    <d v="2016-02-08T00:00:00"/>
    <n v="208489.36941933131"/>
    <n v="221372.83694683231"/>
    <n v="6087"/>
  </r>
  <r>
    <d v="2016-02-09T00:00:00"/>
    <n v="84495.166667640122"/>
    <n v="74682.266818099233"/>
    <n v="2053"/>
  </r>
  <r>
    <d v="2016-02-10T00:00:00"/>
    <n v="76661.250030179392"/>
    <n v="66379.563604373863"/>
    <n v="1825"/>
  </r>
  <r>
    <d v="2016-02-11T00:00:00"/>
    <n v="64034.940459509773"/>
    <n v="55491.338529373483"/>
    <n v="1525"/>
  </r>
  <r>
    <d v="2016-02-12T00:00:00"/>
    <n v="148839.97486826521"/>
    <n v="129583.4920673977"/>
    <n v="3542"/>
  </r>
  <r>
    <d v="2016-02-13T00:00:00"/>
    <n v="172541.50792952391"/>
    <n v="150538.98368314141"/>
    <n v="4105"/>
  </r>
  <r>
    <d v="2016-02-14T00:00:00"/>
    <n v="87991.663002118541"/>
    <n v="76378.504638063911"/>
    <n v="2094"/>
  </r>
  <r>
    <d v="2016-02-15T00:00:00"/>
    <n v="123445.3815504276"/>
    <n v="108669.225381257"/>
    <n v="2940"/>
  </r>
  <r>
    <d v="2016-02-16T00:00:00"/>
    <n v="77344.691873669406"/>
    <n v="68269.248838410713"/>
    <n v="1841"/>
  </r>
  <r>
    <d v="2016-02-17T00:00:00"/>
    <n v="158963.02488179519"/>
    <n v="167521.52586053711"/>
    <n v="4529"/>
  </r>
  <r>
    <d v="2016-02-18T00:00:00"/>
    <n v="69598.07115293965"/>
    <n v="61492.968308179203"/>
    <n v="1658"/>
  </r>
  <r>
    <d v="2016-02-19T00:00:00"/>
    <n v="161275.60219880519"/>
    <n v="143446.35832758571"/>
    <n v="3841"/>
  </r>
  <r>
    <d v="2016-02-20T00:00:00"/>
    <n v="325215.07679238252"/>
    <n v="345446.00184870971"/>
    <n v="9260"/>
  </r>
  <r>
    <d v="2016-02-21T00:00:00"/>
    <n v="96957.295844458073"/>
    <n v="86455.494378043557"/>
    <n v="2308"/>
  </r>
  <r>
    <d v="2016-02-22T00:00:00"/>
    <n v="85224.477091228793"/>
    <n v="75960.718021940367"/>
    <n v="2028"/>
  </r>
  <r>
    <d v="2016-02-23T00:00:00"/>
    <n v="54612.878841539881"/>
    <n v="49071.802537897172"/>
    <n v="1301"/>
  </r>
  <r>
    <d v="2016-02-24T00:00:00"/>
    <n v="81530.612382324645"/>
    <n v="81738.0564373136"/>
    <n v="2213"/>
  </r>
  <r>
    <d v="2016-02-25T00:00:00"/>
    <n v="160947.53264018759"/>
    <n v="162597.49684526821"/>
    <n v="4404"/>
  </r>
  <r>
    <d v="2016-02-26T00:00:00"/>
    <n v="188736.24741743511"/>
    <n v="183103.23368799081"/>
    <n v="4935"/>
  </r>
  <r>
    <d v="2016-02-27T00:00:00"/>
    <n v="215951.50786707399"/>
    <n v="210032.78807855889"/>
    <n v="5609"/>
  </r>
  <r>
    <d v="2016-02-28T00:00:00"/>
    <n v="134995.85449594259"/>
    <n v="129938.7057703585"/>
    <n v="3452"/>
  </r>
  <r>
    <d v="2016-02-29T00:00:00"/>
    <n v="163079.37804396759"/>
    <n v="160332.58940603069"/>
    <n v="4270"/>
  </r>
  <r>
    <d v="2016-03-01T00:00:00"/>
    <n v="180828.6740918264"/>
    <n v="182962.33699647631"/>
    <n v="4719"/>
  </r>
  <r>
    <d v="2016-03-02T00:00:00"/>
    <n v="171196.1751944664"/>
    <n v="174428.680891675"/>
    <n v="4451"/>
  </r>
  <r>
    <d v="2016-03-03T00:00:00"/>
    <n v="129719.0505263338"/>
    <n v="131961.93250828909"/>
    <n v="3364"/>
  </r>
  <r>
    <d v="2016-03-04T00:00:00"/>
    <n v="142127.64209061259"/>
    <n v="144039.41368270031"/>
    <n v="3665"/>
  </r>
  <r>
    <d v="2016-03-05T00:00:00"/>
    <n v="152124.4078943276"/>
    <n v="153377.51203867729"/>
    <n v="3889"/>
  </r>
  <r>
    <d v="2016-03-06T00:00:00"/>
    <n v="74132.787023074285"/>
    <n v="74332.279484224229"/>
    <n v="1882"/>
  </r>
  <r>
    <d v="2016-03-07T00:00:00"/>
    <n v="91143.028607709275"/>
    <n v="95167.528732048944"/>
    <n v="2405"/>
  </r>
  <r>
    <d v="2016-03-08T00:00:00"/>
    <n v="60528.093358145001"/>
    <n v="62342.881166359934"/>
    <n v="1577"/>
  </r>
  <r>
    <d v="2016-03-09T00:00:00"/>
    <n v="38340.599611080237"/>
    <n v="35918.335153329201"/>
    <n v="913"/>
  </r>
  <r>
    <d v="2016-03-10T00:00:00"/>
    <n v="37453.006182510253"/>
    <n v="35108.200106536773"/>
    <n v="892"/>
  </r>
  <r>
    <d v="2016-03-11T00:00:00"/>
    <n v="77997.045012869392"/>
    <n v="73051.675542545359"/>
    <n v="1855"/>
  </r>
  <r>
    <d v="2016-03-12T00:00:00"/>
    <n v="79752.282678029282"/>
    <n v="74962.816397036033"/>
    <n v="1897"/>
  </r>
  <r>
    <d v="2016-03-13T00:00:00"/>
    <n v="37155.588484560249"/>
    <n v="34962.830504184181"/>
    <n v="883"/>
  </r>
  <r>
    <d v="2016-03-14T00:00:00"/>
    <n v="45046.513214430241"/>
    <n v="42368.045353504087"/>
    <n v="1071"/>
  </r>
  <r>
    <d v="2016-03-15T00:00:00"/>
    <n v="55489.332757800243"/>
    <n v="52263.056988226643"/>
    <n v="1320"/>
  </r>
  <r>
    <d v="2016-03-16T00:00:00"/>
    <n v="41893.303158000243"/>
    <n v="39495.455901503272"/>
    <n v="997"/>
  </r>
  <r>
    <d v="2016-03-17T00:00:00"/>
    <n v="34348.504189710133"/>
    <n v="32292.837602068419"/>
    <n v="817"/>
  </r>
  <r>
    <d v="2016-03-18T00:00:00"/>
    <n v="78276.831216934515"/>
    <n v="73746.758711538583"/>
    <n v="1866"/>
  </r>
  <r>
    <d v="2016-03-19T00:00:00"/>
    <n v="92851.402660078791"/>
    <n v="87451.566175781234"/>
    <n v="2211"/>
  </r>
  <r>
    <d v="2016-03-20T00:00:00"/>
    <n v="54845.789298270247"/>
    <n v="51625.511717785288"/>
    <n v="1304"/>
  </r>
  <r>
    <d v="2016-03-21T00:00:00"/>
    <n v="48037.799902380248"/>
    <n v="45187.641575720692"/>
    <n v="1143"/>
  </r>
  <r>
    <d v="2016-03-22T00:00:00"/>
    <n v="65905.723262160012"/>
    <n v="62023.881297700063"/>
    <n v="1573"/>
  </r>
  <r>
    <d v="2016-03-23T00:00:00"/>
    <n v="84870.05130086976"/>
    <n v="81472.827175989325"/>
    <n v="2065"/>
  </r>
  <r>
    <d v="2016-03-24T00:00:00"/>
    <n v="262459.50568130391"/>
    <n v="259298.45661843679"/>
    <n v="6588"/>
  </r>
  <r>
    <d v="2016-03-25T00:00:00"/>
    <n v="228124.3980292739"/>
    <n v="222208.35038080389"/>
    <n v="5652"/>
  </r>
  <r>
    <d v="2016-03-26T00:00:00"/>
    <n v="162929.49214412639"/>
    <n v="161434.81509850451"/>
    <n v="4103"/>
  </r>
  <r>
    <d v="2016-03-27T00:00:00"/>
    <n v="58359.83218482013"/>
    <n v="57681.569884933917"/>
    <n v="1466"/>
  </r>
  <r>
    <d v="2016-03-28T00:00:00"/>
    <n v="85605.331920599157"/>
    <n v="85022.380920180585"/>
    <n v="2162"/>
  </r>
  <r>
    <d v="2016-03-29T00:00:00"/>
    <n v="84836.414342129283"/>
    <n v="84595.217934805929"/>
    <n v="2155"/>
  </r>
  <r>
    <d v="2016-03-30T00:00:00"/>
    <n v="64308.91421652049"/>
    <n v="68427.59466606575"/>
    <n v="1746"/>
  </r>
  <r>
    <d v="2016-03-31T00:00:00"/>
    <n v="131168.48552294759"/>
    <n v="138589.10006426301"/>
    <n v="3554"/>
  </r>
  <r>
    <d v="2016-04-01T00:00:00"/>
    <n v="232410.19797781549"/>
    <n v="245358.62998053379"/>
    <n v="6282"/>
  </r>
  <r>
    <d v="2016-04-02T00:00:00"/>
    <n v="195831.0974571179"/>
    <n v="205442.82809681169"/>
    <n v="5259"/>
  </r>
  <r>
    <d v="2016-04-03T00:00:00"/>
    <n v="90716.547889139882"/>
    <n v="95543.133646196758"/>
    <n v="2446"/>
  </r>
  <r>
    <d v="2016-04-04T00:00:00"/>
    <n v="131638.01960717639"/>
    <n v="130700.1889420074"/>
    <n v="3345"/>
  </r>
  <r>
    <d v="2016-04-05T00:00:00"/>
    <n v="81910.872618989408"/>
    <n v="79969.510545293015"/>
    <n v="2048"/>
  </r>
  <r>
    <d v="2016-04-06T00:00:00"/>
    <n v="54821.908513709888"/>
    <n v="50800.008514759313"/>
    <n v="1303"/>
  </r>
  <r>
    <d v="2016-04-07T00:00:00"/>
    <n v="155615.41941446639"/>
    <n v="171592.12587915739"/>
    <n v="4413"/>
  </r>
  <r>
    <d v="2016-04-08T00:00:00"/>
    <n v="264086.89378034999"/>
    <n v="291378.57980277447"/>
    <n v="7494"/>
  </r>
  <r>
    <d v="2016-04-09T00:00:00"/>
    <n v="272761.29754268879"/>
    <n v="298164.41609707451"/>
    <n v="7738"/>
  </r>
  <r>
    <d v="2016-04-10T00:00:00"/>
    <n v="104689.4279184585"/>
    <n v="113609.3042530743"/>
    <n v="2958"/>
  </r>
  <r>
    <d v="2016-04-11T00:00:00"/>
    <n v="131170.5969337764"/>
    <n v="142022.81259344591"/>
    <n v="3713"/>
  </r>
  <r>
    <d v="2016-04-12T00:00:00"/>
    <n v="123179.4894003888"/>
    <n v="132714.96020410041"/>
    <n v="3504"/>
  </r>
  <r>
    <d v="2016-04-13T00:00:00"/>
    <n v="124431.0463716888"/>
    <n v="132889.05689693731"/>
    <n v="3534"/>
  </r>
  <r>
    <d v="2016-04-14T00:00:00"/>
    <n v="162166.83599087509"/>
    <n v="172225.65270563861"/>
    <n v="4601"/>
  </r>
  <r>
    <d v="2016-04-15T00:00:00"/>
    <n v="354042.02323982882"/>
    <n v="373200.30598406307"/>
    <n v="10045"/>
  </r>
  <r>
    <d v="2016-04-16T00:00:00"/>
    <n v="327352.26139595878"/>
    <n v="345338.62806920632"/>
    <n v="9301"/>
  </r>
  <r>
    <d v="2016-04-17T00:00:00"/>
    <n v="164809.3030482539"/>
    <n v="175167.42875982969"/>
    <n v="4678"/>
  </r>
  <r>
    <d v="2016-04-18T00:00:00"/>
    <n v="151157.79430871521"/>
    <n v="159828.76503430531"/>
    <n v="4294"/>
  </r>
  <r>
    <d v="2016-04-19T00:00:00"/>
    <n v="126895.93649753759"/>
    <n v="133726.28056152479"/>
    <n v="3606"/>
  </r>
  <r>
    <d v="2016-04-20T00:00:00"/>
    <n v="166395.44582884011"/>
    <n v="179020.54245850781"/>
    <n v="4838"/>
  </r>
  <r>
    <d v="2016-04-21T00:00:00"/>
    <n v="167796.35478000139"/>
    <n v="182485.09893705399"/>
    <n v="4914"/>
  </r>
  <r>
    <d v="2016-04-22T00:00:00"/>
    <n v="351146.01699924428"/>
    <n v="380098.15640387451"/>
    <n v="10269"/>
  </r>
  <r>
    <d v="2016-04-23T00:00:00"/>
    <n v="420738.8217596446"/>
    <n v="455415.34932802978"/>
    <n v="12317"/>
  </r>
  <r>
    <d v="2016-04-24T00:00:00"/>
    <n v="186166.15078643881"/>
    <n v="202391.17869529041"/>
    <n v="5453"/>
  </r>
  <r>
    <d v="2016-04-25T00:00:00"/>
    <n v="251449.52963919111"/>
    <n v="273255.0985307931"/>
    <n v="7372"/>
  </r>
  <r>
    <d v="2016-04-26T00:00:00"/>
    <n v="280321.81074676593"/>
    <n v="302469.83197523467"/>
    <n v="8211"/>
  </r>
  <r>
    <d v="2016-04-27T00:00:00"/>
    <n v="313434.93331366457"/>
    <n v="337931.11696619709"/>
    <n v="9182"/>
  </r>
  <r>
    <d v="2016-04-28T00:00:00"/>
    <n v="257324.60308093971"/>
    <n v="276852.17994257738"/>
    <n v="7520"/>
  </r>
  <r>
    <d v="2016-04-29T00:00:00"/>
    <n v="455554.33604822948"/>
    <n v="489215.06753789558"/>
    <n v="13321"/>
  </r>
  <r>
    <d v="2016-04-30T00:00:00"/>
    <n v="556865.20327505236"/>
    <n v="598925.66788870073"/>
    <n v="16276"/>
  </r>
  <r>
    <d v="2016-05-01T00:00:00"/>
    <n v="354856.04492208688"/>
    <n v="380511.15915810911"/>
    <n v="10388"/>
  </r>
  <r>
    <d v="2016-05-02T00:00:00"/>
    <n v="283284.5812539708"/>
    <n v="304997.85181689629"/>
    <n v="8298"/>
  </r>
  <r>
    <d v="2016-05-03T00:00:00"/>
    <n v="297500.67396872578"/>
    <n v="319786.35946856107"/>
    <n v="8717"/>
  </r>
  <r>
    <d v="2016-05-04T00:00:00"/>
    <n v="285968.48778251972"/>
    <n v="305506.9982349475"/>
    <n v="8364"/>
  </r>
  <r>
    <d v="2016-05-05T00:00:00"/>
    <n v="237946.63267226369"/>
    <n v="254527.41550552609"/>
    <n v="6968"/>
  </r>
  <r>
    <d v="2016-05-06T00:00:00"/>
    <n v="340851.5058648595"/>
    <n v="364361.03286413848"/>
    <n v="9973"/>
  </r>
  <r>
    <d v="2016-05-07T00:00:00"/>
    <n v="388187.60143352812"/>
    <n v="414644.62349081138"/>
    <n v="11363"/>
  </r>
  <r>
    <d v="2016-05-08T00:00:00"/>
    <n v="139178.98405924521"/>
    <n v="148731.0905273041"/>
    <n v="4074"/>
  </r>
  <r>
    <d v="2016-05-09T00:00:00"/>
    <n v="66400.30304726951"/>
    <n v="57741.738907512547"/>
    <n v="1579"/>
  </r>
  <r>
    <d v="2016-05-10T00:00:00"/>
    <n v="42723.524457810243"/>
    <n v="37112.985056990263"/>
    <n v="1016"/>
  </r>
  <r>
    <d v="2016-05-11T00:00:00"/>
    <n v="35014.399481130247"/>
    <n v="30393.74011981647"/>
    <n v="832"/>
  </r>
  <r>
    <d v="2016-05-12T00:00:00"/>
    <n v="27210.406631640119"/>
    <n v="23570.159155417459"/>
    <n v="647"/>
  </r>
  <r>
    <d v="2016-05-13T00:00:00"/>
    <n v="79840.0882456494"/>
    <n v="69078.714144542624"/>
    <n v="1898"/>
  </r>
  <r>
    <d v="2016-05-14T00:00:00"/>
    <n v="82484.448292049157"/>
    <n v="71426.011644710306"/>
    <n v="1961"/>
  </r>
  <r>
    <d v="2016-05-15T00:00:00"/>
    <n v="51497.237336430007"/>
    <n v="44611.939679509756"/>
    <n v="1224"/>
  </r>
  <r>
    <d v="2016-05-16T00:00:00"/>
    <n v="42871.832866800367"/>
    <n v="37139.308256889854"/>
    <n v="1019"/>
  </r>
  <r>
    <d v="2016-05-17T00:00:00"/>
    <n v="39104.639102460249"/>
    <n v="33890.360432496309"/>
    <n v="930"/>
  </r>
  <r>
    <d v="2016-05-18T00:00:00"/>
    <n v="34406.750005710237"/>
    <n v="29884.33058936759"/>
    <n v="818"/>
  </r>
  <r>
    <d v="2016-05-19T00:00:00"/>
    <n v="39403.658560350254"/>
    <n v="34229.631915798513"/>
    <n v="937"/>
  </r>
  <r>
    <d v="2016-05-20T00:00:00"/>
    <n v="96830.902423738444"/>
    <n v="83926.003498834732"/>
    <n v="2302"/>
  </r>
  <r>
    <d v="2016-05-21T00:00:00"/>
    <n v="99380.394597328297"/>
    <n v="86179.513387184299"/>
    <n v="2363"/>
  </r>
  <r>
    <d v="2016-05-22T00:00:00"/>
    <n v="61656.181334069763"/>
    <n v="53463.734557835058"/>
    <n v="1466"/>
  </r>
  <r>
    <d v="2016-05-23T00:00:00"/>
    <n v="69163.557365579516"/>
    <n v="59948.438707535541"/>
    <n v="1644"/>
  </r>
  <r>
    <d v="2016-05-24T00:00:00"/>
    <n v="113112.8650211096"/>
    <n v="117414.6989296848"/>
    <n v="3224"/>
  </r>
  <r>
    <d v="2016-05-25T00:00:00"/>
    <n v="253686.3024535861"/>
    <n v="268974.57069396519"/>
    <n v="7392"/>
  </r>
  <r>
    <d v="2016-05-26T00:00:00"/>
    <n v="210305.2919440362"/>
    <n v="223289.08457385481"/>
    <n v="6138"/>
  </r>
  <r>
    <d v="2016-05-27T00:00:00"/>
    <n v="364087.42429993051"/>
    <n v="386499.89642918651"/>
    <n v="10624"/>
  </r>
  <r>
    <d v="2016-05-28T00:00:00"/>
    <n v="397480.36947452551"/>
    <n v="421674.1018697652"/>
    <n v="11590"/>
  </r>
  <r>
    <d v="2016-05-29T00:00:00"/>
    <n v="204028.1767573524"/>
    <n v="216777.31572566379"/>
    <n v="5959"/>
  </r>
  <r>
    <d v="2016-05-30T00:00:00"/>
    <n v="172797.93513446639"/>
    <n v="183715.80719950749"/>
    <n v="5048"/>
  </r>
  <r>
    <d v="2016-05-31T00:00:00"/>
    <n v="258970.6541101849"/>
    <n v="274386.0154347705"/>
    <n v="7542"/>
  </r>
  <r>
    <d v="2016-06-01T00:00:00"/>
    <n v="368789.57262197061"/>
    <n v="391923.65961429192"/>
    <n v="10761"/>
  </r>
  <r>
    <d v="2016-06-02T00:00:00"/>
    <n v="278071.38656924601"/>
    <n v="295548.24164090329"/>
    <n v="8120"/>
  </r>
  <r>
    <d v="2016-06-03T00:00:00"/>
    <n v="373959.36203922692"/>
    <n v="396324.1786662704"/>
    <n v="10896"/>
  </r>
  <r>
    <d v="2016-06-04T00:00:00"/>
    <n v="402057.2528885355"/>
    <n v="426466.13217659132"/>
    <n v="11726"/>
  </r>
  <r>
    <d v="2016-06-05T00:00:00"/>
    <n v="205719.45323581621"/>
    <n v="218408.1820732757"/>
    <n v="6007"/>
  </r>
  <r>
    <d v="2016-06-06T00:00:00"/>
    <n v="177626.95012448641"/>
    <n v="188629.754225902"/>
    <n v="5185"/>
  </r>
  <r>
    <d v="2016-06-07T00:00:00"/>
    <n v="70441.907412239394"/>
    <n v="60910.748400180237"/>
    <n v="1675"/>
  </r>
  <r>
    <d v="2016-06-08T00:00:00"/>
    <n v="162923.84958070019"/>
    <n v="173292.68113445409"/>
    <n v="4765"/>
  </r>
  <r>
    <d v="2016-06-09T00:00:00"/>
    <n v="138752.5276097676"/>
    <n v="143791.47808201631"/>
    <n v="3953"/>
  </r>
  <r>
    <d v="2016-06-10T00:00:00"/>
    <n v="252458.26223048879"/>
    <n v="261502.38177856401"/>
    <n v="7190"/>
  </r>
  <r>
    <d v="2016-06-11T00:00:00"/>
    <n v="293917.85248111701"/>
    <n v="311853.52053473581"/>
    <n v="8577"/>
  </r>
  <r>
    <d v="2016-06-12T00:00:00"/>
    <n v="138350.12182847521"/>
    <n v="143346.67460602429"/>
    <n v="3943"/>
  </r>
  <r>
    <d v="2016-06-13T00:00:00"/>
    <n v="130067.2755641964"/>
    <n v="134950.56648943009"/>
    <n v="3707"/>
  </r>
  <r>
    <d v="2016-06-14T00:00:00"/>
    <n v="107168.6610764994"/>
    <n v="111173.15847846519"/>
    <n v="3054"/>
  </r>
  <r>
    <d v="2016-06-15T00:00:00"/>
    <n v="224030.55444808619"/>
    <n v="237934.73415063301"/>
    <n v="6541"/>
  </r>
  <r>
    <d v="2016-06-16T00:00:00"/>
    <n v="201918.22207274401"/>
    <n v="209095.56974137691"/>
    <n v="5749"/>
  </r>
  <r>
    <d v="2016-06-17T00:00:00"/>
    <n v="329344.26830316131"/>
    <n v="341253.32963499142"/>
    <n v="9385"/>
  </r>
  <r>
    <d v="2016-06-18T00:00:00"/>
    <n v="308642.97722408187"/>
    <n v="327672.04148404137"/>
    <n v="9012"/>
  </r>
  <r>
    <d v="2016-06-19T00:00:00"/>
    <n v="134472.4066282764"/>
    <n v="139385.87617680739"/>
    <n v="3831"/>
  </r>
  <r>
    <d v="2016-06-20T00:00:00"/>
    <n v="143809.72058396641"/>
    <n v="148953.91085321491"/>
    <n v="4097"/>
  </r>
  <r>
    <d v="2016-06-21T00:00:00"/>
    <n v="123252.1510558476"/>
    <n v="127533.0092765032"/>
    <n v="3509"/>
  </r>
  <r>
    <d v="2016-06-22T00:00:00"/>
    <n v="40067.15121186024"/>
    <n v="34559.084522627527"/>
    <n v="953"/>
  </r>
  <r>
    <d v="2016-06-23T00:00:00"/>
    <n v="143752.73676064881"/>
    <n v="155659.53374373459"/>
    <n v="4305"/>
  </r>
  <r>
    <d v="2016-06-24T00:00:00"/>
    <n v="389904.00855466258"/>
    <n v="422372.58158070029"/>
    <n v="11667"/>
  </r>
  <r>
    <d v="2016-06-25T00:00:00"/>
    <n v="461280.78558277438"/>
    <n v="498910.32902054378"/>
    <n v="13793"/>
  </r>
  <r>
    <d v="2016-06-26T00:00:00"/>
    <n v="221578.69682356139"/>
    <n v="240449.62229152219"/>
    <n v="6641"/>
  </r>
  <r>
    <d v="2016-06-27T00:00:00"/>
    <n v="253702.2229766188"/>
    <n v="274426.08027789328"/>
    <n v="7593"/>
  </r>
  <r>
    <d v="2016-06-28T00:00:00"/>
    <n v="200616.07618333891"/>
    <n v="217104.57971570609"/>
    <n v="6007"/>
  </r>
  <r>
    <d v="2016-06-29T00:00:00"/>
    <n v="211700.81315721021"/>
    <n v="229023.81073969579"/>
    <n v="6345"/>
  </r>
  <r>
    <d v="2016-06-30T00:00:00"/>
    <n v="282757.71144459757"/>
    <n v="305894.18009482371"/>
    <n v="8482"/>
  </r>
  <r>
    <d v="2016-07-01T00:00:00"/>
    <n v="479010.15670774202"/>
    <n v="517742.19259753643"/>
    <n v="14344"/>
  </r>
  <r>
    <d v="2016-07-02T00:00:00"/>
    <n v="454543.2857587894"/>
    <n v="490487.0246492626"/>
    <n v="13609"/>
  </r>
  <r>
    <d v="2016-07-03T00:00:00"/>
    <n v="242185.18070257761"/>
    <n v="261534.91203924711"/>
    <n v="7259"/>
  </r>
  <r>
    <d v="2016-07-04T00:00:00"/>
    <n v="281531.68555597891"/>
    <n v="304052.47699526697"/>
    <n v="8431"/>
  </r>
  <r>
    <d v="2016-07-05T00:00:00"/>
    <n v="219363.2201356389"/>
    <n v="237026.35054084621"/>
    <n v="6577"/>
  </r>
  <r>
    <d v="2016-07-06T00:00:00"/>
    <n v="204005.58223455391"/>
    <n v="219722.89495004769"/>
    <n v="6098"/>
  </r>
  <r>
    <d v="2016-07-07T00:00:00"/>
    <n v="69579.068455469765"/>
    <n v="59598.917800192386"/>
    <n v="1654"/>
  </r>
  <r>
    <d v="2016-07-08T00:00:00"/>
    <n v="87184.740028708911"/>
    <n v="74654.520419296809"/>
    <n v="2073"/>
  </r>
  <r>
    <d v="2016-07-09T00:00:00"/>
    <n v="78700.43604833915"/>
    <n v="67367.383240402574"/>
    <n v="1871"/>
  </r>
  <r>
    <d v="2016-07-10T00:00:00"/>
    <n v="39809.559090600371"/>
    <n v="34091.569662440699"/>
    <n v="946"/>
  </r>
  <r>
    <d v="2016-07-11T00:00:00"/>
    <n v="45839.238770190248"/>
    <n v="39231.195372207752"/>
    <n v="1090"/>
  </r>
  <r>
    <d v="2016-07-12T00:00:00"/>
    <n v="36851.763746850367"/>
    <n v="31574.325469600979"/>
    <n v="876"/>
  </r>
  <r>
    <d v="2016-07-13T00:00:00"/>
    <n v="33225.670471770121"/>
    <n v="28489.081398148792"/>
    <n v="790"/>
  </r>
  <r>
    <d v="2016-07-14T00:00:00"/>
    <n v="30423.391456740119"/>
    <n v="26053.796718671529"/>
    <n v="723"/>
  </r>
  <r>
    <d v="2016-07-15T00:00:00"/>
    <n v="80345.637659439148"/>
    <n v="68788.094536384728"/>
    <n v="1910"/>
  </r>
  <r>
    <d v="2016-07-16T00:00:00"/>
    <n v="95297.338626638681"/>
    <n v="81655.857730858726"/>
    <n v="2266"/>
  </r>
  <r>
    <d v="2016-07-17T00:00:00"/>
    <n v="45324.054527670247"/>
    <n v="38809.808900032527"/>
    <n v="1078"/>
  </r>
  <r>
    <d v="2016-07-18T00:00:00"/>
    <n v="51604.118408790237"/>
    <n v="44222.784476633977"/>
    <n v="1227"/>
  </r>
  <r>
    <d v="2016-07-19T00:00:00"/>
    <n v="37870.119032340357"/>
    <n v="32436.79596517127"/>
    <n v="900"/>
  </r>
  <r>
    <d v="2016-07-20T00:00:00"/>
    <n v="42723.524457810243"/>
    <n v="36607.390656376527"/>
    <n v="1016"/>
  </r>
  <r>
    <d v="2016-07-21T00:00:00"/>
    <n v="35169.915809850128"/>
    <n v="30133.318639665871"/>
    <n v="836"/>
  </r>
  <r>
    <d v="2016-07-22T00:00:00"/>
    <n v="61148.205011279642"/>
    <n v="52384.447482992728"/>
    <n v="1454"/>
  </r>
  <r>
    <d v="2016-07-23T00:00:00"/>
    <n v="77171.701800149516"/>
    <n v="66113.832037556145"/>
    <n v="1835"/>
  </r>
  <r>
    <d v="2016-07-24T00:00:00"/>
    <n v="40881.354912270253"/>
    <n v="35019.112638998413"/>
    <n v="972"/>
  </r>
  <r>
    <d v="2016-07-25T00:00:00"/>
    <n v="43085.59501152025"/>
    <n v="36887.366171890637"/>
    <n v="1024"/>
  </r>
  <r>
    <d v="2016-07-26T00:00:00"/>
    <n v="43894.993432110241"/>
    <n v="37604.658419582847"/>
    <n v="1044"/>
  </r>
  <r>
    <d v="2016-07-27T00:00:00"/>
    <n v="67780.728886469529"/>
    <n v="58196.145986195363"/>
    <n v="1611"/>
  </r>
  <r>
    <d v="2016-07-28T00:00:00"/>
    <n v="51907.943146500242"/>
    <n v="44544.630743101319"/>
    <n v="1234"/>
  </r>
  <r>
    <d v="2016-07-29T00:00:00"/>
    <n v="93508.633886369164"/>
    <n v="80346.69413385824"/>
    <n v="2223"/>
  </r>
  <r>
    <d v="2016-07-30T00:00:00"/>
    <n v="95343.59551217893"/>
    <n v="81874.288863507725"/>
    <n v="2267"/>
  </r>
  <r>
    <d v="2016-07-31T00:00:00"/>
    <n v="59514.992330639878"/>
    <n v="51145.403341245627"/>
    <n v="1415"/>
  </r>
  <r>
    <d v="2016-08-01T00:00:00"/>
    <n v="65133.966200159761"/>
    <n v="55946.056559077122"/>
    <n v="1548"/>
  </r>
  <r>
    <d v="2016-08-02T00:00:00"/>
    <n v="70641.253717499887"/>
    <n v="60629.552999890897"/>
    <n v="1679"/>
  </r>
  <r>
    <d v="2016-08-03T00:00:00"/>
    <n v="48442.171479960249"/>
    <n v="41610.783939948822"/>
    <n v="1152"/>
  </r>
  <r>
    <d v="2016-08-04T00:00:00"/>
    <n v="46291.371916890253"/>
    <n v="39783.360668054564"/>
    <n v="1101"/>
  </r>
  <r>
    <d v="2016-08-05T00:00:00"/>
    <n v="73453.14329216964"/>
    <n v="63386.492591361231"/>
    <n v="1746"/>
  </r>
  <r>
    <d v="2016-08-06T00:00:00"/>
    <n v="71508.897954089523"/>
    <n v="61500.574648541122"/>
    <n v="1700"/>
  </r>
  <r>
    <d v="2016-08-07T00:00:00"/>
    <n v="30066.12618285013"/>
    <n v="25872.48835407582"/>
    <n v="715"/>
  </r>
  <r>
    <d v="2016-08-08T00:00:00"/>
    <n v="37726.615903170241"/>
    <n v="32490.136024940541"/>
    <n v="897"/>
  </r>
  <r>
    <d v="2016-08-09T00:00:00"/>
    <n v="30831.694626900251"/>
    <n v="26577.079448522589"/>
    <n v="733"/>
  </r>
  <r>
    <d v="2016-08-10T00:00:00"/>
    <n v="146811.45511516009"/>
    <n v="155135.6291118357"/>
    <n v="4282"/>
  </r>
  <r>
    <d v="2016-08-11T00:00:00"/>
    <n v="99867.329619087352"/>
    <n v="103826.7014124711"/>
    <n v="2867"/>
  </r>
  <r>
    <d v="2016-08-12T00:00:00"/>
    <n v="210664.86278147751"/>
    <n v="220379.27667655639"/>
    <n v="6082"/>
  </r>
  <r>
    <d v="2016-08-13T00:00:00"/>
    <n v="266271.03907309339"/>
    <n v="281658.41831912257"/>
    <n v="7771"/>
  </r>
  <r>
    <d v="2016-08-14T00:00:00"/>
    <n v="123084.0390694151"/>
    <n v="129601.5272266189"/>
    <n v="3576"/>
  </r>
  <r>
    <d v="2016-08-15T00:00:00"/>
    <n v="162727.52477714521"/>
    <n v="168580.1705714394"/>
    <n v="4649"/>
  </r>
  <r>
    <d v="2016-08-16T00:00:00"/>
    <n v="114708.9459940466"/>
    <n v="119758.061703468"/>
    <n v="3302"/>
  </r>
  <r>
    <d v="2016-08-17T00:00:00"/>
    <n v="122318.90746898641"/>
    <n v="128298.34345694909"/>
    <n v="3536"/>
  </r>
  <r>
    <d v="2016-08-18T00:00:00"/>
    <n v="112010.3445314969"/>
    <n v="117374.1915793604"/>
    <n v="3236"/>
  </r>
  <r>
    <d v="2016-08-19T00:00:00"/>
    <n v="229861.4702805799"/>
    <n v="241090.13355630499"/>
    <n v="6646"/>
  </r>
  <r>
    <d v="2016-08-20T00:00:00"/>
    <n v="249981.2496941947"/>
    <n v="262145.17733741982"/>
    <n v="7220"/>
  </r>
  <r>
    <d v="2016-08-21T00:00:00"/>
    <n v="136480.2491167002"/>
    <n v="143734.22721517089"/>
    <n v="3958"/>
  </r>
  <r>
    <d v="2016-08-22T00:00:00"/>
    <n v="127369.80261433141"/>
    <n v="133350.16138222881"/>
    <n v="3672"/>
  </r>
  <r>
    <d v="2016-08-23T00:00:00"/>
    <n v="43537.728158220249"/>
    <n v="37649.387527999519"/>
    <n v="1035"/>
  </r>
  <r>
    <d v="2016-08-24T00:00:00"/>
    <n v="120407.4132678633"/>
    <n v="127699.4159113958"/>
    <n v="3549"/>
  </r>
  <r>
    <d v="2016-08-25T00:00:00"/>
    <n v="226375.54313479611"/>
    <n v="240429.68554720341"/>
    <n v="6647"/>
  </r>
  <r>
    <d v="2016-08-26T00:00:00"/>
    <n v="337900.17823359562"/>
    <n v="358772.25036410952"/>
    <n v="9908"/>
  </r>
  <r>
    <d v="2016-08-27T00:00:00"/>
    <n v="355069.54010681692"/>
    <n v="376755.56448352599"/>
    <n v="10393"/>
  </r>
  <r>
    <d v="2016-08-28T00:00:00"/>
    <n v="153893.68522805019"/>
    <n v="163401.32915405891"/>
    <n v="4507"/>
  </r>
  <r>
    <d v="2016-08-29T00:00:00"/>
    <n v="159625.74092242509"/>
    <n v="169479.10605406531"/>
    <n v="4672"/>
  </r>
  <r>
    <d v="2016-08-30T00:00:00"/>
    <n v="133961.9669928514"/>
    <n v="142299.91779184839"/>
    <n v="3924"/>
  </r>
  <r>
    <d v="2016-08-31T00:00:00"/>
    <n v="236305.15636647621"/>
    <n v="250572.4533877949"/>
    <n v="6918"/>
  </r>
  <r>
    <d v="2016-09-01T00:00:00"/>
    <n v="313491.73511881451"/>
    <n v="333030.87570402719"/>
    <n v="9183"/>
  </r>
  <r>
    <d v="2016-09-02T00:00:00"/>
    <n v="370355.00173424062"/>
    <n v="392493.08269182261"/>
    <n v="10830"/>
  </r>
  <r>
    <d v="2016-09-03T00:00:00"/>
    <n v="369091.05539249809"/>
    <n v="391842.50139780319"/>
    <n v="10800"/>
  </r>
  <r>
    <d v="2016-09-04T00:00:00"/>
    <n v="209026.01967195861"/>
    <n v="222163.72890927369"/>
    <n v="6119"/>
  </r>
  <r>
    <d v="2016-09-05T00:00:00"/>
    <n v="228177.31678002991"/>
    <n v="242589.58721854401"/>
    <n v="6685"/>
  </r>
  <r>
    <d v="2016-09-06T00:00:00"/>
    <n v="154494.7820491702"/>
    <n v="164108.82644458601"/>
    <n v="4519"/>
  </r>
  <r>
    <d v="2016-09-07T00:00:00"/>
    <n v="50736.474172200127"/>
    <n v="43830.196852872301"/>
    <n v="1206"/>
  </r>
  <r>
    <d v="2016-09-08T00:00:00"/>
    <n v="43292.149236510253"/>
    <n v="37391.680889456111"/>
    <n v="1029"/>
  </r>
  <r>
    <d v="2016-09-09T00:00:00"/>
    <n v="77335.918597634154"/>
    <n v="69612.126701887464"/>
    <n v="1917"/>
  </r>
  <r>
    <d v="2016-09-10T00:00:00"/>
    <n v="85070.234889733911"/>
    <n v="76591.852917484997"/>
    <n v="2108"/>
  </r>
  <r>
    <d v="2016-09-11T00:00:00"/>
    <n v="48831.666105370241"/>
    <n v="44014.232018730218"/>
    <n v="1211"/>
  </r>
  <r>
    <d v="2016-09-12T00:00:00"/>
    <n v="52075.157176600122"/>
    <n v="46884.142508087811"/>
    <n v="1291"/>
  </r>
  <r>
    <d v="2016-09-13T00:00:00"/>
    <n v="30424.72625669013"/>
    <n v="27398.58812689369"/>
    <n v="755"/>
  </r>
  <r>
    <d v="2016-09-14T00:00:00"/>
    <n v="20495.113025005001"/>
    <n v="18375.052607697839"/>
    <n v="508"/>
  </r>
  <r>
    <d v="2016-09-15T00:00:00"/>
    <n v="40742.171681120242"/>
    <n v="36464.759814940677"/>
    <n v="1010"/>
  </r>
  <r>
    <d v="2016-09-16T00:00:00"/>
    <n v="69864.836990219526"/>
    <n v="62545.19068453311"/>
    <n v="1733"/>
  </r>
  <r>
    <d v="2016-09-17T00:00:00"/>
    <n v="100120.7110532329"/>
    <n v="89572.407615025208"/>
    <n v="2482"/>
  </r>
  <r>
    <d v="2016-09-18T00:00:00"/>
    <n v="49825.097035430132"/>
    <n v="44593.796883395269"/>
    <n v="1235"/>
  </r>
  <r>
    <d v="2016-09-19T00:00:00"/>
    <n v="46566.462052040253"/>
    <n v="41660.440426083711"/>
    <n v="1155"/>
  </r>
  <r>
    <d v="2016-09-20T00:00:00"/>
    <n v="37923.765855785372"/>
    <n v="34031.14948711513"/>
    <n v="940"/>
  </r>
  <r>
    <d v="2016-09-21T00:00:00"/>
    <n v="50084.812702065246"/>
    <n v="44832.212598977239"/>
    <n v="1241"/>
  </r>
  <r>
    <d v="2016-09-22T00:00:00"/>
    <n v="41885.828278280373"/>
    <n v="37565.478590927647"/>
    <n v="1039"/>
  </r>
  <r>
    <d v="2016-09-23T00:00:00"/>
    <n v="147503.57315832519"/>
    <n v="131964.51579369849"/>
    <n v="3657"/>
  </r>
  <r>
    <d v="2016-09-24T00:00:00"/>
    <n v="151639.18384341139"/>
    <n v="135498.16319719431"/>
    <n v="3758"/>
  </r>
  <r>
    <d v="2016-09-25T00:00:00"/>
    <n v="72457.297587654524"/>
    <n v="64758.504173580448"/>
    <n v="1797"/>
  </r>
  <r>
    <d v="2016-09-26T00:00:00"/>
    <n v="67355.061182414633"/>
    <n v="60179.020849316512"/>
    <n v="1671"/>
  </r>
  <r>
    <d v="2016-09-27T00:00:00"/>
    <n v="58941.792828474892"/>
    <n v="52812.7825145229"/>
    <n v="1462"/>
  </r>
  <r>
    <d v="2016-09-28T00:00:00"/>
    <n v="58796.785015724643"/>
    <n v="57168.560498432882"/>
    <n v="1581"/>
  </r>
  <r>
    <d v="2016-09-29T00:00:00"/>
    <n v="57019.389671394638"/>
    <n v="55187.383906271898"/>
    <n v="1534"/>
  </r>
  <r>
    <d v="2016-09-30T00:00:00"/>
    <n v="155918.3825994826"/>
    <n v="151036.44551858699"/>
    <n v="4216"/>
  </r>
  <r>
    <d v="2016-10-01T00:00:00"/>
    <n v="208489.09032479019"/>
    <n v="201416.83759006459"/>
    <n v="5632"/>
  </r>
  <r>
    <d v="2016-10-02T00:00:00"/>
    <n v="118580.4725762977"/>
    <n v="113346.95726852609"/>
    <n v="3173"/>
  </r>
  <r>
    <d v="2016-10-03T00:00:00"/>
    <n v="142758.8811215114"/>
    <n v="126506.34468214821"/>
    <n v="3540"/>
  </r>
  <r>
    <d v="2016-10-04T00:00:00"/>
    <n v="96620.986929783307"/>
    <n v="85491.833244422392"/>
    <n v="2397"/>
  </r>
  <r>
    <d v="2016-10-05T00:00:00"/>
    <n v="78861.594940484283"/>
    <n v="69675.429153985417"/>
    <n v="1955"/>
  </r>
  <r>
    <d v="2016-10-06T00:00:00"/>
    <n v="70279.474392869641"/>
    <n v="61976.305791476298"/>
    <n v="1740"/>
  </r>
  <r>
    <d v="2016-10-07T00:00:00"/>
    <n v="87748.862891213546"/>
    <n v="77446.609435800405"/>
    <n v="2176"/>
  </r>
  <r>
    <d v="2016-10-08T00:00:00"/>
    <n v="92053.325769973191"/>
    <n v="81209.248347010551"/>
    <n v="2283"/>
  </r>
  <r>
    <d v="2016-10-09T00:00:00"/>
    <n v="51751.383246910009"/>
    <n v="45607.234099697387"/>
    <n v="1284"/>
  </r>
  <r>
    <d v="2016-10-10T00:00:00"/>
    <n v="50934.983193855121"/>
    <n v="44983.777302442017"/>
    <n v="1263"/>
  </r>
  <r>
    <d v="2016-10-11T00:00:00"/>
    <n v="36113.934872670237"/>
    <n v="31885.288450330809"/>
    <n v="896"/>
  </r>
  <r>
    <d v="2016-10-12T00:00:00"/>
    <n v="31023.359765175119"/>
    <n v="27817.642466410722"/>
    <n v="768"/>
  </r>
  <r>
    <d v="2016-10-13T00:00:00"/>
    <n v="22334.212530659999"/>
    <n v="19704.093150736491"/>
    <n v="521"/>
  </r>
  <r>
    <d v="2016-10-14T00:00:00"/>
    <n v="69440.928795190252"/>
    <n v="62070.751184300032"/>
    <n v="1618"/>
  </r>
  <r>
    <d v="2016-10-15T00:00:00"/>
    <n v="92159.029791471577"/>
    <n v="83371.817021350085"/>
    <n v="2147"/>
  </r>
  <r>
    <d v="2016-10-16T00:00:00"/>
    <n v="57296.28785375024"/>
    <n v="52701.294613812352"/>
    <n v="1335"/>
  </r>
  <r>
    <d v="2016-10-17T00:00:00"/>
    <n v="57184.941268830247"/>
    <n v="51764.937371772758"/>
    <n v="1332"/>
  </r>
  <r>
    <d v="2016-10-18T00:00:00"/>
    <n v="40951.10427692964"/>
    <n v="37288.624545278682"/>
    <n v="954"/>
  </r>
  <r>
    <d v="2016-10-19T00:00:00"/>
    <n v="37672.447294289763"/>
    <n v="33678.459271288069"/>
    <n v="877"/>
  </r>
  <r>
    <d v="2016-10-20T00:00:00"/>
    <n v="38648.137519559627"/>
    <n v="35038.068691629327"/>
    <n v="906"/>
  </r>
  <r>
    <d v="2016-10-21T00:00:00"/>
    <n v="96020.545374096837"/>
    <n v="86810.277533434695"/>
    <n v="2249"/>
  </r>
  <r>
    <d v="2016-10-22T00:00:00"/>
    <n v="105662.59415837259"/>
    <n v="95930.016514689429"/>
    <n v="2472"/>
  </r>
  <r>
    <d v="2016-10-23T00:00:00"/>
    <n v="54738.483516835127"/>
    <n v="49990.519289317977"/>
    <n v="1280"/>
  </r>
  <r>
    <d v="2016-10-24T00:00:00"/>
    <n v="40131.573511264643"/>
    <n v="36347.698715160222"/>
    <n v="940"/>
  </r>
  <r>
    <d v="2016-10-25T00:00:00"/>
    <n v="70402.991926425369"/>
    <n v="63452.761037813718"/>
    <n v="1650"/>
  </r>
  <r>
    <d v="2016-10-26T00:00:00"/>
    <n v="62501.740698760252"/>
    <n v="56100.874288607927"/>
    <n v="1467"/>
  </r>
  <r>
    <d v="2016-10-27T00:00:00"/>
    <n v="53675.218280300003"/>
    <n v="48201.940975749021"/>
    <n v="1257"/>
  </r>
  <r>
    <d v="2016-10-28T00:00:00"/>
    <n v="102606.3269819471"/>
    <n v="92657.699525096017"/>
    <n v="2405"/>
  </r>
  <r>
    <d v="2016-10-29T00:00:00"/>
    <n v="124988.1554671887"/>
    <n v="113187.8460229753"/>
    <n v="2929"/>
  </r>
  <r>
    <d v="2016-10-30T00:00:00"/>
    <n v="67521.037488925373"/>
    <n v="61233.718874185091"/>
    <n v="1582"/>
  </r>
  <r>
    <d v="2016-10-31T00:00:00"/>
    <n v="70020.596009840374"/>
    <n v="62316.15133820178"/>
    <n v="1639"/>
  </r>
  <r>
    <d v="2016-11-01T00:00:00"/>
    <n v="126954.1701789974"/>
    <n v="110698.74289754211"/>
    <n v="2971"/>
  </r>
  <r>
    <d v="2016-11-02T00:00:00"/>
    <n v="97558.247051041471"/>
    <n v="86203.875203719464"/>
    <n v="2284"/>
  </r>
  <r>
    <d v="2016-11-03T00:00:00"/>
    <n v="97039.009870491587"/>
    <n v="89413.415966019093"/>
    <n v="2266"/>
  </r>
  <r>
    <d v="2016-11-04T00:00:00"/>
    <n v="168349.26532293609"/>
    <n v="156675.5901244042"/>
    <n v="3938"/>
  </r>
  <r>
    <d v="2016-11-05T00:00:00"/>
    <n v="202017.4219781323"/>
    <n v="189394.69373774901"/>
    <n v="4720"/>
  </r>
  <r>
    <d v="2016-11-06T00:00:00"/>
    <n v="108459.00005362221"/>
    <n v="102250.16777596821"/>
    <n v="2537"/>
  </r>
  <r>
    <d v="2016-11-07T00:00:00"/>
    <n v="112536.3770572526"/>
    <n v="105978.4824783128"/>
    <n v="2621"/>
  </r>
  <r>
    <d v="2016-11-08T00:00:00"/>
    <n v="100479.92998887179"/>
    <n v="94692.479289428011"/>
    <n v="2341"/>
  </r>
  <r>
    <d v="2016-11-09T00:00:00"/>
    <n v="81649.688672410848"/>
    <n v="77081.66057395043"/>
    <n v="1901"/>
  </r>
  <r>
    <d v="2016-11-10T00:00:00"/>
    <n v="71529.162644240496"/>
    <n v="67551.25097109293"/>
    <n v="1666"/>
  </r>
  <r>
    <d v="2016-11-11T00:00:00"/>
    <n v="160938.60161507491"/>
    <n v="152555.41733723061"/>
    <n v="3748"/>
  </r>
  <r>
    <d v="2016-11-12T00:00:00"/>
    <n v="164998.84464116491"/>
    <n v="156263.1494739097"/>
    <n v="3843"/>
  </r>
  <r>
    <d v="2016-11-13T00:00:00"/>
    <n v="97946.783047396821"/>
    <n v="93112.608909273331"/>
    <n v="2281"/>
  </r>
  <r>
    <d v="2016-11-14T00:00:00"/>
    <n v="87834.253684381343"/>
    <n v="83068.269026507172"/>
    <n v="2046"/>
  </r>
  <r>
    <d v="2016-11-15T00:00:00"/>
    <n v="95509.134975070017"/>
    <n v="88104.204530400457"/>
    <n v="2181"/>
  </r>
  <r>
    <d v="2016-11-16T00:00:00"/>
    <n v="77229.971885239516"/>
    <n v="71428.870002172305"/>
    <n v="1763"/>
  </r>
  <r>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3">
  <r>
    <d v="2013-12-30T00:00:00"/>
    <n v="223937.9678697265"/>
    <n v="230079.62101244801"/>
    <n v="6827"/>
    <n v="32.801811611209388"/>
    <n v="-6141.6531427215086"/>
    <n v="-2.7425689360074702E-2"/>
    <n v="-0.89961229569672019"/>
  </r>
  <r>
    <d v="2013-12-31T00:00:00"/>
    <n v="300345.48456398572"/>
    <n v="306986.12048428319"/>
    <n v="9268"/>
    <n v="32.40672038886337"/>
    <n v="-6640.6359202974709"/>
    <n v="-2.2109990865811557E-2"/>
    <n v="-0.71651229178867837"/>
  </r>
  <r>
    <d v="2014-01-01T00:00:00"/>
    <n v="86782.467727417796"/>
    <n v="87986.318214449886"/>
    <n v="2678"/>
    <n v="32.405701167818442"/>
    <n v="-1203.8504870320903"/>
    <n v="-1.387204718369341E-2"/>
    <n v="-0.44953341562064614"/>
  </r>
  <r>
    <d v="2014-01-02T00:00:00"/>
    <n v="200173.11675267719"/>
    <n v="202881.17770623259"/>
    <n v="6175"/>
    <n v="32.416699069259465"/>
    <n v="-2708.0609535553958"/>
    <n v="-1.3528594635918698E-2"/>
    <n v="-0.43855238114257422"/>
  </r>
  <r>
    <d v="2014-01-03T00:00:00"/>
    <n v="326906.07417633059"/>
    <n v="333806.29187335481"/>
    <n v="10084"/>
    <n v="32.418293750131951"/>
    <n v="-6900.217697024229"/>
    <n v="-2.1107646024656933E-2"/>
    <n v="-0.68427386920113342"/>
  </r>
  <r>
    <d v="2014-01-04T00:00:00"/>
    <n v="307043.93542216189"/>
    <n v="313652.34827236348"/>
    <n v="9470"/>
    <n v="32.422802050914669"/>
    <n v="-6608.4128502015956"/>
    <n v="-2.1522694597812312E-2"/>
    <n v="-0.69782606654715895"/>
  </r>
  <r>
    <d v="2014-01-05T00:00:00"/>
    <n v="179188.8844878097"/>
    <n v="183083.28498402701"/>
    <n v="5524"/>
    <n v="32.43824845905317"/>
    <n v="-3894.4004962173058"/>
    <n v="-2.1733493722833258E-2"/>
    <n v="-0.70499646926453763"/>
  </r>
  <r>
    <d v="2014-01-06T00:00:00"/>
    <n v="306351.95085899188"/>
    <n v="313446.06814884301"/>
    <n v="9448"/>
    <n v="32.42505830429635"/>
    <n v="-7094.1172898511286"/>
    <n v="-2.3156755718250408E-2"/>
    <n v="-0.75085915430261729"/>
  </r>
  <r>
    <d v="2014-01-07T00:00:00"/>
    <n v="224020.40996847831"/>
    <n v="229533.9737283797"/>
    <n v="6911"/>
    <n v="32.41504991585564"/>
    <n v="-5513.5637599013862"/>
    <n v="-2.4611881393651561E-2"/>
    <n v="-0.79779536389833394"/>
  </r>
  <r>
    <d v="2014-01-08T00:00:00"/>
    <n v="101836.4022362371"/>
    <n v="99381.967517224926"/>
    <n v="2990"/>
    <n v="34.058997403423781"/>
    <n v="2454.4347190121771"/>
    <n v="2.4101742256353982E-2"/>
    <n v="0.82088117692714957"/>
  </r>
  <r>
    <d v="2014-01-09T00:00:00"/>
    <n v="107804.30494723171"/>
    <n v="104816.45851255261"/>
    <n v="3159"/>
    <n v="34.126085769937227"/>
    <n v="2987.8464346791006"/>
    <n v="2.7715464944944437E-2"/>
    <n v="0.94582033386486253"/>
  </r>
  <r>
    <d v="2014-01-10T00:00:00"/>
    <n v="144829.9567239302"/>
    <n v="141333.99628349251"/>
    <n v="4246"/>
    <n v="34.109740161076353"/>
    <n v="3495.9604404376878"/>
    <n v="2.4138379376178132E-2"/>
    <n v="0.8233538484309203"/>
  </r>
  <r>
    <d v="2014-01-11T00:00:00"/>
    <n v="146571.48235324019"/>
    <n v="143179.66998839291"/>
    <n v="4297"/>
    <n v="34.110189051254409"/>
    <n v="3391.8123648472829"/>
    <n v="2.314101154188335E-2"/>
    <n v="0.78934427853090128"/>
  </r>
  <r>
    <d v="2014-01-12T00:00:00"/>
    <n v="95422.3729783171"/>
    <n v="93126.147238344056"/>
    <n v="2796"/>
    <n v="34.128173454333727"/>
    <n v="2296.2257399730443"/>
    <n v="2.4063808814467624E-2"/>
    <n v="0.8212538411920759"/>
  </r>
  <r>
    <d v="2014-01-13T00:00:00"/>
    <n v="114883.17379115619"/>
    <n v="112186.3086630527"/>
    <n v="3369"/>
    <n v="34.100081267781597"/>
    <n v="2696.8651281034981"/>
    <n v="2.3474848745091904E-2"/>
    <n v="0.80049424995651475"/>
  </r>
  <r>
    <d v="2014-01-14T00:00:00"/>
    <n v="80090.80007989271"/>
    <n v="78096.76018225115"/>
    <n v="2348"/>
    <n v="34.110221499102515"/>
    <n v="1994.0398976415599"/>
    <n v="2.4897240327883503E-2"/>
    <n v="0.84925038230049399"/>
  </r>
  <r>
    <d v="2014-01-15T00:00:00"/>
    <n v="98945.371159077826"/>
    <n v="97159.002586869974"/>
    <n v="2903"/>
    <n v="34.083834364132905"/>
    <n v="1786.3685722078517"/>
    <n v="1.8054089355386282E-2"/>
    <n v="0.61535259118424102"/>
  </r>
  <r>
    <d v="2014-01-16T00:00:00"/>
    <n v="84904.901714107822"/>
    <n v="83350.433158824555"/>
    <n v="2491"/>
    <n v="34.084665481376085"/>
    <n v="1554.4685552832671"/>
    <n v="1.8308348798488465E-2"/>
    <n v="0.62403394431283299"/>
  </r>
  <r>
    <d v="2014-01-17T00:00:00"/>
    <n v="135460.6197039852"/>
    <n v="132703.3354197717"/>
    <n v="3968"/>
    <n v="34.138261014109176"/>
    <n v="2757.2842842134996"/>
    <n v="2.0354877234718433E-2"/>
    <n v="0.69488011194896659"/>
  </r>
  <r>
    <d v="2014-01-18T00:00:00"/>
    <n v="149925.74968577511"/>
    <n v="146928.41178089229"/>
    <n v="4393"/>
    <n v="34.128329088498774"/>
    <n v="2997.337904882821"/>
    <n v="1.9992148854782128E-2"/>
    <n v="0.68229863530225832"/>
  </r>
  <r>
    <d v="2014-01-19T00:00:00"/>
    <n v="74297.307184182937"/>
    <n v="72782.284321402927"/>
    <n v="2176"/>
    <n v="34.143983080966422"/>
    <n v="1515.0228627800097"/>
    <n v="2.0391356298072417E-2"/>
    <n v="0.69624212443934275"/>
  </r>
  <r>
    <d v="2014-01-20T00:00:00"/>
    <n v="83356.424561202701"/>
    <n v="81789.136122352749"/>
    <n v="2443"/>
    <n v="34.120517626362137"/>
    <n v="1567.2884388499515"/>
    <n v="1.8802251261379414E-2"/>
    <n v="0.641542545579186"/>
  </r>
  <r>
    <d v="2014-01-21T00:00:00"/>
    <n v="89922.014286172576"/>
    <n v="88388.916069159721"/>
    <n v="2638"/>
    <n v="34.087192678609775"/>
    <n v="1533.0982170128555"/>
    <n v="1.7049197898679657E-2"/>
    <n v="0.58115929378804221"/>
  </r>
  <r>
    <d v="2014-01-22T00:00:00"/>
    <n v="57806.302780099039"/>
    <n v="57157.282544092297"/>
    <n v="1704"/>
    <n v="33.923886608039339"/>
    <n v="649.02023600674147"/>
    <n v="1.1227499507721147E-2"/>
    <n v="0.38088042019174967"/>
  </r>
  <r>
    <d v="2014-01-23T00:00:00"/>
    <n v="63977.750348923553"/>
    <n v="62863.98723906299"/>
    <n v="1872"/>
    <n v="34.176148690664292"/>
    <n v="1113.7631098605634"/>
    <n v="1.7408600705499842E-2"/>
    <n v="0.59495892620756596"/>
  </r>
  <r>
    <d v="2014-01-24T00:00:00"/>
    <n v="116958.799847952"/>
    <n v="114823.7952238127"/>
    <n v="3423"/>
    <n v="34.168507113044697"/>
    <n v="2135.0046241392993"/>
    <n v="1.8254330814909469E-2"/>
    <n v="0.62372323229310522"/>
  </r>
  <r>
    <d v="2014-01-25T00:00:00"/>
    <n v="155272.8248054802"/>
    <n v="152636.27656236591"/>
    <n v="4544"/>
    <n v="34.170956163177863"/>
    <n v="2636.5482431142882"/>
    <n v="1.6980100970129541E-2"/>
    <n v="0.58022628589663028"/>
  </r>
  <r>
    <d v="2014-01-26T00:00:00"/>
    <n v="82885.215909762715"/>
    <n v="81583.166949853185"/>
    <n v="2426"/>
    <n v="34.165381661072843"/>
    <n v="1302.0489599095308"/>
    <n v="1.5709061569280026E-2"/>
    <n v="0.53670608405174391"/>
  </r>
  <r>
    <d v="2014-01-27T00:00:00"/>
    <n v="72353.425882453303"/>
    <n v="71377.156455436343"/>
    <n v="2117"/>
    <n v="34.177338631295846"/>
    <n v="976.26942701695953"/>
    <n v="1.3493064289768734E-2"/>
    <n v="0.46115702740527137"/>
  </r>
  <r>
    <d v="2014-01-28T00:00:00"/>
    <n v="50415.903762389164"/>
    <n v="49769.098243003224"/>
    <n v="1476"/>
    <n v="34.157116370182358"/>
    <n v="646.80551938593999"/>
    <n v="1.2829394518728518E-2"/>
    <n v="0.43821512153518971"/>
  </r>
  <r>
    <d v="2014-01-29T00:00:00"/>
    <n v="67458.30189127379"/>
    <n v="66529.441996531445"/>
    <n v="1974"/>
    <n v="34.173405213411243"/>
    <n v="928.8598947423452"/>
    <n v="1.3769393368950188E-2"/>
    <n v="0.47054705913999251"/>
  </r>
  <r>
    <d v="2014-01-30T00:00:00"/>
    <n v="64640.369313193798"/>
    <n v="63757.83986845208"/>
    <n v="1892"/>
    <n v="34.165100059827587"/>
    <n v="882.52944474171818"/>
    <n v="1.3652914643258147E-2"/>
    <n v="0.46645319489519987"/>
  </r>
  <r>
    <d v="2014-01-31T00:00:00"/>
    <n v="137693.87350033139"/>
    <n v="135609.5075820497"/>
    <n v="4030"/>
    <n v="34.167214268072307"/>
    <n v="2084.3659182816918"/>
    <n v="1.5137680895270008E-2"/>
    <n v="0.51721238667039504"/>
  </r>
  <r>
    <d v="2014-02-01T00:00:00"/>
    <n v="181209.1284812126"/>
    <n v="178435.71534579591"/>
    <n v="5304"/>
    <n v="34.164616983637366"/>
    <n v="2773.4131354166893"/>
    <n v="1.5305040969303218E-2"/>
    <n v="0.52289086263512241"/>
  </r>
  <r>
    <d v="2014-02-02T00:00:00"/>
    <n v="113433.581045457"/>
    <n v="111466.5168475372"/>
    <n v="3320"/>
    <n v="34.166741278752106"/>
    <n v="1967.0641979197972"/>
    <n v="1.7341109923449585E-2"/>
    <n v="0.59248921624090278"/>
  </r>
  <r>
    <d v="2014-02-03T00:00:00"/>
    <n v="143192.5333561764"/>
    <n v="140505.6347230032"/>
    <n v="4191"/>
    <n v="34.166674625668435"/>
    <n v="2686.8986331732012"/>
    <n v="1.8764237004521896E-2"/>
    <n v="0.64111158033242688"/>
  </r>
  <r>
    <d v="2014-02-04T00:00:00"/>
    <n v="130126.6498928814"/>
    <n v="128496.2877011727"/>
    <n v="3809"/>
    <n v="34.162943001544079"/>
    <n v="1630.3621917087003"/>
    <n v="1.2529041461151837E-2"/>
    <n v="0.42802892930131275"/>
  </r>
  <r>
    <d v="2014-02-05T00:00:00"/>
    <n v="187155.86854573971"/>
    <n v="195078.6033309428"/>
    <n v="5764"/>
    <n v="32.469789824035338"/>
    <n v="-7922.7347852030944"/>
    <n v="-4.2332280824348437E-2"/>
    <n v="-1.3745202611386353"/>
  </r>
  <r>
    <d v="2014-02-06T00:00:00"/>
    <n v="102314.70959650401"/>
    <n v="101977.98995528861"/>
    <n v="3028"/>
    <n v="33.789534212848089"/>
    <n v="336.71964121540077"/>
    <n v="3.2910188822634955E-3"/>
    <n v="0.11120199511737146"/>
  </r>
  <r>
    <d v="2014-02-07T00:00:00"/>
    <n v="301553.84255508689"/>
    <n v="313529.18774871569"/>
    <n v="9284"/>
    <n v="32.481025695291564"/>
    <n v="-11975.345193628804"/>
    <n v="-3.9712129323774693E-2"/>
    <n v="-1.2898906929802676"/>
  </r>
  <r>
    <d v="2014-02-08T00:00:00"/>
    <n v="316073.17754939431"/>
    <n v="329754.77946358221"/>
    <n v="9737"/>
    <n v="32.461043190859023"/>
    <n v="-13681.601914187893"/>
    <n v="-4.328618461163096E-2"/>
    <n v="-1.4051147082456499"/>
  </r>
  <r>
    <d v="2014-02-09T00:00:00"/>
    <n v="135178.04255458229"/>
    <n v="141530.7086832913"/>
    <n v="4163"/>
    <n v="32.47130496146584"/>
    <n v="-6352.6661287090101"/>
    <n v="-4.6994807800563657E-2"/>
    <n v="-1.5259827356975764"/>
  </r>
  <r>
    <d v="2014-02-10T00:00:00"/>
    <n v="147727.5161863135"/>
    <n v="154828.68457507671"/>
    <n v="4552"/>
    <n v="32.453320779067113"/>
    <n v="-7101.1683887632098"/>
    <n v="-4.8069368334923049E-2"/>
    <n v="-1.5600106302203889"/>
  </r>
  <r>
    <d v="2014-02-11T00:00:00"/>
    <n v="135498.74644438611"/>
    <n v="139824.1616410127"/>
    <n v="4172"/>
    <n v="32.478127143908466"/>
    <n v="-4325.4151966265927"/>
    <n v="-3.1922178692641329E-2"/>
    <n v="-1.0367725782901709"/>
  </r>
  <r>
    <d v="2014-02-12T00:00:00"/>
    <n v="163432.8452052823"/>
    <n v="166893.36891900509"/>
    <n v="5037"/>
    <n v="32.446465198586914"/>
    <n v="-3460.5237137227959"/>
    <n v="-2.1173979498283549E-2"/>
    <n v="-0.68702078890664997"/>
  </r>
  <r>
    <d v="2014-02-13T00:00:00"/>
    <n v="138291.63332158609"/>
    <n v="141027.4344556813"/>
    <n v="4259"/>
    <n v="32.470446894009413"/>
    <n v="-2735.8011340952071"/>
    <n v="-1.9782839123270179E-2"/>
    <n v="-0.6423576271648761"/>
  </r>
  <r>
    <d v="2014-02-14T00:00:00"/>
    <n v="336901.37170009938"/>
    <n v="343519.87554694671"/>
    <n v="10381"/>
    <n v="32.453652991050902"/>
    <n v="-6618.5038468473358"/>
    <n v="-1.9645226772003029E-2"/>
    <n v="-0.63755937258908923"/>
  </r>
  <r>
    <d v="2014-02-15T00:00:00"/>
    <n v="367729.26821441198"/>
    <n v="373973.59333485219"/>
    <n v="11332"/>
    <n v="32.450517844547477"/>
    <n v="-6244.3251204402186"/>
    <n v="-1.6980767265985852E-2"/>
    <n v="-0.55103469117898152"/>
  </r>
  <r>
    <d v="2014-02-16T00:00:00"/>
    <n v="133913.84138739109"/>
    <n v="136797.07737015281"/>
    <n v="4127"/>
    <n v="32.448229073756018"/>
    <n v="-2883.2359827617183"/>
    <n v="-2.1530530025055311E-2"/>
    <n v="-0.69862757033237666"/>
  </r>
  <r>
    <d v="2014-02-17T00:00:00"/>
    <n v="150800.3470166623"/>
    <n v="152887.1063994804"/>
    <n v="4649"/>
    <n v="32.437157886999849"/>
    <n v="-2086.7593828180979"/>
    <n v="-1.3837895098394745E-2"/>
    <n v="-0.4488619881303717"/>
  </r>
  <r>
    <d v="2014-02-18T00:00:00"/>
    <n v="55591.930335773912"/>
    <n v="53463.244211993297"/>
    <n v="1627"/>
    <n v="34.168365295497182"/>
    <n v="2128.6861237806152"/>
    <n v="3.8291279164501084E-2"/>
    <n v="1.308350414124533"/>
  </r>
  <r>
    <d v="2014-02-19T00:00:00"/>
    <n v="106427.191838824"/>
    <n v="107736.4440759586"/>
    <n v="3281"/>
    <n v="32.437425126127401"/>
    <n v="-1309.2522371345985"/>
    <n v="-1.2301858336329713E-2"/>
    <n v="-0.39904060869692121"/>
  </r>
  <r>
    <d v="2014-02-20T00:00:00"/>
    <n v="78940.554424797941"/>
    <n v="75934.394822039583"/>
    <n v="2310"/>
    <n v="34.173400183895211"/>
    <n v="3006.1596027583582"/>
    <n v="3.8081308456253002E-2"/>
    <n v="1.3013677934018866"/>
  </r>
  <r>
    <d v="2014-02-21T00:00:00"/>
    <n v="317916.31785853428"/>
    <n v="322089.78895544191"/>
    <n v="9802"/>
    <n v="32.433821450574811"/>
    <n v="-4173.4710969076259"/>
    <n v="-1.3127577486490417E-2"/>
    <n v="-0.42577750427541583"/>
  </r>
  <r>
    <d v="2014-02-22T00:00:00"/>
    <n v="309217.87556252623"/>
    <n v="320116.92432327801"/>
    <n v="9772"/>
    <n v="31.643253741560194"/>
    <n v="-10899.048760751786"/>
    <n v="-3.5247149735196714E-2"/>
    <n v="-1.1153345027375958"/>
  </r>
  <r>
    <d v="2014-02-23T00:00:00"/>
    <n v="138491.5499504623"/>
    <n v="140752.60159166719"/>
    <n v="4270"/>
    <n v="32.433618255377588"/>
    <n v="-2261.0516412048892"/>
    <n v="-1.6326278693636221E-2"/>
    <n v="-0.52952029068030193"/>
  </r>
  <r>
    <d v="2014-02-24T00:00:00"/>
    <n v="133146.22220523609"/>
    <n v="134505.40422379479"/>
    <n v="4106"/>
    <n v="32.427233854173423"/>
    <n v="-1359.1820185586985"/>
    <n v="-1.0208190634681391E-2"/>
    <n v="-0.33102338493879652"/>
  </r>
  <r>
    <d v="2014-02-25T00:00:00"/>
    <n v="224994.65618289221"/>
    <n v="227546.44655960059"/>
    <n v="6937"/>
    <n v="32.433999738055675"/>
    <n v="-2551.7903767083772"/>
    <n v="-1.1341559928579345E-2"/>
    <n v="-0.36785215175268521"/>
  </r>
  <r>
    <d v="2014-02-26T00:00:00"/>
    <n v="225051.59146803219"/>
    <n v="228214.1421194314"/>
    <n v="6934"/>
    <n v="32.456243361412199"/>
    <n v="-3162.550651399215"/>
    <n v="-1.4052558485677026E-2"/>
    <n v="-0.45609325806161161"/>
  </r>
  <r>
    <d v="2014-02-27T00:00:00"/>
    <n v="344299.68244112999"/>
    <n v="365935.6529559262"/>
    <n v="11082"/>
    <n v="31.068370550544124"/>
    <n v="-21635.970514796209"/>
    <n v="-6.2840518357131017E-2"/>
    <n v="-1.9523525099076167"/>
  </r>
  <r>
    <d v="2014-02-28T00:00:00"/>
    <n v="661876.49999964947"/>
    <n v="686656.79099217081"/>
    <n v="20805"/>
    <n v="31.813338139853375"/>
    <n v="-24780.290992521332"/>
    <n v="-3.743944828458852E-2"/>
    <n v="-1.191073828047168"/>
  </r>
  <r>
    <d v="2014-03-01T00:00:00"/>
    <n v="846678.38816080405"/>
    <n v="872081.58500352106"/>
    <n v="26410"/>
    <n v="32.059007503248921"/>
    <n v="-25403.196842717007"/>
    <n v="-3.0003360423429569E-2"/>
    <n v="-0.96187795693741029"/>
  </r>
  <r>
    <d v="2014-03-02T00:00:00"/>
    <n v="478902.30487182317"/>
    <n v="495554.44992388849"/>
    <n v="15004"/>
    <n v="31.918308775781338"/>
    <n v="-16652.145052065316"/>
    <n v="-3.4771486548853037E-2"/>
    <n v="-1.1098470442592185"/>
  </r>
  <r>
    <d v="2014-03-03T00:00:00"/>
    <n v="538827.20213254262"/>
    <n v="557567.13698481338"/>
    <n v="16884"/>
    <n v="31.913480344263363"/>
    <n v="-18739.934852270759"/>
    <n v="-3.4779118014277688E-2"/>
    <n v="-1.1099226991394668"/>
  </r>
  <r>
    <d v="2014-03-04T00:00:00"/>
    <n v="310346.12128754472"/>
    <n v="323325.02992702462"/>
    <n v="9789"/>
    <n v="31.703557185365689"/>
    <n v="-12978.908639479894"/>
    <n v="-4.1820753504615442E-2"/>
    <n v="-1.325866650268658"/>
  </r>
  <r>
    <d v="2014-03-05T00:00:00"/>
    <n v="256390.52221047229"/>
    <n v="267308.50708271051"/>
    <n v="8079"/>
    <n v="31.735427925544286"/>
    <n v="-10917.984872238216"/>
    <n v="-4.258341836550255E-2"/>
    <n v="-1.3514030043617051"/>
  </r>
  <r>
    <d v="2014-03-06T00:00:00"/>
    <n v="167803.65977609379"/>
    <n v="168135.69000612191"/>
    <n v="5072"/>
    <n v="33.084317779198301"/>
    <n v="-332.03023002811824"/>
    <n v="-1.9786828873169849E-3"/>
    <n v="-6.5463373428256755E-2"/>
  </r>
  <r>
    <d v="2014-03-07T00:00:00"/>
    <n v="465318.02151156618"/>
    <n v="483774.59671529243"/>
    <n v="14551"/>
    <n v="31.978422205454347"/>
    <n v="-18456.575203726243"/>
    <n v="-3.966443238920949E-2"/>
    <n v="-1.2684059654818391"/>
  </r>
  <r>
    <d v="2014-03-08T00:00:00"/>
    <n v="520146.74963959062"/>
    <n v="541498.95824459626"/>
    <n v="16262"/>
    <n v="31.985410751419913"/>
    <n v="-21352.208605005639"/>
    <n v="-4.1050354769688692E-2"/>
    <n v="-1.3130124588000023"/>
  </r>
  <r>
    <d v="2014-03-09T00:00:00"/>
    <n v="224699.25281941221"/>
    <n v="233589.98296831999"/>
    <n v="7014"/>
    <n v="32.035821616682668"/>
    <n v="-8890.7301489077799"/>
    <n v="-3.9567243937625111E-2"/>
    <n v="-1.2675691686495267"/>
  </r>
  <r>
    <d v="2014-03-10T00:00:00"/>
    <n v="286230.67889633839"/>
    <n v="297642.8914364595"/>
    <n v="8932"/>
    <n v="32.045530552657681"/>
    <n v="-11412.212540121109"/>
    <n v="-3.9870682570173295E-2"/>
    <n v="-1.2776771764578043"/>
  </r>
  <r>
    <d v="2014-03-11T00:00:00"/>
    <n v="187143.01806258349"/>
    <n v="191499.0428132079"/>
    <n v="5737"/>
    <n v="32.620362221123145"/>
    <n v="-4356.024750624405"/>
    <n v="-2.3276448118239087E-2"/>
    <n v="-0.75928616883813926"/>
  </r>
  <r>
    <d v="2014-03-12T00:00:00"/>
    <n v="191700.3891282347"/>
    <n v="197153.4240190601"/>
    <n v="5903"/>
    <n v="32.475078625823258"/>
    <n v="-5453.0348908253945"/>
    <n v="-2.8445612007483616E-2"/>
    <n v="-0.92377348650269264"/>
  </r>
  <r>
    <d v="2014-03-13T00:00:00"/>
    <n v="164663.9676028023"/>
    <n v="168975.1740454408"/>
    <n v="5056"/>
    <n v="32.568031567009946"/>
    <n v="-4311.2064426385041"/>
    <n v="-2.618184479216408E-2"/>
    <n v="-0.85269114767375476"/>
  </r>
  <r>
    <d v="2014-03-14T00:00:00"/>
    <n v="395941.34513216221"/>
    <n v="406765.91395402339"/>
    <n v="12167"/>
    <n v="32.542232689419102"/>
    <n v="-10824.568821861176"/>
    <n v="-2.7338819133041075E-2"/>
    <n v="-0.88966621368136567"/>
  </r>
  <r>
    <d v="2014-03-15T00:00:00"/>
    <n v="518183.2103749144"/>
    <n v="534383.14311860851"/>
    <n v="15971"/>
    <n v="32.44525767797348"/>
    <n v="-16199.932743694109"/>
    <n v="-3.1262944108075563E-2"/>
    <n v="-1.0143342773585944"/>
  </r>
  <r>
    <d v="2014-03-16T00:00:00"/>
    <n v="226617.95494027081"/>
    <n v="233191.1045662229"/>
    <n v="6968"/>
    <n v="32.522668619441852"/>
    <n v="-6573.1496259520936"/>
    <n v="-2.9005422927254658E-2"/>
    <n v="-0.94333375802986419"/>
  </r>
  <r>
    <d v="2014-03-17T00:00:00"/>
    <n v="243707.87194737699"/>
    <n v="250794.2212640947"/>
    <n v="7494"/>
    <n v="32.520399245713506"/>
    <n v="-7086.3493167177076"/>
    <n v="-2.9077227830571838E-2"/>
    <n v="-0.94560305800876798"/>
  </r>
  <r>
    <d v="2014-03-18T00:00:00"/>
    <n v="94849.743799770498"/>
    <n v="90571.58892297688"/>
    <n v="2707"/>
    <n v="35.038693682959178"/>
    <n v="4278.1548767936183"/>
    <n v="4.51045485776417E-2"/>
    <n v="1.5804044613201398"/>
  </r>
  <r>
    <d v="2014-03-19T00:00:00"/>
    <n v="92386.783066575619"/>
    <n v="88255.840991793899"/>
    <n v="2637"/>
    <n v="35.034805865216391"/>
    <n v="4130.9420747817203"/>
    <n v="4.4713561157388573E-2"/>
    <n v="1.566530934691589"/>
  </r>
  <r>
    <d v="2014-03-20T00:00:00"/>
    <n v="180394.82770444019"/>
    <n v="172344.30443948091"/>
    <n v="5149"/>
    <n v="35.034924782373317"/>
    <n v="8050.5232649592799"/>
    <n v="4.4627239968039988E-2"/>
    <n v="1.5635119955252048"/>
  </r>
  <r>
    <d v="2014-03-21T00:00:00"/>
    <n v="200939.69236394399"/>
    <n v="192019.14427492701"/>
    <n v="5735"/>
    <n v="35.037435460147165"/>
    <n v="8920.5480890169856"/>
    <n v="4.4394156197173823E-2"/>
    <n v="1.5554573825661702"/>
  </r>
  <r>
    <d v="2014-03-22T00:00:00"/>
    <n v="172953.92471044019"/>
    <n v="165201.30501850991"/>
    <n v="4936"/>
    <n v="35.039287826264221"/>
    <n v="7752.6196919302747"/>
    <n v="4.4824768821579077E-2"/>
    <n v="1.5706279764850637"/>
  </r>
  <r>
    <d v="2014-03-23T00:00:00"/>
    <n v="70194.79953786121"/>
    <n v="67061.622709446878"/>
    <n v="2003"/>
    <n v="35.044832520150379"/>
    <n v="3133.1768284143327"/>
    <n v="4.4635455176766765E-2"/>
    <n v="1.5642420511304707"/>
  </r>
  <r>
    <d v="2014-03-24T00:00:00"/>
    <n v="81378.21463167097"/>
    <n v="77703.6463336835"/>
    <n v="2323"/>
    <n v="35.031517275794648"/>
    <n v="3674.5682979874691"/>
    <n v="4.5154201460662076E-2"/>
    <n v="1.5818201885438954"/>
  </r>
  <r>
    <d v="2014-03-25T00:00:00"/>
    <n v="130227.01471457881"/>
    <n v="127394.2892421362"/>
    <n v="3822"/>
    <n v="34.073002280109577"/>
    <n v="2832.725472442602"/>
    <n v="2.1752210773249653E-2"/>
    <n v="0.74116312727435951"/>
  </r>
  <r>
    <d v="2014-03-26T00:00:00"/>
    <n v="125310.0364078538"/>
    <n v="122275.1025821775"/>
    <n v="3666"/>
    <n v="34.181679325655701"/>
    <n v="3034.9338256763003"/>
    <n v="2.4219399440586917E-2"/>
    <n v="0.82785974513810701"/>
  </r>
  <r>
    <d v="2014-03-27T00:00:00"/>
    <n v="119452.33963454991"/>
    <n v="118186.5750412271"/>
    <n v="3543"/>
    <n v="33.715026710287866"/>
    <n v="1265.764593322805"/>
    <n v="1.0596398506678562E-2"/>
    <n v="0.35725785868552218"/>
  </r>
  <r>
    <d v="2014-03-28T00:00:00"/>
    <n v="276174.76932028373"/>
    <n v="271550.89558082249"/>
    <n v="8130"/>
    <n v="33.969836324758148"/>
    <n v="4623.8737394612399"/>
    <n v="1.674256395992086E-2"/>
    <n v="0.56874215737530631"/>
  </r>
  <r>
    <d v="2014-03-29T00:00:00"/>
    <n v="357369.26694065123"/>
    <n v="352250.83007461781"/>
    <n v="10518"/>
    <n v="33.976922127842862"/>
    <n v="5118.4368660334148"/>
    <n v="1.4322543485205291E-2"/>
    <n v="0.48663594466946331"/>
  </r>
  <r>
    <d v="2014-03-30T00:00:00"/>
    <n v="163865.49027270381"/>
    <n v="160525.4268777135"/>
    <n v="4791"/>
    <n v="34.202774008078443"/>
    <n v="3340.0633949903131"/>
    <n v="2.0382957933557596E-2"/>
    <n v="0.69715370381763997"/>
  </r>
  <r>
    <d v="2014-03-31T00:00:00"/>
    <n v="190719.61452860001"/>
    <n v="187072.59522993831"/>
    <n v="5583"/>
    <n v="34.160776379831631"/>
    <n v="3647.0192986617039"/>
    <n v="1.9122413327417893E-2"/>
    <n v="0.65323648552063474"/>
  </r>
  <r>
    <d v="2014-04-01T00:00:00"/>
    <n v="244535.20522546369"/>
    <n v="239700.68479759869"/>
    <n v="7155"/>
    <n v="34.176828123754532"/>
    <n v="4834.5204278650053"/>
    <n v="1.977024299387703E-2"/>
    <n v="0.67568419676659752"/>
  </r>
  <r>
    <d v="2014-04-02T00:00:00"/>
    <n v="155620.50378882751"/>
    <n v="153366.0188105522"/>
    <n v="4575"/>
    <n v="34.015410664224589"/>
    <n v="2254.4849782753154"/>
    <n v="1.4487069013313219E-2"/>
    <n v="0.49278360180881209"/>
  </r>
  <r>
    <d v="2014-04-03T00:00:00"/>
    <n v="136001.97816007739"/>
    <n v="134523.0686337204"/>
    <n v="3997"/>
    <n v="34.026014050557265"/>
    <n v="1478.9095263569907"/>
    <n v="1.0874176584522034E-2"/>
    <n v="0.37000488525318759"/>
  </r>
  <r>
    <d v="2014-04-04T00:00:00"/>
    <n v="190559.8875127674"/>
    <n v="187742.30001175261"/>
    <n v="5558"/>
    <n v="34.285694046917484"/>
    <n v="2817.5875010147865"/>
    <n v="1.4785837343790466E-2"/>
    <n v="0.50694269539668702"/>
  </r>
  <r>
    <d v="2014-04-05T00:00:00"/>
    <n v="217110.50252912121"/>
    <n v="213540.7341841938"/>
    <n v="6320"/>
    <n v="34.352927615367278"/>
    <n v="3569.7683449274045"/>
    <n v="1.6442172549660919E-2"/>
    <n v="0.56483676343788047"/>
  </r>
  <r>
    <d v="2014-04-06T00:00:00"/>
    <n v="119190.0999825563"/>
    <n v="116856.31461341619"/>
    <n v="3447"/>
    <n v="34.577922826387095"/>
    <n v="2333.7853691401106"/>
    <n v="1.9580362542540568E-2"/>
    <n v="0.67704826490864822"/>
  </r>
  <r>
    <d v="2014-04-07T00:00:00"/>
    <n v="131910.19745153241"/>
    <n v="130784.4447090652"/>
    <n v="3854"/>
    <n v="34.226828607040062"/>
    <n v="1125.7527424672153"/>
    <n v="8.53423589848578E-3"/>
    <n v="0.29209982938952134"/>
  </r>
  <r>
    <d v="2014-04-08T00:00:00"/>
    <n v="118921.3076762588"/>
    <n v="115305.8051854457"/>
    <n v="3394"/>
    <n v="35.038688178037361"/>
    <n v="3615.5024908131018"/>
    <n v="3.0402478424267219E-2"/>
    <n v="1.0652629613474076"/>
  </r>
  <r>
    <d v="2014-04-09T00:00:00"/>
    <n v="124828.28283680879"/>
    <n v="121264.7031181628"/>
    <n v="3563"/>
    <n v="35.034600852317929"/>
    <n v="3563.5797186459968"/>
    <n v="2.8547855002577865E-2"/>
    <n v="1.0001627052051634"/>
  </r>
  <r>
    <d v="2014-04-10T00:00:00"/>
    <n v="179326.4902280964"/>
    <n v="183278.50242698641"/>
    <n v="5380"/>
    <n v="33.332061380687065"/>
    <n v="-3952.0121988900064"/>
    <n v="-2.2038083686705734E-2"/>
    <n v="-0.73457475815799378"/>
  </r>
  <r>
    <d v="2014-04-11T00:00:00"/>
    <n v="318949.81705616001"/>
    <n v="326322.52601226018"/>
    <n v="9573"/>
    <n v="33.317645153678058"/>
    <n v="-7372.708956100163"/>
    <n v="-2.3115576688987383E-2"/>
    <n v="-0.77015658164631395"/>
  </r>
  <r>
    <d v="2014-04-12T00:00:00"/>
    <n v="375031.10932268901"/>
    <n v="383727.19401292427"/>
    <n v="11250"/>
    <n v="33.336098606461242"/>
    <n v="-8696.0846902352641"/>
    <n v="-2.3187635569594491E-2"/>
    <n v="-0.77298530579869018"/>
  </r>
  <r>
    <d v="2014-04-13T00:00:00"/>
    <n v="166393.5407052727"/>
    <n v="170061.86414652271"/>
    <n v="4990"/>
    <n v="33.345398938932405"/>
    <n v="-3668.3234412500169"/>
    <n v="-2.2046068769866464E-2"/>
    <n v="-0.73513495816633601"/>
  </r>
  <r>
    <d v="2014-04-14T00:00:00"/>
    <n v="193652.32776782889"/>
    <n v="198212.06872996839"/>
    <n v="5810"/>
    <n v="33.330865364514437"/>
    <n v="-4559.7409621395054"/>
    <n v="-2.3546016795657682E-2"/>
    <n v="-0.7848091156866619"/>
  </r>
  <r>
    <d v="2014-04-15T00:00:00"/>
    <n v="249805.5172134914"/>
    <n v="255956.65403528849"/>
    <n v="7497"/>
    <n v="33.320730587367137"/>
    <n v="-6151.1368217970885"/>
    <n v="-2.4623702832552493E-2"/>
    <n v="-0.82047976814687051"/>
  </r>
  <r>
    <d v="2014-04-16T00:00:00"/>
    <n v="294023.41088805022"/>
    <n v="301522.35225437139"/>
    <n v="8821"/>
    <n v="33.332208467072917"/>
    <n v="-7498.9413663211744"/>
    <n v="-2.5504572386504304E-2"/>
    <n v="-0.85012372365051292"/>
  </r>
  <r>
    <d v="2014-04-17T00:00:00"/>
    <n v="612236.00579723774"/>
    <n v="627927.75867338968"/>
    <n v="18366"/>
    <n v="33.335293792727747"/>
    <n v="-15691.752876151935"/>
    <n v="-2.5630235281112787E-2"/>
    <n v="-0.85439142307263072"/>
  </r>
  <r>
    <d v="2014-04-18T00:00:00"/>
    <n v="464815.51786854689"/>
    <n v="476692.5436944089"/>
    <n v="13940"/>
    <n v="33.344011324859892"/>
    <n v="-11877.025825862016"/>
    <n v="-2.5552128466633774E-2"/>
    <n v="-0.85201046096571131"/>
  </r>
  <r>
    <d v="2014-04-19T00:00:00"/>
    <n v="360480.94044953783"/>
    <n v="369765.61276322469"/>
    <n v="10814"/>
    <n v="33.334653268867932"/>
    <n v="-9284.6723136868677"/>
    <n v="-2.5756347345600061E-2"/>
    <n v="-0.85857890823810501"/>
  </r>
  <r>
    <d v="2014-04-20T00:00:00"/>
    <n v="114279.5772537695"/>
    <n v="117190.8261541667"/>
    <n v="3429"/>
    <n v="33.327377443502336"/>
    <n v="-2911.2489003972005"/>
    <n v="-2.5474795850289805E-2"/>
    <n v="-0.84900813659877528"/>
  </r>
  <r>
    <d v="2014-04-21T00:00:00"/>
    <n v="161170.8204027302"/>
    <n v="165415.08384550369"/>
    <n v="4834"/>
    <n v="33.341088209087751"/>
    <n v="-4244.2634427734884"/>
    <n v="-2.6333944520279873E-2"/>
    <n v="-0.87800236714387425"/>
  </r>
  <r>
    <d v="2014-04-22T00:00:00"/>
    <n v="182483.14649530521"/>
    <n v="187344.7371716582"/>
    <n v="5475"/>
    <n v="33.330255067635655"/>
    <n v="-4861.5906763529929"/>
    <n v="-2.6641313292337758E-2"/>
    <n v="-0.88796176737040966"/>
  </r>
  <r>
    <d v="2014-04-23T00:00:00"/>
    <n v="109358.41252901949"/>
    <n v="106849.898795566"/>
    <n v="3121"/>
    <n v="35.03954262384476"/>
    <n v="2508.5137334534957"/>
    <n v="2.2938461481304268E-2"/>
    <n v="0.80375319879958207"/>
  </r>
  <r>
    <d v="2014-04-24T00:00:00"/>
    <n v="98430.114109290502"/>
    <n v="96197.482231430811"/>
    <n v="2809"/>
    <n v="35.04098045898558"/>
    <n v="2232.6318778596906"/>
    <n v="2.2682406680751371E-2"/>
    <n v="0.79481376926297276"/>
  </r>
  <r>
    <d v="2014-04-25T00:00:00"/>
    <n v="295741.34696188261"/>
    <n v="292327.02825568401"/>
    <n v="8537"/>
    <n v="34.642303732210685"/>
    <n v="3414.3187061985955"/>
    <n v="1.1544948791481154E-2"/>
    <n v="0.39994362260730881"/>
  </r>
  <r>
    <d v="2014-04-26T00:00:00"/>
    <n v="285053.97993312759"/>
    <n v="281159.58112341299"/>
    <n v="8209"/>
    <n v="34.724568148754734"/>
    <n v="3894.3988097145921"/>
    <n v="1.3661969605294411E-2"/>
    <n v="0.47440599460526156"/>
  </r>
  <r>
    <d v="2014-04-27T00:00:00"/>
    <n v="124964.7964680588"/>
    <n v="123042.1589528976"/>
    <n v="3592"/>
    <n v="34.789754027856013"/>
    <n v="1922.637515161201"/>
    <n v="1.5385433093972431E-2"/>
    <n v="0.5352554329513366"/>
  </r>
  <r>
    <d v="2014-04-28T00:00:00"/>
    <n v="124175.8083521588"/>
    <n v="122516.0657042025"/>
    <n v="3576"/>
    <n v="34.724778621968341"/>
    <n v="1659.7426479563001"/>
    <n v="1.3366070815092427E-2"/>
    <n v="0.46413385009963648"/>
  </r>
  <r>
    <d v="2014-04-29T00:00:00"/>
    <n v="131842.57163224381"/>
    <n v="130405.26385817111"/>
    <n v="3807"/>
    <n v="34.631618500720727"/>
    <n v="1437.3077740727022"/>
    <n v="1.0901697048824781E-2"/>
    <n v="0.37754341320533286"/>
  </r>
  <r>
    <d v="2014-04-30T00:00:00"/>
    <n v="154850.05725768139"/>
    <n v="150644.3482406672"/>
    <n v="4398"/>
    <n v="35.209199012660612"/>
    <n v="4205.7090170141892"/>
    <n v="2.7159880283515774E-2"/>
    <n v="0.95627763006234401"/>
  </r>
  <r>
    <d v="2014-05-01T00:00:00"/>
    <n v="180294.2687300276"/>
    <n v="175656.65039321329"/>
    <n v="5124"/>
    <n v="35.186235115149806"/>
    <n v="4637.6183368143102"/>
    <n v="2.5722494505683226E-2"/>
    <n v="0.90507773942511904"/>
  </r>
  <r>
    <d v="2014-05-02T00:00:00"/>
    <n v="163849.03582968141"/>
    <n v="157300.625596072"/>
    <n v="4581"/>
    <n v="35.76708924463685"/>
    <n v="6548.4102336094074"/>
    <n v="3.9966120035130268E-2"/>
    <n v="1.4294717820583731"/>
  </r>
  <r>
    <d v="2014-05-03T00:00:00"/>
    <n v="131436.7924474414"/>
    <n v="127601.9447259398"/>
    <n v="3697"/>
    <n v="35.552283594114527"/>
    <n v="3834.8477215016028"/>
    <n v="2.917636416785712E-2"/>
    <n v="1.0372863731408177"/>
  </r>
  <r>
    <d v="2014-05-04T00:00:00"/>
    <n v="93082.043956892812"/>
    <n v="91601.506543395022"/>
    <n v="2642"/>
    <n v="35.231659332661927"/>
    <n v="1480.5374134977901"/>
    <n v="1.5905725213591584E-2"/>
    <n v="0.56038509216419008"/>
  </r>
  <r>
    <d v="2014-05-05T00:00:00"/>
    <n v="110887.01329721219"/>
    <n v="109460.1532226706"/>
    <n v="3154"/>
    <n v="35.157581895121176"/>
    <n v="1426.8600745415897"/>
    <n v="1.2867693268256351E-2"/>
    <n v="0.45239697988002209"/>
  </r>
  <r>
    <d v="2014-05-06T00:00:00"/>
    <n v="119385.5753679569"/>
    <n v="115693.1066418478"/>
    <n v="3324"/>
    <n v="35.916238077002681"/>
    <n v="3692.4687261091021"/>
    <n v="3.0928935214564968E-2"/>
    <n v="1.1108510006345074"/>
  </r>
  <r>
    <d v="2014-05-07T00:00:00"/>
    <n v="91719.589378837452"/>
    <n v="93157.170582525898"/>
    <n v="2677"/>
    <n v="34.26208045529976"/>
    <n v="-1437.5812036884454"/>
    <n v="-1.5673655032957878E-2"/>
    <n v="-0.5370120297678167"/>
  </r>
  <r>
    <d v="2014-05-08T00:00:00"/>
    <n v="96335.448951387458"/>
    <n v="93696.216137213793"/>
    <n v="2683"/>
    <n v="35.905869903610679"/>
    <n v="2639.2328141736652"/>
    <n v="2.7396278762405187E-2"/>
    <n v="0.98368722108597284"/>
  </r>
  <r>
    <d v="2014-05-09T00:00:00"/>
    <n v="303226.29835425451"/>
    <n v="325836.94011389237"/>
    <n v="9328"/>
    <n v="32.507107456502411"/>
    <n v="-22610.64175963786"/>
    <n v="-7.4566889093577907E-2"/>
    <n v="-2.4239538764620345"/>
  </r>
  <r>
    <d v="2014-05-10T00:00:00"/>
    <n v="431695.70916738012"/>
    <n v="465253.81571558799"/>
    <n v="13306"/>
    <n v="32.443687747435753"/>
    <n v="-33558.10654820787"/>
    <n v="-7.7735557327942961E-2"/>
    <n v="-2.5220281488206728"/>
  </r>
  <r>
    <d v="2014-05-11T00:00:00"/>
    <n v="200407.27706754219"/>
    <n v="215907.82491282909"/>
    <n v="6173"/>
    <n v="32.465134791437258"/>
    <n v="-15500.547845286899"/>
    <n v="-7.7345234524906159E-2"/>
    <n v="-2.5110234643264051"/>
  </r>
  <r>
    <d v="2014-05-12T00:00:00"/>
    <n v="183413.70834773601"/>
    <n v="197835.49508379781"/>
    <n v="5653"/>
    <n v="32.445375614317356"/>
    <n v="-14421.786736061797"/>
    <n v="-7.8629819253855204E-2"/>
    <n v="-2.5511740201772151"/>
  </r>
  <r>
    <d v="2014-05-13T00:00:00"/>
    <n v="146166.60112478229"/>
    <n v="157693.18930052701"/>
    <n v="4503"/>
    <n v="32.459827031930331"/>
    <n v="-11526.588175744721"/>
    <n v="-7.8859247509658406E-2"/>
    <n v="-2.5597575340316947"/>
  </r>
  <r>
    <d v="2014-05-14T00:00:00"/>
    <n v="201120.7276408147"/>
    <n v="218098.7618880111"/>
    <n v="6253"/>
    <n v="32.163877761204972"/>
    <n v="-16978.034247196396"/>
    <n v="-8.4417128191370649E-2"/>
    <n v="-2.7151821920992156"/>
  </r>
  <r>
    <d v="2014-05-15T00:00:00"/>
    <n v="270123.55082332838"/>
    <n v="289864.79847427219"/>
    <n v="8408"/>
    <n v="32.126968461385395"/>
    <n v="-19741.247650943813"/>
    <n v="-7.3082289903168715E-2"/>
    <n v="-2.3479124228049253"/>
  </r>
  <r>
    <d v="2014-05-16T00:00:00"/>
    <n v="415315.38394824741"/>
    <n v="441790.76722722728"/>
    <n v="12949"/>
    <n v="32.073162711270939"/>
    <n v="-26475.383278979862"/>
    <n v="-6.3747658531904922E-2"/>
    <n v="-2.0445890245563256"/>
  </r>
  <r>
    <d v="2014-05-17T00:00:00"/>
    <n v="498716.9975550141"/>
    <n v="526707.3769616452"/>
    <n v="15508"/>
    <n v="32.158692130191781"/>
    <n v="-27990.379406631109"/>
    <n v="-5.6124775261030595E-2"/>
    <n v="-1.8048993684956867"/>
  </r>
  <r>
    <d v="2014-05-18T00:00:00"/>
    <n v="166433.17212925971"/>
    <n v="174376.63247461841"/>
    <n v="5141"/>
    <n v="32.3736961932036"/>
    <n v="-7943.4603453587042"/>
    <n v="-4.7727626913157947E-2"/>
    <n v="-1.5451196937091429"/>
  </r>
  <r>
    <d v="2014-05-19T00:00:00"/>
    <n v="168520.62936742851"/>
    <n v="175540.11551824521"/>
    <n v="5194"/>
    <n v="32.445250167005874"/>
    <n v="-7019.4861508166941"/>
    <n v="-4.1653571893040968E-2"/>
    <n v="-1.3514605604190786"/>
  </r>
  <r>
    <d v="2014-05-20T00:00:00"/>
    <n v="178123.53210953469"/>
    <n v="187748.1722021974"/>
    <n v="5550"/>
    <n v="32.094330109826068"/>
    <n v="-9624.6400926627102"/>
    <n v="-5.4033512465630686E-2"/>
    <n v="-1.7341693860653531"/>
  </r>
  <r>
    <d v="2014-05-21T00:00:00"/>
    <n v="194878.80263463091"/>
    <n v="204460.66537744281"/>
    <n v="6070"/>
    <n v="32.105239313777744"/>
    <n v="-9581.8627428119071"/>
    <n v="-4.9168316991235271E-2"/>
    <n v="-1.5785605836592929"/>
  </r>
  <r>
    <d v="2014-05-22T00:00:00"/>
    <n v="115475.0968962598"/>
    <n v="115011.3226088317"/>
    <n v="3421"/>
    <n v="33.754778397035892"/>
    <n v="463.7742874280957"/>
    <n v="4.0162277399493325E-3"/>
    <n v="0.13556687735401804"/>
  </r>
  <r>
    <d v="2014-05-23T00:00:00"/>
    <n v="430521.02453865513"/>
    <n v="449274.18625836552"/>
    <n v="13384"/>
    <n v="32.166842837616194"/>
    <n v="-18753.161719710391"/>
    <n v="-4.3559223942213315E-2"/>
    <n v="-1.401162710677704"/>
  </r>
  <r>
    <d v="2014-05-24T00:00:00"/>
    <n v="590642.82566064375"/>
    <n v="614245.79414952744"/>
    <n v="18356"/>
    <n v="32.177098804785558"/>
    <n v="-23602.968488883693"/>
    <n v="-3.9961491892301214E-2"/>
    <n v="-1.2858448730052132"/>
  </r>
  <r>
    <d v="2014-05-25T00:00:00"/>
    <n v="210764.7179522909"/>
    <n v="217364.46301139219"/>
    <n v="6500"/>
    <n v="32.425341223429371"/>
    <n v="-6599.7450591012894"/>
    <n v="-3.1313329494717518E-2"/>
    <n v="-1.0153453937078907"/>
  </r>
  <r>
    <d v="2014-05-26T00:00:00"/>
    <n v="218189.34852144719"/>
    <n v="225607.5951852721"/>
    <n v="6752"/>
    <n v="32.314773181493955"/>
    <n v="-7418.2466638249171"/>
    <n v="-3.3999123761514559E-2"/>
    <n v="-1.0986739727228847"/>
  </r>
  <r>
    <d v="2014-05-27T00:00:00"/>
    <n v="226132.46392936219"/>
    <n v="234496.51283165641"/>
    <n v="7023"/>
    <n v="32.198841510659577"/>
    <n v="-8364.0489022942202"/>
    <n v="-3.6987386759766296E-2"/>
    <n v="-1.1909510041711833"/>
  </r>
  <r>
    <d v="2014-05-28T00:00:00"/>
    <n v="243720.86804506721"/>
    <n v="252929.29469238099"/>
    <n v="7579"/>
    <n v="32.15739121850735"/>
    <n v="-9208.4266473137832"/>
    <n v="-3.778267622783546E-2"/>
    <n v="-1.2149923007407024"/>
  </r>
  <r>
    <d v="2014-05-29T00:00:00"/>
    <n v="207429.42904813591"/>
    <n v="215118.84649511721"/>
    <n v="6448"/>
    <n v="32.169576465281622"/>
    <n v="-7689.4174469813006"/>
    <n v="-3.7070041036447635E-2"/>
    <n v="-1.1925275196931298"/>
  </r>
  <r>
    <d v="2014-05-30T00:00:00"/>
    <n v="503149.43134534778"/>
    <n v="521651.08612557303"/>
    <n v="15637"/>
    <n v="32.1768517839322"/>
    <n v="-18501.654780225246"/>
    <n v="-3.6771689735899206E-2"/>
    <n v="-1.1831972104767696"/>
  </r>
  <r>
    <d v="2014-05-31T00:00:00"/>
    <n v="603748.78952607629"/>
    <n v="626259.38684881607"/>
    <n v="18775"/>
    <n v="32.157059362241078"/>
    <n v="-22510.597322739777"/>
    <n v="-3.7284707999845242E-2"/>
    <n v="-1.1989665684548483"/>
  </r>
  <r>
    <d v="2014-06-01T00:00:00"/>
    <n v="456017.46309267642"/>
    <n v="473223.98073157662"/>
    <n v="14188"/>
    <n v="32.141067316935185"/>
    <n v="-17206.517638900201"/>
    <n v="-3.7732146313447915E-2"/>
    <n v="-1.2127514546729772"/>
  </r>
  <r>
    <d v="2014-06-02T00:00:00"/>
    <n v="425845.19604472112"/>
    <n v="442155.99116118718"/>
    <n v="13256"/>
    <n v="32.124713038980168"/>
    <n v="-16310.795116466063"/>
    <n v="-3.8302170056071609E-2"/>
    <n v="-1.2304462218215195"/>
  </r>
  <r>
    <d v="2014-06-03T00:00:00"/>
    <n v="328217.76995264698"/>
    <n v="340913.59172520298"/>
    <n v="10223"/>
    <n v="32.105817270140562"/>
    <n v="-12695.821772555995"/>
    <n v="-3.8681092051742541E-2"/>
    <n v="-1.2418880732227326"/>
  </r>
  <r>
    <d v="2014-06-04T00:00:00"/>
    <n v="286405.99880250322"/>
    <n v="296902.67253080232"/>
    <n v="8904"/>
    <n v="32.16599267772947"/>
    <n v="-10496.673728299094"/>
    <n v="-3.6649629449756319E-2"/>
    <n v="-1.17887171252236"/>
  </r>
  <r>
    <d v="2014-06-05T00:00:00"/>
    <n v="184989.88866687589"/>
    <n v="192824.890128464"/>
    <n v="5783"/>
    <n v="31.98856798666365"/>
    <n v="-7835.0014615881082"/>
    <n v="-4.2353674128087826E-2"/>
    <n v="-1.3548333843313347"/>
  </r>
  <r>
    <d v="2014-06-06T00:00:00"/>
    <n v="288118.30444745562"/>
    <n v="300213.55940666178"/>
    <n v="9005"/>
    <n v="31.995369733198849"/>
    <n v="-12095.254959206155"/>
    <n v="-4.1980168467262297E-2"/>
    <n v="-1.3431710115720328"/>
  </r>
  <r>
    <d v="2014-06-07T00:00:00"/>
    <n v="391930.87800966093"/>
    <n v="407438.91960054089"/>
    <n v="12222"/>
    <n v="32.067654885424723"/>
    <n v="-15508.041590879962"/>
    <n v="-3.9568307732308079E-2"/>
    <n v="-1.2688628367599379"/>
  </r>
  <r>
    <d v="2014-06-08T00:00:00"/>
    <n v="193772.58110879711"/>
    <n v="201254.7125115463"/>
    <n v="6037"/>
    <n v="32.097495628424234"/>
    <n v="-7482.1314027491899"/>
    <n v="-3.8612952152132465E-2"/>
    <n v="-1.2393790629036259"/>
  </r>
  <r>
    <d v="2014-06-09T00:00:00"/>
    <n v="214177.9834426184"/>
    <n v="220255.21917882841"/>
    <n v="6607"/>
    <n v="32.416828128139606"/>
    <n v="-6077.2357362100156"/>
    <n v="-2.8374698643281425E-2"/>
    <n v="-0.9198177291070101"/>
  </r>
  <r>
    <d v="2014-06-10T00:00:00"/>
    <n v="188334.52117067971"/>
    <n v="195254.78100370179"/>
    <n v="5857"/>
    <n v="32.155458625692283"/>
    <n v="-6920.259833022079"/>
    <n v="-3.6744510724884771E-2"/>
    <n v="-1.1815365943353386"/>
  </r>
  <r>
    <d v="2014-06-11T00:00:00"/>
    <n v="174324.99481545971"/>
    <n v="180978.60103822939"/>
    <n v="5429"/>
    <n v="32.109964047791436"/>
    <n v="-6653.6062227696821"/>
    <n v="-3.81678268788316E-2"/>
    <n v="-1.2255675488616102"/>
  </r>
  <r>
    <d v="2014-06-12T00:00:00"/>
    <n v="200271.5643162597"/>
    <n v="207757.70297321581"/>
    <n v="6232"/>
    <n v="32.136001976293279"/>
    <n v="-7486.1386569561146"/>
    <n v="-3.7379937998258936E-2"/>
    <n v="-1.2012417613857693"/>
  </r>
  <r>
    <d v="2014-06-13T00:00:00"/>
    <n v="468701.63017391373"/>
    <n v="486180.54436187987"/>
    <n v="14585"/>
    <n v="32.135867684190174"/>
    <n v="-17478.914187966147"/>
    <n v="-3.7292198410917674E-2"/>
    <n v="-1.1984171537858175"/>
  </r>
  <r>
    <d v="2014-06-14T00:00:00"/>
    <n v="473425.75415694882"/>
    <n v="492135.2922944348"/>
    <n v="14745"/>
    <n v="32.107545212407516"/>
    <n v="-18709.538137485972"/>
    <n v="-3.9519476862434136E-2"/>
    <n v="-1.2688733901312967"/>
  </r>
  <r>
    <d v="2014-06-15T00:00:00"/>
    <n v="224232.1213750946"/>
    <n v="233554.03224643381"/>
    <n v="6991"/>
    <n v="32.074398709068028"/>
    <n v="-9321.9108713392052"/>
    <n v="-4.1572593677359673E-2"/>
    <n v="-1.333415944977715"/>
  </r>
  <r>
    <d v="2014-06-16T00:00:00"/>
    <n v="185606.27501469469"/>
    <n v="193340.31536521239"/>
    <n v="5788"/>
    <n v="32.067428302469715"/>
    <n v="-7734.0403505176946"/>
    <n v="-4.1669067222567663E-2"/>
    <n v="-1.3362198255904794"/>
  </r>
  <r>
    <d v="2014-06-17T00:00:00"/>
    <n v="212687.5094148122"/>
    <n v="221403.64501723999"/>
    <n v="6632"/>
    <n v="32.06988983938664"/>
    <n v="-8716.135602427792"/>
    <n v="-4.0980947242314991E-2"/>
    <n v="-1.3142544635747575"/>
  </r>
  <r>
    <d v="2014-06-18T00:00:00"/>
    <n v="184259.6924214997"/>
    <n v="192057.51084707779"/>
    <n v="5752"/>
    <n v="32.034021630997863"/>
    <n v="-7797.8184255780943"/>
    <n v="-4.2319719104601271E-2"/>
    <n v="-1.3556707972145505"/>
  </r>
  <r>
    <d v="2014-06-19T00:00:00"/>
    <n v="113735.8161577795"/>
    <n v="119544.0197640804"/>
    <n v="3578"/>
    <n v="31.787539451587339"/>
    <n v="-5808.2036063009"/>
    <n v="-5.1067498370464898E-2"/>
    <n v="-1.6233101191450252"/>
  </r>
  <r>
    <d v="2014-06-20T00:00:00"/>
    <n v="203165.08297513981"/>
    <n v="205350.64307872241"/>
    <n v="6119"/>
    <n v="33.202334200872663"/>
    <n v="-2185.5601035825966"/>
    <n v="-1.0757557704194827E-2"/>
    <n v="-0.35717602607984911"/>
  </r>
  <r>
    <d v="2014-06-21T00:00:00"/>
    <n v="203345.24456475489"/>
    <n v="206918.9125938658"/>
    <n v="6161"/>
    <n v="33.005233657645654"/>
    <n v="-3573.6680291109078"/>
    <n v="-1.7574387032064969E-2"/>
    <n v="-0.58004675038320208"/>
  </r>
  <r>
    <d v="2014-06-22T00:00:00"/>
    <n v="134944.48896695641"/>
    <n v="135372.5270250313"/>
    <n v="4015"/>
    <n v="33.610084425144812"/>
    <n v="-428.0380580748897"/>
    <n v="-3.1719565678573398E-3"/>
    <n v="-0.10660972803857775"/>
  </r>
  <r>
    <d v="2014-06-23T00:00:00"/>
    <n v="138298.21024496641"/>
    <n v="139206.02689008071"/>
    <n v="4133"/>
    <n v="33.461942957891701"/>
    <n v="-907.81664511430427"/>
    <n v="-6.5641966263069972E-3"/>
    <n v="-0.2196507730738699"/>
  </r>
  <r>
    <d v="2014-06-24T00:00:00"/>
    <n v="36692.679861900491"/>
    <n v="35299.064235203223"/>
    <n v="1047"/>
    <n v="35.045539505158061"/>
    <n v="1393.6156266972685"/>
    <n v="3.7980753434810208E-2"/>
    <n v="1.3310559949353089"/>
  </r>
  <r>
    <d v="2014-06-25T00:00:00"/>
    <n v="56077.542692130737"/>
    <n v="53925.257631037668"/>
    <n v="1601"/>
    <n v="35.026572574722508"/>
    <n v="2152.2850610930691"/>
    <n v="3.8380516651902001E-2"/>
    <n v="1.3443379519631913"/>
  </r>
  <r>
    <d v="2014-06-26T00:00:00"/>
    <n v="55780.707452340743"/>
    <n v="53688.24119505065"/>
    <n v="1592"/>
    <n v="35.038132821822074"/>
    <n v="2092.4662572900925"/>
    <n v="3.7512364988879068E-2"/>
    <n v="1.3143632269410128"/>
  </r>
  <r>
    <d v="2014-06-27T00:00:00"/>
    <n v="131721.2383167888"/>
    <n v="127302.42713472139"/>
    <n v="3759"/>
    <n v="35.041563798028413"/>
    <n v="4418.8111820674094"/>
    <n v="3.3546687220174731E-2"/>
    <n v="1.1755283804382572"/>
  </r>
  <r>
    <d v="2014-06-28T00:00:00"/>
    <n v="146169.07657195261"/>
    <n v="141012.32941184979"/>
    <n v="4172"/>
    <n v="35.035732639490078"/>
    <n v="5156.7471601028228"/>
    <n v="3.5279330492071506E-2"/>
    <n v="1.2360371908204273"/>
  </r>
  <r>
    <d v="2014-06-29T00:00:00"/>
    <n v="62073.585412980981"/>
    <n v="60083.86983686743"/>
    <n v="1772"/>
    <n v="35.030240075045704"/>
    <n v="1989.7155761135509"/>
    <n v="3.2054142883414898E-2"/>
    <n v="1.1228643206058413"/>
  </r>
  <r>
    <d v="2014-06-30T00:00:00"/>
    <n v="93619.846991295737"/>
    <n v="90294.376087688332"/>
    <n v="2672"/>
    <n v="35.037367885963974"/>
    <n v="3325.4709036074055"/>
    <n v="3.5521003403440617E-2"/>
    <n v="1.2445624639249273"/>
  </r>
  <r>
    <d v="2014-07-01T00:00:00"/>
    <n v="180183.0313560114"/>
    <n v="173842.9209259059"/>
    <n v="5143"/>
    <n v="35.034616246550925"/>
    <n v="6340.110430105502"/>
    <n v="3.5187056086199979E-2"/>
    <n v="1.2327650068258802"/>
  </r>
  <r>
    <d v="2014-07-02T00:00:00"/>
    <n v="104760.70623579"/>
    <n v="101615.7320157364"/>
    <n v="2990"/>
    <n v="35.037025496919732"/>
    <n v="3144.9742200535984"/>
    <n v="3.0020551913568169E-2"/>
    <n v="1.0518308428272904"/>
  </r>
  <r>
    <d v="2014-07-03T00:00:00"/>
    <n v="93450.533684910493"/>
    <n v="90927.089657647652"/>
    <n v="2667"/>
    <n v="35.039570185568238"/>
    <n v="2523.4440272628417"/>
    <n v="2.7002992147387848E-2"/>
    <n v="0.94617323856874458"/>
  </r>
  <r>
    <d v="2014-07-04T00:00:00"/>
    <n v="98087.555903940738"/>
    <n v="95423.273987227221"/>
    <n v="2799"/>
    <n v="35.043785603408622"/>
    <n v="2664.2819167135167"/>
    <n v="2.7162282637796638E-2"/>
    <n v="0.9518692092581339"/>
  </r>
  <r>
    <d v="2014-07-05T00:00:00"/>
    <n v="117562.2629053492"/>
    <n v="114395.6276274463"/>
    <n v="3355"/>
    <n v="35.040912937510939"/>
    <n v="3166.6352779028966"/>
    <n v="2.6935814262544377E-2"/>
    <n v="0.94385552247478288"/>
  </r>
  <r>
    <d v="2014-07-06T00:00:00"/>
    <n v="70153.080972151351"/>
    <n v="68252.24220948873"/>
    <n v="2002"/>
    <n v="35.041498987088588"/>
    <n v="1900.8387626626209"/>
    <n v="2.7095584916893335E-2"/>
    <n v="0.94946991141989057"/>
  </r>
  <r>
    <d v="2014-07-07T00:00:00"/>
    <n v="68918.415287491109"/>
    <n v="66990.88135215205"/>
    <n v="1967"/>
    <n v="35.037323481185112"/>
    <n v="1927.5339353390591"/>
    <n v="2.7968343835220368E-2"/>
    <n v="0.97993591018762538"/>
  </r>
  <r>
    <d v="2014-07-08T00:00:00"/>
    <n v="108417.40283335961"/>
    <n v="105373.30003337099"/>
    <n v="3094"/>
    <n v="35.041177386347641"/>
    <n v="3044.1027999886137"/>
    <n v="2.8077621492810335E-2"/>
    <n v="0.98387291531629406"/>
  </r>
  <r>
    <d v="2014-07-09T00:00:00"/>
    <n v="81802.6082085011"/>
    <n v="79496.494243965513"/>
    <n v="2335"/>
    <n v="35.03323692012895"/>
    <n v="2306.113964535587"/>
    <n v="2.8191203374074457E-2"/>
    <n v="0.98762910686748906"/>
  </r>
  <r>
    <d v="2014-07-10T00:00:00"/>
    <n v="103998.55973343051"/>
    <n v="101270.971050946"/>
    <n v="2968"/>
    <n v="35.039946001829684"/>
    <n v="2727.5886824845074"/>
    <n v="2.6227177467417557E-2"/>
    <n v="0.9189988822387154"/>
  </r>
  <r>
    <d v="2014-07-11T00:00:00"/>
    <n v="134018.0892634776"/>
    <n v="130633.2627145483"/>
    <n v="3825"/>
    <n v="35.037408957771923"/>
    <n v="3384.8265489292971"/>
    <n v="2.5256490131528274E-2"/>
    <n v="0.88492197357628688"/>
  </r>
  <r>
    <d v="2014-07-12T00:00:00"/>
    <n v="99277.299503010508"/>
    <n v="96688.497813017515"/>
    <n v="2833"/>
    <n v="35.043169609251855"/>
    <n v="2588.8016899929935"/>
    <n v="2.6076471690434026E-2"/>
    <n v="0.91380222025873403"/>
  </r>
  <r>
    <d v="2014-07-13T00:00:00"/>
    <n v="49705.231999920732"/>
    <n v="48370.308994006256"/>
    <n v="1419"/>
    <n v="35.028352360761616"/>
    <n v="1334.9230059144757"/>
    <n v="2.6856790567170163E-2"/>
    <n v="0.94074912326601523"/>
  </r>
  <r>
    <d v="2014-07-14T00:00:00"/>
    <n v="75384.57455073134"/>
    <n v="73393.446593668908"/>
    <n v="2151"/>
    <n v="35.046292213264223"/>
    <n v="1991.127957062432"/>
    <n v="2.6412936186599664E-2"/>
    <n v="0.92567547980587261"/>
  </r>
  <r>
    <d v="2014-07-15T00:00:00"/>
    <n v="110288.2341741906"/>
    <n v="107437.38095161279"/>
    <n v="3148"/>
    <n v="35.0343818850669"/>
    <n v="2850.8532225778035"/>
    <n v="2.5849114766631685E-2"/>
    <n v="0.90560775812509642"/>
  </r>
  <r>
    <d v="2014-07-16T00:00:00"/>
    <n v="156536.68620542111"/>
    <n v="164641.3539874852"/>
    <n v="4825"/>
    <n v="32.442836519258258"/>
    <n v="-8104.6677820640907"/>
    <n v="-5.1774877688597787E-2"/>
    <n v="-1.67972389265577"/>
  </r>
  <r>
    <d v="2014-07-17T00:00:00"/>
    <n v="80823.059197921219"/>
    <n v="78844.86050033744"/>
    <n v="2307"/>
    <n v="35.033835803173481"/>
    <n v="1978.198697583779"/>
    <n v="2.4475672131384241E-2"/>
    <n v="0.85747667862322452"/>
  </r>
  <r>
    <d v="2014-07-18T00:00:00"/>
    <n v="124615.68560840881"/>
    <n v="121612.17892455601"/>
    <n v="3557"/>
    <n v="35.033929043690975"/>
    <n v="3003.5066838528001"/>
    <n v="2.4102155913911127E-2"/>
    <n v="0.84439322008793927"/>
  </r>
  <r>
    <d v="2014-07-19T00:00:00"/>
    <n v="242758.9505283758"/>
    <n v="255779.85446049331"/>
    <n v="7485"/>
    <n v="32.43272552149309"/>
    <n v="-13020.903932117508"/>
    <n v="-5.3637173433881316E-2"/>
    <n v="-1.739599723729794"/>
  </r>
  <r>
    <d v="2014-07-20T00:00:00"/>
    <n v="85078.243689436087"/>
    <n v="83020.514125462476"/>
    <n v="2428"/>
    <n v="35.040462804545342"/>
    <n v="2057.7295639736112"/>
    <n v="2.418631926024483E-2"/>
    <n v="0.84749982041746752"/>
  </r>
  <r>
    <d v="2014-07-21T00:00:00"/>
    <n v="86738.067427260859"/>
    <n v="84643.271827215489"/>
    <n v="2475"/>
    <n v="35.045683808994283"/>
    <n v="2094.7956000453705"/>
    <n v="2.415082168855192E-2"/>
    <n v="0.84638206062439214"/>
  </r>
  <r>
    <d v="2014-07-22T00:00:00"/>
    <n v="56673.615811620853"/>
    <n v="55278.707829230581"/>
    <n v="1618"/>
    <n v="35.026956620284828"/>
    <n v="1394.9079823902721"/>
    <n v="2.4613004877381547E-2"/>
    <n v="0.86211865413490241"/>
  </r>
  <r>
    <d v="2014-07-23T00:00:00"/>
    <n v="165742.1704642335"/>
    <n v="173725.35752062299"/>
    <n v="5106"/>
    <n v="32.460276236630143"/>
    <n v="-7983.1870563894918"/>
    <n v="-4.8166299705313873E-2"/>
    <n v="-1.5634913937308053"/>
  </r>
  <r>
    <d v="2014-07-24T00:00:00"/>
    <n v="95618.248803710856"/>
    <n v="92416.903838237486"/>
    <n v="2729"/>
    <n v="35.037833933202954"/>
    <n v="3201.3449654733704"/>
    <n v="3.3480481032916898E-2"/>
    <n v="1.1730835344350936"/>
  </r>
  <r>
    <d v="2014-07-25T00:00:00"/>
    <n v="515698.7957661752"/>
    <n v="538260.27180390677"/>
    <n v="15897"/>
    <n v="32.440007282265533"/>
    <n v="-22561.476037731569"/>
    <n v="-4.3749328528510364E-2"/>
    <n v="-1.4192285360591035"/>
  </r>
  <r>
    <d v="2014-07-26T00:00:00"/>
    <n v="562590.36654784065"/>
    <n v="586670.51408478804"/>
    <n v="17343"/>
    <n v="32.439045525447767"/>
    <n v="-24080.147536947392"/>
    <n v="-4.2802274921107636E-2"/>
    <n v="-1.388464944758542"/>
  </r>
  <r>
    <d v="2014-07-27T00:00:00"/>
    <n v="266305.92588997318"/>
    <n v="277238.01036147983"/>
    <n v="8207"/>
    <n v="32.44863237358026"/>
    <n v="-10932.084471506649"/>
    <n v="-4.1050849450580171E-2"/>
    <n v="-1.3320439224450651"/>
  </r>
  <r>
    <d v="2014-07-28T00:00:00"/>
    <n v="292634.74569281942"/>
    <n v="304508.37903080799"/>
    <n v="9018"/>
    <n v="32.45007160044571"/>
    <n v="-11873.633337988576"/>
    <n v="-4.0574926637223063E-2"/>
    <n v="-1.3166592745607204"/>
  </r>
  <r>
    <d v="2014-07-29T00:00:00"/>
    <n v="212360.99307795221"/>
    <n v="221017.0730997668"/>
    <n v="6548"/>
    <n v="32.431428386981096"/>
    <n v="-8656.0800218145887"/>
    <n v="-4.0761158140926408E-2"/>
    <n v="-1.3219425812178662"/>
  </r>
  <r>
    <d v="2014-07-30T00:00:00"/>
    <n v="198019.33209153591"/>
    <n v="205903.82494520771"/>
    <n v="6102"/>
    <n v="32.451545737714831"/>
    <n v="-7884.4928536718071"/>
    <n v="-3.9816783393790772E-2"/>
    <n v="-1.2921161674322856"/>
  </r>
  <r>
    <d v="2014-07-31T00:00:00"/>
    <n v="295508.32729426579"/>
    <n v="307222.39542168751"/>
    <n v="9108"/>
    <n v="32.44491955360845"/>
    <n v="-11714.06812742172"/>
    <n v="-3.964039942521453E-2"/>
    <n v="-1.2861295704239921"/>
  </r>
  <r>
    <d v="2014-08-01T00:00:00"/>
    <n v="611894.67318094964"/>
    <n v="636341.31592619617"/>
    <n v="18867"/>
    <n v="32.43200684692583"/>
    <n v="-24446.642745246529"/>
    <n v="-3.9952370590448268E-2"/>
    <n v="-1.2957355565403366"/>
  </r>
  <r>
    <d v="2014-08-02T00:00:00"/>
    <n v="628685.21882835601"/>
    <n v="653779.96345324407"/>
    <n v="19384"/>
    <n v="32.433203612688608"/>
    <n v="-25094.744624888059"/>
    <n v="-3.9916231324247882E-2"/>
    <n v="-1.2946112579905107"/>
  </r>
  <r>
    <d v="2014-08-03T00:00:00"/>
    <n v="307272.68372995692"/>
    <n v="319500.00945712812"/>
    <n v="9473"/>
    <n v="32.436681487380653"/>
    <n v="-12227.325727171206"/>
    <n v="-3.9793077532127949E-2"/>
    <n v="-1.2907553813122776"/>
  </r>
  <r>
    <d v="2014-08-04T00:00:00"/>
    <n v="362106.53263594082"/>
    <n v="376645.75093448581"/>
    <n v="11170"/>
    <n v="32.417773736431585"/>
    <n v="-14539.218298544991"/>
    <n v="-4.0151770233768778E-2"/>
    <n v="-1.3016310025555049"/>
  </r>
  <r>
    <d v="2014-08-05T00:00:00"/>
    <n v="262349.59097271581"/>
    <n v="272809.29044380988"/>
    <n v="8091"/>
    <n v="32.424866020605094"/>
    <n v="-10459.699471094063"/>
    <n v="-3.9869318767803474E-2"/>
    <n v="-1.2927573193788238"/>
  </r>
  <r>
    <d v="2014-08-06T00:00:00"/>
    <n v="80697.903500791217"/>
    <n v="77649.636533253579"/>
    <n v="2303"/>
    <n v="35.040340208767354"/>
    <n v="3048.2669675376383"/>
    <n v="3.7773806199410759E-2"/>
    <n v="1.3236070202073984"/>
  </r>
  <r>
    <d v="2014-08-07T00:00:00"/>
    <n v="103272.6227133504"/>
    <n v="99367.233222687966"/>
    <n v="2947"/>
    <n v="35.043305976705263"/>
    <n v="3905.3894906624337"/>
    <n v="3.7816309763938731E-2"/>
    <n v="1.3252085139675716"/>
  </r>
  <r>
    <d v="2014-08-08T00:00:00"/>
    <n v="439421.42206707381"/>
    <n v="456509.62185022031"/>
    <n v="13542"/>
    <n v="32.448783197982117"/>
    <n v="-17088.199783146498"/>
    <n v="-3.8887953397361077E-2"/>
    <n v="-1.2618667688042016"/>
  </r>
  <r>
    <d v="2014-08-09T00:00:00"/>
    <n v="408616.35063191352"/>
    <n v="424340.94938278513"/>
    <n v="12588"/>
    <n v="32.46078413027594"/>
    <n v="-15724.598750871606"/>
    <n v="-3.8482549037878594E-2"/>
    <n v="-1.2491737171013351"/>
  </r>
  <r>
    <d v="2014-08-10T00:00:00"/>
    <n v="195866.77301944341"/>
    <n v="203331.43478475651"/>
    <n v="6032"/>
    <n v="32.471281999244596"/>
    <n v="-7464.6617653130961"/>
    <n v="-3.8110914119017472E-2"/>
    <n v="-1.2375102396076088"/>
  </r>
  <r>
    <d v="2014-08-11T00:00:00"/>
    <n v="232347.35316928959"/>
    <n v="241134.5277944064"/>
    <n v="7158"/>
    <n v="32.459814636670799"/>
    <n v="-8787.1746251168079"/>
    <n v="-3.7819129442436226E-2"/>
    <n v="-1.227601931421739"/>
  </r>
  <r>
    <d v="2014-08-12T00:00:00"/>
    <n v="190325.18114338469"/>
    <n v="197438.11163851491"/>
    <n v="5863"/>
    <n v="32.462081041000289"/>
    <n v="-7112.9304951302183"/>
    <n v="-3.7372513991049731E-2"/>
    <n v="-1.2131895778833734"/>
  </r>
  <r>
    <d v="2014-08-13T00:00:00"/>
    <n v="197698.11855084091"/>
    <n v="205114.1289482273"/>
    <n v="6092"/>
    <n v="32.452087746362594"/>
    <n v="-7416.0103973863879"/>
    <n v="-3.7511790459853339E-2"/>
    <n v="-1.2173359155263277"/>
  </r>
  <r>
    <d v="2014-08-14T00:00:00"/>
    <n v="177908.83560484849"/>
    <n v="184687.52914036711"/>
    <n v="5485"/>
    <n v="32.435521532333361"/>
    <n v="-6778.6935355186288"/>
    <n v="-3.8102062286410082E-2"/>
    <n v="-1.2358602617171612"/>
  </r>
  <r>
    <d v="2014-08-15T00:00:00"/>
    <n v="473321.88245175371"/>
    <n v="491559.42296304408"/>
    <n v="14587"/>
    <n v="32.448199249451818"/>
    <n v="-18237.540511290368"/>
    <n v="-3.8530947305503764E-2"/>
    <n v="-1.2502598554391149"/>
  </r>
  <r>
    <d v="2014-08-16T00:00:00"/>
    <n v="541600.89215953078"/>
    <n v="562953.37077365373"/>
    <n v="16686"/>
    <n v="32.458401783502985"/>
    <n v="-21352.478614122956"/>
    <n v="-3.942474785996751E-2"/>
    <n v="-1.2796643062521249"/>
  </r>
  <r>
    <d v="2014-08-17T00:00:00"/>
    <n v="239513.97904265701"/>
    <n v="249203.12076822479"/>
    <n v="7380"/>
    <n v="32.454468704967077"/>
    <n v="-9689.1417255677807"/>
    <n v="-4.0453345413472348E-2"/>
    <n v="-1.3128918327327617"/>
  </r>
  <r>
    <d v="2014-08-18T00:00:00"/>
    <n v="255224.2225523532"/>
    <n v="265532.5462048222"/>
    <n v="7864"/>
    <n v="32.454758717237183"/>
    <n v="-10308.323652469"/>
    <n v="-4.0389284172878584E-2"/>
    <n v="-1.310824472592701"/>
  </r>
  <r>
    <d v="2014-08-19T00:00:00"/>
    <n v="160372.03970902969"/>
    <n v="167021.15782900871"/>
    <n v="4941"/>
    <n v="32.457405324636653"/>
    <n v="-6649.1181199790153"/>
    <n v="-4.1460582106723924E-2"/>
    <n v="-1.3457029184333162"/>
  </r>
  <r>
    <d v="2014-08-20T00:00:00"/>
    <n v="171587.33225254019"/>
    <n v="174723.17542794361"/>
    <n v="5151"/>
    <n v="33.311460347998484"/>
    <n v="-3135.8431754034245"/>
    <n v="-1.8275493500814664E-2"/>
    <n v="-0.60878337709249164"/>
  </r>
  <r>
    <d v="2014-08-21T00:00:00"/>
    <n v="164208.0606125952"/>
    <n v="167239.64875993141"/>
    <n v="4928"/>
    <n v="33.321440871062336"/>
    <n v="-3031.5881473362097"/>
    <n v="-1.8461871701221946E-2"/>
    <n v="-0.61517616626140614"/>
  </r>
  <r>
    <d v="2014-08-22T00:00:00"/>
    <n v="376778.83570449759"/>
    <n v="384006.045320909"/>
    <n v="11309"/>
    <n v="33.316724352683487"/>
    <n v="-7227.2096164114191"/>
    <n v="-1.9181570012811493E-2"/>
    <n v="-0.63906708076854002"/>
  </r>
  <r>
    <d v="2014-08-23T00:00:00"/>
    <n v="453633.473978322"/>
    <n v="463250.07125509798"/>
    <n v="13613"/>
    <n v="33.32354910587835"/>
    <n v="-9616.5972767759813"/>
    <n v="-2.1199046870239418E-2"/>
    <n v="-0.70642747937824002"/>
  </r>
  <r>
    <d v="2014-08-24T00:00:00"/>
    <n v="214392.40085275259"/>
    <n v="218347.79777692939"/>
    <n v="6424"/>
    <n v="33.373661402981412"/>
    <n v="-3955.3969241768064"/>
    <n v="-1.8449333597851832E-2"/>
    <n v="-0.61572181260535586"/>
  </r>
  <r>
    <d v="2014-08-25T00:00:00"/>
    <n v="316404.06232243002"/>
    <n v="323293.3966404731"/>
    <n v="9493"/>
    <n v="33.330249902289054"/>
    <n v="-6889.334318043082"/>
    <n v="-2.1773849132893052E-2"/>
    <n v="-0.72572783293406529"/>
  </r>
  <r>
    <d v="2014-08-26T00:00:00"/>
    <n v="242824.50134045491"/>
    <n v="259860.5125486858"/>
    <n v="7619"/>
    <n v="31.87091499415342"/>
    <n v="-17036.011208230891"/>
    <n v="-7.0157711080173712E-2"/>
    <n v="-2.2359904460205922"/>
  </r>
  <r>
    <d v="2014-08-27T00:00:00"/>
    <n v="274712.25328416959"/>
    <n v="304334.78464343678"/>
    <n v="8909"/>
    <n v="30.835363484585205"/>
    <n v="-29622.531359267188"/>
    <n v="-0.10783112513232113"/>
    <n v="-3.325011938406913"/>
  </r>
  <r>
    <d v="2014-08-28T00:00:00"/>
    <n v="258066.16939498461"/>
    <n v="287168.56608982541"/>
    <n v="8400"/>
    <n v="30.722163023212453"/>
    <n v="-29102.396694840805"/>
    <n v="-0.11277106473533138"/>
    <n v="-3.464571035100096"/>
  </r>
  <r>
    <d v="2014-08-29T00:00:00"/>
    <n v="594007.21320371237"/>
    <n v="660937.80480560346"/>
    <n v="19317"/>
    <n v="30.750489889926612"/>
    <n v="-66930.591601891094"/>
    <n v="-0.11267639536043397"/>
    <n v="-3.4648543563643988"/>
  </r>
  <r>
    <d v="2014-08-30T00:00:00"/>
    <n v="717096.71281835937"/>
    <n v="797788.89197623753"/>
    <n v="23310"/>
    <n v="30.763479743387361"/>
    <n v="-80692.179157878156"/>
    <n v="-0.11252621538416881"/>
    <n v="-3.4616979475709204"/>
  </r>
  <r>
    <d v="2014-08-31T00:00:00"/>
    <n v="358170.99632881698"/>
    <n v="398562.60743015882"/>
    <n v="11646"/>
    <n v="30.754851135910783"/>
    <n v="-40391.611101341841"/>
    <n v="-0.11277186459916631"/>
    <n v="-3.4682819080664471"/>
  </r>
  <r>
    <d v="2014-09-01T00:00:00"/>
    <n v="594953.63490643876"/>
    <n v="662850.99076108413"/>
    <n v="19366"/>
    <n v="30.721555040092884"/>
    <n v="-67897.355854645371"/>
    <n v="-0.1141220960274035"/>
    <n v="-3.506008254396642"/>
  </r>
  <r>
    <d v="2014-09-02T00:00:00"/>
    <n v="469469.9410251276"/>
    <n v="523480.3033456417"/>
    <n v="15291"/>
    <n v="30.702370088622562"/>
    <n v="-54010.362320514105"/>
    <n v="-0.1150454110066725"/>
    <n v="-3.5321667857245509"/>
  </r>
  <r>
    <d v="2014-09-03T00:00:00"/>
    <n v="464067.7993402126"/>
    <n v="517180.5432955554"/>
    <n v="15100"/>
    <n v="30.732966843722689"/>
    <n v="-53112.743955342798"/>
    <n v="-0.11445039718518658"/>
    <n v="-3.5174002619432314"/>
  </r>
  <r>
    <d v="2014-09-04T00:00:00"/>
    <n v="312311.95398119069"/>
    <n v="348177.12054578192"/>
    <n v="10164"/>
    <n v="30.727268199644893"/>
    <n v="-35865.166564591229"/>
    <n v="-0.11483763623966582"/>
    <n v="-3.5286468481494717"/>
  </r>
  <r>
    <d v="2014-09-05T00:00:00"/>
    <n v="501279.00044448092"/>
    <n v="558766.69034694601"/>
    <n v="16310"/>
    <n v="30.734457415357504"/>
    <n v="-57487.689902465092"/>
    <n v="-0.11468202308792333"/>
    <n v="-3.524689754902826"/>
  </r>
  <r>
    <d v="2014-09-06T00:00:00"/>
    <n v="552703.9037581525"/>
    <n v="616169.85143113649"/>
    <n v="17985"/>
    <n v="30.731381915938421"/>
    <n v="-63465.947672983981"/>
    <n v="-0.11482811545466282"/>
    <n v="-3.528826670724714"/>
  </r>
  <r>
    <d v="2014-09-07T00:00:00"/>
    <n v="234153.76221071579"/>
    <n v="261088.3863729678"/>
    <n v="7620"/>
    <n v="30.728840185133308"/>
    <n v="-26934.624162252003"/>
    <n v="-0.1150296450842991"/>
    <n v="-3.534727580348032"/>
  </r>
  <r>
    <d v="2014-09-08T00:00:00"/>
    <n v="244481.49772930579"/>
    <n v="272633.39980275778"/>
    <n v="7958"/>
    <n v="30.721474959701656"/>
    <n v="-28151.902073451987"/>
    <n v="-0.11514941758342084"/>
    <n v="-3.5375599489132932"/>
  </r>
  <r>
    <d v="2014-09-09T00:00:00"/>
    <n v="122749.63527830879"/>
    <n v="120070.9501885974"/>
    <n v="3503"/>
    <n v="35.041288974681358"/>
    <n v="2678.6850897113909"/>
    <n v="2.1822346629690913E-2"/>
    <n v="0.76468315435666312"/>
  </r>
  <r>
    <d v="2014-09-10T00:00:00"/>
    <n v="78736.402839721224"/>
    <n v="77071.542706110122"/>
    <n v="2247"/>
    <n v="35.04067772128225"/>
    <n v="1664.8601336111024"/>
    <n v="2.1144731960896845E-2"/>
    <n v="0.74092573814468288"/>
  </r>
  <r>
    <d v="2014-09-11T00:00:00"/>
    <n v="70875.110668741108"/>
    <n v="69489.36084683513"/>
    <n v="2023"/>
    <n v="35.034656781384633"/>
    <n v="1385.749821905978"/>
    <n v="1.9551995176173342E-2"/>
    <n v="0.68499744038852106"/>
  </r>
  <r>
    <d v="2014-09-12T00:00:00"/>
    <n v="148634.39140687519"/>
    <n v="145956.13969592101"/>
    <n v="4242"/>
    <n v="35.038753278376987"/>
    <n v="2678.2517109541805"/>
    <n v="1.801905794213314E-2"/>
    <n v="0.63136532554318259"/>
  </r>
  <r>
    <d v="2014-09-13T00:00:00"/>
    <n v="171724.82878193399"/>
    <n v="168652.2035714417"/>
    <n v="4901"/>
    <n v="35.038732663116505"/>
    <n v="3072.6252104922896"/>
    <n v="1.7892725427573929E-2"/>
    <n v="0.62693842287130985"/>
  </r>
  <r>
    <d v="2014-09-14T00:00:00"/>
    <n v="86435.698834951094"/>
    <n v="84948.374577163748"/>
    <n v="2467"/>
    <n v="35.03676482973291"/>
    <n v="1487.3242577873461"/>
    <n v="1.720729140661419E-2"/>
    <n v="0.60288782237022542"/>
  </r>
  <r>
    <d v="2014-09-15T00:00:00"/>
    <n v="120236.18270337"/>
    <n v="118094.0431931489"/>
    <n v="3432"/>
    <n v="35.033852769047201"/>
    <n v="2142.1395102210954"/>
    <n v="1.7816097135301478E-2"/>
    <n v="0.62416652395719563"/>
  </r>
  <r>
    <d v="2014-09-16T00:00:00"/>
    <n v="83204.196694181097"/>
    <n v="81753.424593545584"/>
    <n v="2375"/>
    <n v="35.033345976497301"/>
    <n v="1450.7721006355132"/>
    <n v="1.7436285166815068E-2"/>
    <n v="0.61085141079390026"/>
  </r>
  <r>
    <d v="2014-09-17T00:00:00"/>
    <n v="73768.034734920977"/>
    <n v="72471.919323404494"/>
    <n v="2105"/>
    <n v="35.044197023715427"/>
    <n v="1296.1154115164827"/>
    <n v="1.7570149674909476E-2"/>
    <n v="0.61573178694369723"/>
  </r>
  <r>
    <d v="2014-09-18T00:00:00"/>
    <n v="69425.44511577097"/>
    <n v="68280.383276895183"/>
    <n v="1982"/>
    <n v="35.027974326826929"/>
    <n v="1145.0618388757866"/>
    <n v="1.6493402915405575E-2"/>
    <n v="0.57773049388283881"/>
  </r>
  <r>
    <d v="2014-09-19T00:00:00"/>
    <n v="137154.95408779141"/>
    <n v="135276.90958604589"/>
    <n v="3915"/>
    <n v="35.03319389215617"/>
    <n v="1878.0445017455204"/>
    <n v="1.3692866686706806E-2"/>
    <n v="0.47970485357484555"/>
  </r>
  <r>
    <d v="2014-09-20T00:00:00"/>
    <n v="153569.06188021021"/>
    <n v="151376.13558980459"/>
    <n v="4383"/>
    <n v="35.037431412322661"/>
    <n v="2192.9262904056231"/>
    <n v="1.4279740095802566E-2"/>
    <n v="0.50032541419247623"/>
  </r>
  <r>
    <d v="2014-09-21T00:00:00"/>
    <n v="75633.320588686343"/>
    <n v="74546.668253599157"/>
    <n v="2159"/>
    <n v="35.031644552425355"/>
    <n v="1086.6523350871867"/>
    <n v="1.4367375736372657E-2"/>
    <n v="0.50331279994774736"/>
  </r>
  <r>
    <d v="2014-09-22T00:00:00"/>
    <n v="90815.929812690869"/>
    <n v="89653.637589452905"/>
    <n v="2592"/>
    <n v="35.037009958599874"/>
    <n v="1162.2922232379642"/>
    <n v="1.2798329826443536E-2"/>
    <n v="0.44841520958254794"/>
  </r>
  <r>
    <d v="2014-09-23T00:00:00"/>
    <n v="110118.1563914701"/>
    <n v="108880.4089631831"/>
    <n v="3143"/>
    <n v="35.03600266989185"/>
    <n v="1237.7474282869953"/>
    <n v="1.1240175724399186E-2"/>
    <n v="0.39381082669010348"/>
  </r>
  <r>
    <d v="2014-09-24T00:00:00"/>
    <n v="209908.38311163971"/>
    <n v="223554.08660175069"/>
    <n v="6457"/>
    <n v="32.508654655666675"/>
    <n v="-13645.703490110987"/>
    <n v="-6.5007901484589709E-2"/>
    <n v="-2.1133194192521274"/>
  </r>
  <r>
    <d v="2014-09-25T00:00:00"/>
    <n v="358365.68296879338"/>
    <n v="382967.98317568301"/>
    <n v="11039"/>
    <n v="32.463600232701637"/>
    <n v="-24602.300206889631"/>
    <n v="-6.8651384259446543E-2"/>
    <n v="-2.2286710940202581"/>
  </r>
  <r>
    <d v="2014-09-26T00:00:00"/>
    <n v="585463.99600736017"/>
    <n v="625980.93020941468"/>
    <n v="18036"/>
    <n v="32.460855844275905"/>
    <n v="-40516.934202054515"/>
    <n v="-6.9204826391314339E-2"/>
    <n v="-2.2464478932165957"/>
  </r>
  <r>
    <d v="2014-09-27T00:00:00"/>
    <n v="617019.09153442062"/>
    <n v="661010.59126386233"/>
    <n v="19017"/>
    <n v="32.445658701920422"/>
    <n v="-43991.499729441712"/>
    <n v="-7.129682101090648E-2"/>
    <n v="-2.3132723210517807"/>
  </r>
  <r>
    <d v="2014-09-28T00:00:00"/>
    <n v="283850.59710549947"/>
    <n v="304440.65150645463"/>
    <n v="8747"/>
    <n v="32.451194364410597"/>
    <n v="-20590.054400955152"/>
    <n v="-7.2538351551546656E-2"/>
    <n v="-2.3539561450731852"/>
  </r>
  <r>
    <d v="2014-09-29T00:00:00"/>
    <n v="264317.11036810582"/>
    <n v="283912.96869744168"/>
    <n v="8147"/>
    <n v="32.443489673266946"/>
    <n v="-19595.858329335868"/>
    <n v="-7.4137683716522768E-2"/>
    <n v="-2.4052851760569371"/>
  </r>
  <r>
    <d v="2014-09-30T00:00:00"/>
    <n v="358024.98134882591"/>
    <n v="384823.43987807218"/>
    <n v="11036"/>
    <n v="32.441553221169436"/>
    <n v="-26798.458529246273"/>
    <n v="-7.4850806299285505E-2"/>
    <n v="-2.4282764162057151"/>
  </r>
  <r>
    <d v="2014-10-01T00:00:00"/>
    <n v="594438.28078029968"/>
    <n v="639306.56878246542"/>
    <n v="18330"/>
    <n v="32.429802552116733"/>
    <n v="-44868.288002165733"/>
    <n v="-7.5480145631382625E-2"/>
    <n v="-2.4478062194307548"/>
  </r>
  <r>
    <d v="2014-10-02T00:00:00"/>
    <n v="470507.66304443887"/>
    <n v="506072.03334142908"/>
    <n v="14503"/>
    <n v="32.442092190887323"/>
    <n v="-35564.370296990208"/>
    <n v="-7.5587228626351186E-2"/>
    <n v="-2.4522078395497626"/>
  </r>
  <r>
    <d v="2014-10-03T00:00:00"/>
    <n v="518693.52866487252"/>
    <n v="557939.36927636876"/>
    <n v="15986"/>
    <n v="32.446736435935975"/>
    <n v="-39245.840611496242"/>
    <n v="-7.5662869194678059E-2"/>
    <n v="-2.4550131747464183"/>
  </r>
  <r>
    <d v="2014-10-04T00:00:00"/>
    <n v="656245.82842866576"/>
    <n v="705891.30026245222"/>
    <n v="20223"/>
    <n v="32.450468695478698"/>
    <n v="-49645.471833786462"/>
    <n v="-7.5650723681793194E-2"/>
    <n v="-2.4549014406263394"/>
  </r>
  <r>
    <d v="2014-10-05T00:00:00"/>
    <n v="280055.11771676323"/>
    <n v="301279.65498243202"/>
    <n v="8631"/>
    <n v="32.447586341879649"/>
    <n v="-21224.537265668798"/>
    <n v="-7.5787000211631428E-2"/>
    <n v="-2.4591052329589616"/>
  </r>
  <r>
    <d v="2014-10-06T00:00:00"/>
    <n v="375648.0174559537"/>
    <n v="404178.92105522793"/>
    <n v="11579"/>
    <n v="32.442181315826382"/>
    <n v="-28530.903599274228"/>
    <n v="-7.5951162453877702E-2"/>
    <n v="-2.4640213834764859"/>
  </r>
  <r>
    <d v="2014-10-07T00:00:00"/>
    <n v="78111.716463120727"/>
    <n v="74251.874725965463"/>
    <n v="2127"/>
    <n v="36.723891143921357"/>
    <n v="3859.8417371552641"/>
    <n v="4.9414376125989118E-2"/>
    <n v="1.8146881697956108"/>
  </r>
  <r>
    <d v="2014-10-08T00:00:00"/>
    <n v="70509.132791540367"/>
    <n v="67141.979629084031"/>
    <n v="1923"/>
    <n v="36.666215700229003"/>
    <n v="3367.1531624563358"/>
    <n v="4.7754851451815392E-2"/>
    <n v="1.7509896840646573"/>
  </r>
  <r>
    <d v="2014-10-09T00:00:00"/>
    <n v="103281.3110475721"/>
    <n v="98065.939078450887"/>
    <n v="2809"/>
    <n v="36.767999660937022"/>
    <n v="5215.3719691212173"/>
    <n v="5.0496763801913591E-2"/>
    <n v="1.856664994347176"/>
  </r>
  <r>
    <d v="2014-10-10T00:00:00"/>
    <n v="179841.43177972361"/>
    <n v="170757.581177207"/>
    <n v="4891"/>
    <n v="36.769869511290864"/>
    <n v="9083.8506025166134"/>
    <n v="5.051033297845875E-2"/>
    <n v="1.8572583525897799"/>
  </r>
  <r>
    <d v="2014-10-11T00:00:00"/>
    <n v="138038.23975289491"/>
    <n v="131192.31677147359"/>
    <n v="3758"/>
    <n v="36.731836017268471"/>
    <n v="6845.9229814213177"/>
    <n v="4.9594394956617424E-2"/>
    <n v="1.8216931829221175"/>
  </r>
  <r>
    <d v="2014-10-12T00:00:00"/>
    <n v="61037.562229970368"/>
    <n v="57992.341511187689"/>
    <n v="1661"/>
    <n v="36.747478765785893"/>
    <n v="3045.2207187826789"/>
    <n v="4.9890929577253489E-2"/>
    <n v="1.8333658752454418"/>
  </r>
  <r>
    <d v="2014-10-13T00:00:00"/>
    <n v="86799.759454041719"/>
    <n v="82392.333264616391"/>
    <n v="2360"/>
    <n v="36.779559090695642"/>
    <n v="4407.4261894253286"/>
    <n v="5.0776940133790915E-2"/>
    <n v="1.8675534700954783"/>
  </r>
  <r>
    <d v="2014-10-14T00:00:00"/>
    <n v="69570.501466700734"/>
    <n v="66313.940979270206"/>
    <n v="1894"/>
    <n v="36.732049348838828"/>
    <n v="3256.5604874305282"/>
    <n v="4.6809501423376261E-2"/>
    <n v="1.719408916277998"/>
  </r>
  <r>
    <d v="2014-10-15T00:00:00"/>
    <n v="130476.35534524239"/>
    <n v="124398.43162958849"/>
    <n v="3548"/>
    <n v="36.77462101049673"/>
    <n v="6077.923715653902"/>
    <n v="4.6582568156288737E-2"/>
    <n v="1.7130562896431516"/>
  </r>
  <r>
    <d v="2014-10-16T00:00:00"/>
    <n v="95229.773480081218"/>
    <n v="91087.851335542873"/>
    <n v="2591"/>
    <n v="36.754061551555857"/>
    <n v="4141.9221445383446"/>
    <n v="4.3493982954865389E-2"/>
    <n v="1.5985805266454436"/>
  </r>
  <r>
    <d v="2014-10-17T00:00:00"/>
    <n v="121057.86128350309"/>
    <n v="116949.7912742107"/>
    <n v="3293"/>
    <n v="36.762180772396931"/>
    <n v="4108.0700092923944"/>
    <n v="3.3934764465000614E-2"/>
    <n v="1.2475159457310643"/>
  </r>
  <r>
    <d v="2014-10-18T00:00:00"/>
    <n v="169498.9163853249"/>
    <n v="164492.94663284859"/>
    <n v="4611"/>
    <n v="36.759686919393822"/>
    <n v="5005.9697524763178"/>
    <n v="2.9533933663010315E-2"/>
    <n v="1.0856581549504052"/>
  </r>
  <r>
    <d v="2014-10-19T00:00:00"/>
    <n v="90692.375875501952"/>
    <n v="87911.211583205484"/>
    <n v="2468"/>
    <n v="36.74731599493596"/>
    <n v="2781.1642922964675"/>
    <n v="3.0665910617605978E-2"/>
    <n v="1.1268899077376286"/>
  </r>
  <r>
    <d v="2014-10-20T00:00:00"/>
    <n v="101723.9150040923"/>
    <n v="98870.811877197717"/>
    <n v="2773"/>
    <n v="36.683705374717739"/>
    <n v="2853.1031268945808"/>
    <n v="2.8047515933493142E-2"/>
    <n v="1.0288868109969638"/>
  </r>
  <r>
    <d v="2014-10-21T00:00:00"/>
    <n v="103395.6912687424"/>
    <n v="100424.1557433229"/>
    <n v="2815"/>
    <n v="36.730263328150052"/>
    <n v="2971.5355254195019"/>
    <n v="2.873945218564275E-2"/>
    <n v="1.0556076466854358"/>
  </r>
  <r>
    <d v="2014-10-22T00:00:00"/>
    <n v="99075.599096021819"/>
    <n v="96511.722157538141"/>
    <n v="2701"/>
    <n v="36.681080746398301"/>
    <n v="2563.8769384836778"/>
    <n v="2.5877985718752269E-2"/>
    <n v="0.94923248370369406"/>
  </r>
  <r>
    <d v="2014-10-23T00:00:00"/>
    <n v="97476.144719572068"/>
    <n v="94763.842548765941"/>
    <n v="2651"/>
    <n v="36.7695755260551"/>
    <n v="2712.3021708061278"/>
    <n v="2.7825291804565281E-2"/>
    <n v="1.023124168542485"/>
  </r>
  <r>
    <d v="2014-10-24T00:00:00"/>
    <n v="248974.65278279639"/>
    <n v="241961.14324530261"/>
    <n v="6781"/>
    <n v="36.716509774781947"/>
    <n v="7013.509537493781"/>
    <n v="2.8169572521152642E-2"/>
    <n v="1.0342883848243298"/>
  </r>
  <r>
    <d v="2014-10-25T00:00:00"/>
    <n v="302721.68330040033"/>
    <n v="294129.67112311861"/>
    <n v="8249"/>
    <n v="36.697985610425548"/>
    <n v="8592.012177281722"/>
    <n v="2.8382546250430286E-2"/>
    <n v="1.0415822738855283"/>
  </r>
  <r>
    <d v="2014-10-26T00:00:00"/>
    <n v="128520.72780395371"/>
    <n v="124739.23394868799"/>
    <n v="3502"/>
    <n v="36.699236951443091"/>
    <n v="3781.4938552657113"/>
    <n v="2.9423221606977086E-2"/>
    <n v="1.0798097816292722"/>
  </r>
  <r>
    <d v="2014-10-27T00:00:00"/>
    <n v="145185.2683360849"/>
    <n v="140651.93717842031"/>
    <n v="3949"/>
    <n v="36.765071748818663"/>
    <n v="4533.3311576645938"/>
    <n v="3.1224456927479206E-2"/>
    <n v="1.1479693992566711"/>
  </r>
  <r>
    <d v="2014-10-28T00:00:00"/>
    <n v="89527.556631861706"/>
    <n v="87067.05131891428"/>
    <n v="2435"/>
    <n v="36.76696370918345"/>
    <n v="2460.5053129474254"/>
    <n v="2.7483217519998344E-2"/>
    <n v="1.0104744611693739"/>
  </r>
  <r>
    <d v="2014-10-29T00:00:00"/>
    <n v="81991.88284141109"/>
    <n v="80112.54801498825"/>
    <n v="2232"/>
    <n v="36.734714534682389"/>
    <n v="1879.3348264228407"/>
    <n v="2.2920986337853163E-2"/>
    <n v="0.84199588997439101"/>
  </r>
  <r>
    <d v="2014-10-30T00:00:00"/>
    <n v="69704.491112590491"/>
    <n v="68293.096389796119"/>
    <n v="1898"/>
    <n v="36.725232409162537"/>
    <n v="1411.3947227943718"/>
    <n v="2.0248260912121289E-2"/>
    <n v="0.74362208787901574"/>
  </r>
  <r>
    <d v="2014-10-31T00:00:00"/>
    <n v="166652.39481922361"/>
    <n v="163319.71647067659"/>
    <n v="4537"/>
    <n v="36.7318480976909"/>
    <n v="3332.6783485470223"/>
    <n v="1.9997782523090347E-2"/>
    <n v="0.73455550992881247"/>
  </r>
  <r>
    <d v="2014-11-01T00:00:00"/>
    <n v="247453.10218524761"/>
    <n v="242638.80119746839"/>
    <n v="6730"/>
    <n v="36.768663029011535"/>
    <n v="4814.300987779221"/>
    <n v="1.9455407692465111E-2"/>
    <n v="0.71534932953628838"/>
  </r>
  <r>
    <d v="2014-11-02T00:00:00"/>
    <n v="148476.18120917489"/>
    <n v="145646.33680169421"/>
    <n v="4038"/>
    <n v="36.769732840310766"/>
    <n v="2829.8444074806757"/>
    <n v="1.9059248321412304E-2"/>
    <n v="0.70080346891547196"/>
  </r>
  <r>
    <d v="2014-11-03T00:00:00"/>
    <n v="205368.92263440121"/>
    <n v="201281.239025563"/>
    <n v="5581"/>
    <n v="36.797871821250887"/>
    <n v="4087.6836088382115"/>
    <n v="1.9904100174470536E-2"/>
    <n v="0.73242852693750427"/>
  </r>
  <r>
    <d v="2014-11-04T00:00:00"/>
    <n v="99244.681846049149"/>
    <n v="90949.442252201086"/>
    <n v="2519"/>
    <n v="39.398444559765444"/>
    <n v="8295.2395938480622"/>
    <n v="8.3583718941392215E-2"/>
    <n v="3.293068516811458"/>
  </r>
  <r>
    <d v="2014-11-05T00:00:00"/>
    <n v="72756.863100070492"/>
    <n v="67872.774326885235"/>
    <n v="1847"/>
    <n v="39.39191288579886"/>
    <n v="4884.0887731852563"/>
    <n v="6.7128908051844308E-2"/>
    <n v="2.6443360980970527"/>
  </r>
  <r>
    <d v="2014-11-06T00:00:00"/>
    <n v="86867.458080595141"/>
    <n v="84486.086086063602"/>
    <n v="2309"/>
    <n v="37.621246461929466"/>
    <n v="2381.3719945315388"/>
    <n v="2.7413856087766666E-2"/>
    <n v="1.0313434363497354"/>
  </r>
  <r>
    <d v="2014-11-07T00:00:00"/>
    <n v="140167.80386220521"/>
    <n v="136539.20329644671"/>
    <n v="3722"/>
    <n v="37.659270247771417"/>
    <n v="3628.6005657585047"/>
    <n v="2.5887546681730662E-2"/>
    <n v="0.97490611653909309"/>
  </r>
  <r>
    <d v="2014-11-08T00:00:00"/>
    <n v="160727.30278297889"/>
    <n v="156700.82499573231"/>
    <n v="4268"/>
    <n v="37.658693248120642"/>
    <n v="4026.4777872465784"/>
    <n v="2.5051610507539634E-2"/>
    <n v="0.94341091547483091"/>
  </r>
  <r>
    <d v="2014-11-09T00:00:00"/>
    <n v="74115.62877644549"/>
    <n v="71994.346393653148"/>
    <n v="1968"/>
    <n v="37.660380475836121"/>
    <n v="2121.2823827923421"/>
    <n v="2.8621255972755125E-2"/>
    <n v="1.0778873896302552"/>
  </r>
  <r>
    <d v="2014-11-10T00:00:00"/>
    <n v="76103.291516535493"/>
    <n v="73967.60569443136"/>
    <n v="2016"/>
    <n v="37.749648569710068"/>
    <n v="2135.685822104133"/>
    <n v="2.8062988860870722E-2"/>
    <n v="1.0593679673135581"/>
  </r>
  <r>
    <d v="2014-11-11T00:00:00"/>
    <n v="56303.366574580366"/>
    <n v="54996.866607590731"/>
    <n v="1497"/>
    <n v="37.610799315016948"/>
    <n v="1306.4999669896351"/>
    <n v="2.3204650920101266E-2"/>
    <n v="0.87274546893095195"/>
  </r>
  <r>
    <d v="2014-11-12T00:00:00"/>
    <n v="49436.815864520373"/>
    <n v="48289.892276094753"/>
    <n v="1314"/>
    <n v="37.623147537686741"/>
    <n v="1146.9235884256195"/>
    <n v="2.3199786806025656E-2"/>
    <n v="0.87284900184598135"/>
  </r>
  <r>
    <d v="2014-11-13T00:00:00"/>
    <n v="55033.122403980371"/>
    <n v="53997.218873107588"/>
    <n v="1466"/>
    <n v="37.539646933138044"/>
    <n v="1035.9035308727834"/>
    <n v="1.8823273796252198E-2"/>
    <n v="0.70661905243709644"/>
  </r>
  <r>
    <d v="2014-11-14T00:00:00"/>
    <n v="149808.16594472641"/>
    <n v="146994.89550113151"/>
    <n v="3984"/>
    <n v="37.602451291346988"/>
    <n v="2813.2704435948981"/>
    <n v="1.8779152830913699E-2"/>
    <n v="0.70614217961719328"/>
  </r>
  <r>
    <d v="2014-11-15T00:00:00"/>
    <n v="180685.51072991031"/>
    <n v="176898.27782037071"/>
    <n v="4802"/>
    <n v="37.627136761747252"/>
    <n v="3787.232909539598"/>
    <n v="2.0960357552968233E-2"/>
    <n v="0.78867824022065769"/>
  </r>
  <r>
    <d v="2014-11-16T00:00:00"/>
    <n v="75871.436765220482"/>
    <n v="73905.810158820022"/>
    <n v="2017"/>
    <n v="37.615982531095923"/>
    <n v="1965.6266064004594"/>
    <n v="2.5907333381374742E-2"/>
    <n v="0.97452979990107058"/>
  </r>
  <r>
    <d v="2014-11-17T00:00:00"/>
    <n v="86313.334083170121"/>
    <n v="84418.78910931063"/>
    <n v="2297"/>
    <n v="37.576549448485032"/>
    <n v="1894.5449738594907"/>
    <n v="2.1949621040405393E-2"/>
    <n v="0.82479102040030072"/>
  </r>
  <r>
    <d v="2014-11-18T00:00:00"/>
    <n v="62631.798752070368"/>
    <n v="61158.361090192768"/>
    <n v="1665"/>
    <n v="37.616695947189413"/>
    <n v="1473.4376618776005"/>
    <n v="2.3525392711619898E-2"/>
    <n v="0.88494754467123149"/>
  </r>
  <r>
    <d v="2014-11-19T00:00:00"/>
    <n v="48529.103360340247"/>
    <n v="47409.554056467168"/>
    <n v="1291"/>
    <n v="37.590320186165954"/>
    <n v="1119.5493038730783"/>
    <n v="2.3069647414669006E-2"/>
    <n v="0.86719543289936352"/>
  </r>
  <r>
    <d v="2014-11-20T00:00:00"/>
    <n v="51040.881368070251"/>
    <n v="50038.142634161093"/>
    <n v="1361"/>
    <n v="37.502484473233103"/>
    <n v="1002.7387339091583"/>
    <n v="1.9645795821551851E-2"/>
    <n v="0.73676615276205604"/>
  </r>
  <r>
    <d v="2014-11-21T00:00:00"/>
    <n v="53973.922240020001"/>
    <n v="47192.498284101879"/>
    <n v="1281"/>
    <n v="42.134209398922721"/>
    <n v="6781.4239559181224"/>
    <n v="0.1256426006203771"/>
    <n v="5.2938516439641861"/>
  </r>
  <r>
    <d v="2014-11-22T00:00:00"/>
    <n v="47497.982533509879"/>
    <n v="41179.088245459163"/>
    <n v="1122"/>
    <n v="42.333317766051586"/>
    <n v="6318.8942880507166"/>
    <n v="0.13303500382553574"/>
    <n v="5.6318130909542932"/>
  </r>
  <r>
    <d v="2014-11-23T00:00:00"/>
    <n v="31219.951528719881"/>
    <n v="26893.304677301021"/>
    <n v="737"/>
    <n v="42.360856891071755"/>
    <n v="4326.64685141886"/>
    <n v="0.13858595672189586"/>
    <n v="5.8706198798084941"/>
  </r>
  <r>
    <d v="2014-11-24T00:00:00"/>
    <n v="26870.323873469999"/>
    <n v="23516.041718095501"/>
    <n v="641"/>
    <n v="41.919382017893916"/>
    <n v="3354.282155374498"/>
    <n v="0.12483221903723672"/>
    <n v="5.2328894779633357"/>
  </r>
  <r>
    <d v="2014-11-25T00:00:00"/>
    <n v="40530.642292680008"/>
    <n v="35674.190763166298"/>
    <n v="968"/>
    <n v="41.870498236239676"/>
    <n v="4856.4515295137098"/>
    <n v="0.11982172634828449"/>
    <n v="5.0169953817290391"/>
  </r>
  <r>
    <d v="2014-11-26T00:00:00"/>
    <n v="30371.431335049881"/>
    <n v="26054.849168281438"/>
    <n v="709"/>
    <n v="42.836997651692357"/>
    <n v="4316.5821667684431"/>
    <n v="0.14212639895528828"/>
    <n v="6.0882682182911747"/>
  </r>
  <r>
    <d v="2014-11-27T00:00:00"/>
    <n v="37776.658766749882"/>
    <n v="32719.689636421641"/>
    <n v="880"/>
    <n v="42.928021325852136"/>
    <n v="5056.9691303282416"/>
    <n v="0.13386491276404958"/>
    <n v="5.7465558299184565"/>
  </r>
  <r>
    <d v="2014-11-28T00:00:00"/>
    <n v="46818.205322610003"/>
    <n v="40652.576408851382"/>
    <n v="1096"/>
    <n v="42.717340622819343"/>
    <n v="6165.6289137586209"/>
    <n v="0.13169297864523316"/>
    <n v="5.6255738264220998"/>
  </r>
  <r>
    <d v="2014-11-29T00:00:00"/>
    <n v="88321.625549760734"/>
    <n v="79880.243682936474"/>
    <n v="2068"/>
    <n v="42.708716416712157"/>
    <n v="8441.3818668242602"/>
    <n v="9.5575481251399225E-2"/>
    <n v="4.0819061251567987"/>
  </r>
  <r>
    <d v="2014-11-30T00:00:00"/>
    <n v="101037.8278297916"/>
    <n v="93177.884704390279"/>
    <n v="2375"/>
    <n v="42.542243296754357"/>
    <n v="7859.943125401318"/>
    <n v="7.7792083363492179E-2"/>
    <n v="3.3094497370110814"/>
  </r>
  <r>
    <d v="2014-12-01T00:00:00"/>
    <n v="105100.6676485115"/>
    <n v="97257.394665729371"/>
    <n v="2492"/>
    <n v="42.175227788327248"/>
    <n v="7843.2729827821313"/>
    <n v="7.462629075785146E-2"/>
    <n v="3.1473808117103257"/>
  </r>
  <r>
    <d v="2014-12-02T00:00:00"/>
    <n v="88219.52548812989"/>
    <n v="85533.428923318512"/>
    <n v="2170"/>
    <n v="40.654159211119762"/>
    <n v="2686.0965648113779"/>
    <n v="3.0447869107761157E-2"/>
    <n v="1.2378325183462571"/>
  </r>
  <r>
    <d v="2014-12-03T00:00:00"/>
    <n v="71590.369289220369"/>
    <n v="69654.93030590401"/>
    <n v="1784"/>
    <n v="40.129130767500207"/>
    <n v="1935.4389833163586"/>
    <n v="2.7034907104575935E-2"/>
    <n v="1.0848873224867481"/>
  </r>
  <r>
    <d v="2014-12-04T00:00:00"/>
    <n v="54996.621692620247"/>
    <n v="54503.02854750456"/>
    <n v="1368"/>
    <n v="40.202208839634686"/>
    <n v="493.59314511568664"/>
    <n v="8.9749720969119033E-3"/>
    <n v="0.36081370256994638"/>
  </r>
  <r>
    <d v="2014-12-05T00:00:00"/>
    <n v="77884.181609825493"/>
    <n v="77619.29488939041"/>
    <n v="1914"/>
    <n v="40.691839921538921"/>
    <n v="264.88672043508268"/>
    <n v="3.4010336240300923E-3"/>
    <n v="0.13839431579680392"/>
  </r>
  <r>
    <d v="2014-12-06T00:00:00"/>
    <n v="150370.11672367639"/>
    <n v="154998.83458187681"/>
    <n v="3765"/>
    <n v="39.938942024880845"/>
    <n v="-4628.7178582004271"/>
    <n v="-3.0782165759080087E-2"/>
    <n v="-1.2294071336521719"/>
  </r>
  <r>
    <d v="2014-12-07T00:00:00"/>
    <n v="104675.37611534919"/>
    <n v="111903.7379024793"/>
    <n v="2712"/>
    <n v="38.597115086780676"/>
    <n v="-7228.3617871301103"/>
    <n v="-6.905503524692061E-2"/>
    <n v="-2.6653251427470908"/>
  </r>
  <r>
    <d v="2014-12-08T00:00:00"/>
    <n v="90121.530475064763"/>
    <n v="91081.66819408616"/>
    <n v="2222"/>
    <n v="40.558744588237964"/>
    <n v="-960.13771902139706"/>
    <n v="-1.0653810626163881E-2"/>
    <n v="-0.4321051840780365"/>
  </r>
  <r>
    <d v="2014-12-09T00:00:00"/>
    <n v="75425.443698290488"/>
    <n v="77014.255960305571"/>
    <n v="1861"/>
    <n v="40.529523749753082"/>
    <n v="-1588.8122620150825"/>
    <n v="-2.1064672398487898E-2"/>
    <n v="-0.85374114025528347"/>
  </r>
  <r>
    <d v="2014-12-10T00:00:00"/>
    <n v="161844.8094356737"/>
    <n v="169348.5185848648"/>
    <n v="4095"/>
    <n v="39.522541986733501"/>
    <n v="-7503.7091491910978"/>
    <n v="-4.6363607058856574E-2"/>
    <n v="-1.8324076066400727"/>
  </r>
  <r>
    <d v="2014-12-11T00:00:00"/>
    <n v="158603.35696800359"/>
    <n v="171692.99360653351"/>
    <n v="4157"/>
    <n v="38.153321377917628"/>
    <n v="-13089.636638529919"/>
    <n v="-8.2530640515828452E-2"/>
    <n v="-3.1488180511257924"/>
  </r>
  <r>
    <d v="2014-12-12T00:00:00"/>
    <n v="279092.09595645021"/>
    <n v="301236.10987981001"/>
    <n v="7259"/>
    <n v="38.44773329059791"/>
    <n v="-22144.013923359802"/>
    <n v="-7.9343034948632776E-2"/>
    <n v="-3.0505598461716219"/>
  </r>
  <r>
    <d v="2014-12-13T00:00:00"/>
    <n v="369350.98948089819"/>
    <n v="402564.67862758518"/>
    <n v="9654"/>
    <n v="38.258855342956103"/>
    <n v="-33213.689146686986"/>
    <n v="-8.9924462347770989E-2"/>
    <n v="-3.4404069967564723"/>
  </r>
  <r>
    <d v="2014-12-14T00:00:00"/>
    <n v="177500.10772560869"/>
    <n v="192327.32065612171"/>
    <n v="4632"/>
    <n v="38.320403222281669"/>
    <n v="-14827.212930513022"/>
    <n v="-8.3533543277809721E-2"/>
    <n v="-3.2010390609915849"/>
  </r>
  <r>
    <d v="2014-12-15T00:00:00"/>
    <n v="282246.62867828761"/>
    <n v="304489.638251931"/>
    <n v="7341"/>
    <n v="38.44798102142591"/>
    <n v="-22243.009573643387"/>
    <n v="-7.8806998254695101E-2"/>
    <n v="-3.029969973252062"/>
  </r>
  <r>
    <d v="2014-12-16T00:00:00"/>
    <n v="166037.92572951369"/>
    <n v="179571.12907994099"/>
    <n v="4308"/>
    <n v="38.541765489673558"/>
    <n v="-13533.203350427299"/>
    <n v="-8.1506699695066923E-2"/>
    <n v="-3.141412105484517"/>
  </r>
  <r>
    <d v="2014-12-17T00:00:00"/>
    <n v="148910.99836015861"/>
    <n v="161137.52200304749"/>
    <n v="3865"/>
    <n v="38.528072020739614"/>
    <n v="-12226.523642888875"/>
    <n v="-8.2106249891076552E-2"/>
    <n v="-3.163395509156242"/>
  </r>
  <r>
    <d v="2014-12-18T00:00:00"/>
    <n v="202359.14289987119"/>
    <n v="221435.76864963601"/>
    <n v="5288"/>
    <n v="38.267614012834947"/>
    <n v="-19076.625749764818"/>
    <n v="-9.4271133374013522E-2"/>
    <n v="-3.6075313445092321"/>
  </r>
  <r>
    <d v="2014-12-19T00:00:00"/>
    <n v="274343.65434523381"/>
    <n v="299516.83776498272"/>
    <n v="7141"/>
    <n v="38.418100314414481"/>
    <n v="-25173.183419748908"/>
    <n v="-9.1757848308279058E-2"/>
    <n v="-3.5251622209422919"/>
  </r>
  <r>
    <d v="2014-12-20T00:00:00"/>
    <n v="316167.07465857267"/>
    <n v="346378.30476784823"/>
    <n v="8268"/>
    <n v="38.239849378153444"/>
    <n v="-30211.230109275552"/>
    <n v="-9.5554637186369001E-2"/>
    <n v="-3.6539949333908504"/>
  </r>
  <r>
    <d v="2014-12-21T00:00:00"/>
    <n v="173833.40012841369"/>
    <n v="190644.50156869169"/>
    <n v="4541"/>
    <n v="38.280863274259787"/>
    <n v="-16811.101440277998"/>
    <n v="-9.6708120694063121E-2"/>
    <n v="-3.7020703458000437"/>
  </r>
  <r>
    <d v="2014-12-22T00:00:00"/>
    <n v="204565.08183541149"/>
    <n v="210188.9094104479"/>
    <n v="5014"/>
    <n v="40.798779783687969"/>
    <n v="-5623.8275750364119"/>
    <n v="-2.7491630167660864E-2"/>
    <n v="-1.1216249651049883"/>
  </r>
  <r>
    <d v="2014-12-23T00:00:00"/>
    <n v="316394.73085730919"/>
    <n v="326627.13841637562"/>
    <n v="7778"/>
    <n v="40.678160305645306"/>
    <n v="-10232.407559066429"/>
    <n v="-3.2340638326499631E-2"/>
    <n v="-1.3155576702322485"/>
  </r>
  <r>
    <d v="2014-12-24T00:00:00"/>
    <n v="486230.32019362762"/>
    <n v="495909.08956339589"/>
    <n v="11809"/>
    <n v="41.174555016820023"/>
    <n v="-9678.7693697682698"/>
    <n v="-1.990572979059383E-2"/>
    <n v="-0.81960956641275895"/>
  </r>
  <r>
    <d v="2014-12-25T00:00:00"/>
    <n v="137686.53210060639"/>
    <n v="140525.78674110339"/>
    <n v="3344"/>
    <n v="41.174202183195689"/>
    <n v="-2839.2546404970053"/>
    <n v="-2.0621150065878526E-2"/>
    <n v="-0.84905940206250163"/>
  </r>
  <r>
    <d v="2014-12-26T00:00:00"/>
    <n v="48102.962409030253"/>
    <n v="49028.365072183813"/>
    <n v="1169"/>
    <n v="41.148813010291065"/>
    <n v="-925.40266315355984"/>
    <n v="-1.9237955768392264E-2"/>
    <n v="-0.7916190446138236"/>
  </r>
  <r>
    <d v="2014-12-27T00:00:00"/>
    <n v="110162.1319825481"/>
    <n v="112383.5592473063"/>
    <n v="2676"/>
    <n v="41.166715987499295"/>
    <n v="-2221.4272647581965"/>
    <n v="-2.0165071470386171E-2"/>
    <n v="-0.83012977008901212"/>
  </r>
  <r>
    <d v="2014-12-28T00:00:00"/>
    <n v="69051.33709342037"/>
    <n v="70482.717802969084"/>
    <n v="1677"/>
    <n v="41.175514068825507"/>
    <n v="-1431.3807095487136"/>
    <n v="-2.0729225092516047E-2"/>
    <n v="-0.85353649943274512"/>
  </r>
  <r>
    <d v="2014-12-29T00:00:00"/>
    <n v="133307.3689628276"/>
    <n v="136003.48252575181"/>
    <n v="3237"/>
    <n v="41.182381514620822"/>
    <n v="-2696.1135629242053"/>
    <n v="-2.0224790151518249E-2"/>
    <n v="-0.8329050240729704"/>
  </r>
  <r>
    <d v="2014-12-30T00:00:00"/>
    <n v="216389.504268855"/>
    <n v="235723.76475390821"/>
    <n v="5607"/>
    <n v="38.592741977680575"/>
    <n v="-19334.260485053208"/>
    <n v="-8.9349345063571978E-2"/>
    <n v="-3.4482362199131815"/>
  </r>
  <r>
    <d v="2014-12-31T00:00:00"/>
    <n v="365055.31201272178"/>
    <n v="398013.34833037207"/>
    <n v="9464"/>
    <n v="38.573046493313797"/>
    <n v="-32958.036317650287"/>
    <n v="-9.0282308551920848E-2"/>
    <n v="-3.4824636852969451"/>
  </r>
  <r>
    <d v="2015-01-01T00:00:00"/>
    <n v="112161.419616753"/>
    <n v="122170.43168462771"/>
    <n v="2905"/>
    <n v="38.609783000603443"/>
    <n v="-10009.012067874704"/>
    <n v="-8.9237565841041713E-2"/>
    <n v="-3.4454430526246829"/>
  </r>
  <r>
    <d v="2015-01-02T00:00:00"/>
    <n v="271101.46167031268"/>
    <n v="295019.46942959027"/>
    <n v="7023"/>
    <n v="38.6019452755678"/>
    <n v="-23918.007759277592"/>
    <n v="-8.8225299900316856E-2"/>
    <n v="-3.405668198672589"/>
  </r>
  <r>
    <d v="2015-01-03T00:00:00"/>
    <n v="245813.288312124"/>
    <n v="267734.72525537072"/>
    <n v="6371"/>
    <n v="38.583156225415792"/>
    <n v="-21921.436943246721"/>
    <n v="-8.9179218478261213E-2"/>
    <n v="-3.4408157186072392"/>
  </r>
  <r>
    <d v="2015-01-04T00:00:00"/>
    <n v="178394.81199754871"/>
    <n v="194427.44797350231"/>
    <n v="4624"/>
    <n v="38.580192906044267"/>
    <n v="-16032.635975953599"/>
    <n v="-8.9871649272927845E-2"/>
    <n v="-3.4672655657339098"/>
  </r>
  <r>
    <d v="2015-01-05T00:00:00"/>
    <n v="220443.631484265"/>
    <n v="239988.0274603873"/>
    <n v="5717"/>
    <n v="38.559319832825786"/>
    <n v="-19544.395976122294"/>
    <n v="-8.8659381287308131E-2"/>
    <n v="-3.4186454392377637"/>
  </r>
  <r>
    <d v="2015-01-06T00:00:00"/>
    <n v="181534.1886726786"/>
    <n v="197328.94391081069"/>
    <n v="4705"/>
    <n v="38.583249452216492"/>
    <n v="-15794.755238132086"/>
    <n v="-8.7007055550353415E-2"/>
    <n v="-3.3570149284021435"/>
  </r>
  <r>
    <d v="2015-01-07T00:00:00"/>
    <n v="83176.481393400245"/>
    <n v="84728.831196631072"/>
    <n v="2020"/>
    <n v="41.176475937326856"/>
    <n v="-1552.3498032308271"/>
    <n v="-1.8663326185784056E-2"/>
    <n v="-0.76849000159941938"/>
  </r>
  <r>
    <d v="2015-01-08T00:00:00"/>
    <n v="76894.779348705371"/>
    <n v="78468.095499687464"/>
    <n v="1868"/>
    <n v="41.164228773396879"/>
    <n v="-1573.3161509820929"/>
    <n v="-2.0460636785851988E-2"/>
    <n v="-0.84224633350219114"/>
  </r>
  <r>
    <d v="2015-01-09T00:00:00"/>
    <n v="123859.3879567376"/>
    <n v="126444.1425182809"/>
    <n v="3008"/>
    <n v="41.176658230298401"/>
    <n v="-2584.7545615433046"/>
    <n v="-2.0868459017786559E-2"/>
    <n v="-0.85929340476838578"/>
  </r>
  <r>
    <d v="2015-01-10T00:00:00"/>
    <n v="120807.5741583273"/>
    <n v="123392.8040677807"/>
    <n v="2934"/>
    <n v="41.175042317084973"/>
    <n v="-2585.2299094533955"/>
    <n v="-2.1399568093845339E-2"/>
    <n v="-0.88112812183142319"/>
  </r>
  <r>
    <d v="2015-01-11T00:00:00"/>
    <n v="69597.36734933038"/>
    <n v="71051.363502932756"/>
    <n v="1690"/>
    <n v="41.181874171201407"/>
    <n v="-1453.9961536023766"/>
    <n v="-2.0891539565057498E-2"/>
    <n v="-0.86035275361087371"/>
  </r>
  <r>
    <d v="2015-01-12T00:00:00"/>
    <n v="84738.294411260125"/>
    <n v="86467.537750281685"/>
    <n v="2058"/>
    <n v="41.175070170680335"/>
    <n v="-1729.2433390215592"/>
    <n v="-2.0406869775181306E-2"/>
    <n v="-0.84025429495702586"/>
  </r>
  <r>
    <d v="2015-01-13T00:00:00"/>
    <n v="64653.972138140372"/>
    <n v="65980.422089859814"/>
    <n v="1570"/>
    <n v="41.180873973337818"/>
    <n v="-1326.4499517194417"/>
    <n v="-2.0516140120290436E-2"/>
    <n v="-0.84487258071302018"/>
  </r>
  <r>
    <d v="2015-01-14T00:00:00"/>
    <n v="59553.386031020251"/>
    <n v="60703.356028777598"/>
    <n v="1446"/>
    <n v="41.184914267648857"/>
    <n v="-1149.9699977573473"/>
    <n v="-1.9309901155886405E-2"/>
    <n v="-0.79527662362195528"/>
  </r>
  <r>
    <d v="2015-01-15T00:00:00"/>
    <n v="79080.756957730366"/>
    <n v="80337.748312174546"/>
    <n v="1921"/>
    <n v="41.16645338767848"/>
    <n v="-1256.9913544441806"/>
    <n v="-1.5895034428110723E-2"/>
    <n v="-0.65434219388036474"/>
  </r>
  <r>
    <d v="2015-01-16T00:00:00"/>
    <n v="149444.05678745391"/>
    <n v="152030.98648053521"/>
    <n v="3629"/>
    <n v="41.180506141486333"/>
    <n v="-2586.9296930812998"/>
    <n v="-1.7310355116768195E-2"/>
    <n v="-0.71284918519738216"/>
  </r>
  <r>
    <d v="2015-01-17T00:00:00"/>
    <n v="170624.0799358915"/>
    <n v="173547.0271100424"/>
    <n v="4144"/>
    <n v="41.173764463294283"/>
    <n v="-2922.9471741509042"/>
    <n v="-1.7130918304433591E-2"/>
    <n v="-0.70534439530668536"/>
  </r>
  <r>
    <d v="2015-01-18T00:00:00"/>
    <n v="74744.283149260489"/>
    <n v="76003.928254213824"/>
    <n v="1815"/>
    <n v="41.181423222733052"/>
    <n v="-1259.6451049533352"/>
    <n v="-1.6852728421221042E-2"/>
    <n v="-0.69401934157208556"/>
  </r>
  <r>
    <d v="2015-01-19T00:00:00"/>
    <n v="90144.161401489764"/>
    <n v="91110.969347994804"/>
    <n v="2189"/>
    <n v="41.180521425988928"/>
    <n v="-966.80794650503958"/>
    <n v="-1.0725131073093122E-2"/>
    <n v="-0.44166648995205099"/>
  </r>
  <r>
    <d v="2015-01-20T00:00:00"/>
    <n v="97826.808800979037"/>
    <n v="99134.30698859354"/>
    <n v="2376"/>
    <n v="41.172899327011379"/>
    <n v="-1307.498187614503"/>
    <n v="-1.3365438407323552E-2"/>
    <n v="-0.55029385000610398"/>
  </r>
  <r>
    <d v="2015-01-21T00:00:00"/>
    <n v="62795.97914592037"/>
    <n v="64144.088875245921"/>
    <n v="1525"/>
    <n v="41.177691243226469"/>
    <n v="-1348.1097293255516"/>
    <n v="-2.146808995832233E-2"/>
    <n v="-0.8840063798856076"/>
  </r>
  <r>
    <d v="2015-01-22T00:00:00"/>
    <n v="66550.989827080368"/>
    <n v="67952.150554841501"/>
    <n v="1616"/>
    <n v="41.18254320982696"/>
    <n v="-1401.1607277611329"/>
    <n v="-2.1053942719736745E-2"/>
    <n v="-0.86705490579278022"/>
  </r>
  <r>
    <d v="2015-01-23T00:00:00"/>
    <n v="154670.89070075389"/>
    <n v="158031.79104317201"/>
    <n v="3757"/>
    <n v="41.168722571401091"/>
    <n v="-3360.9003424181137"/>
    <n v="-2.1729365669203662E-2"/>
    <n v="-0.89457022688797283"/>
  </r>
  <r>
    <d v="2015-01-24T00:00:00"/>
    <n v="158722.10562536391"/>
    <n v="162082.4184385144"/>
    <n v="3855"/>
    <n v="41.173049448862237"/>
    <n v="-3360.3128131504927"/>
    <n v="-2.1171044826496507E-2"/>
    <n v="-0.8716764755254196"/>
  </r>
  <r>
    <d v="2015-01-25T00:00:00"/>
    <n v="78092.276922030491"/>
    <n v="79795.0431031607"/>
    <n v="1897"/>
    <n v="41.16619763944675"/>
    <n v="-1702.7661811302096"/>
    <n v="-2.1804540067775189E-2"/>
    <n v="-0.89761000586726913"/>
  </r>
  <r>
    <d v="2015-01-26T00:00:00"/>
    <n v="91830.402043779875"/>
    <n v="93808.086746872388"/>
    <n v="2230"/>
    <n v="41.179552485999942"/>
    <n v="-1977.6847030925128"/>
    <n v="-2.1536274034275243E-2"/>
    <n v="-0.88685412694731514"/>
  </r>
  <r>
    <d v="2015-01-27T00:00:00"/>
    <n v="76992.935683210482"/>
    <n v="78614.457753375827"/>
    <n v="1870"/>
    <n v="41.172692878722181"/>
    <n v="-1621.5220701653452"/>
    <n v="-2.1060660381065889E-2"/>
    <n v="-0.86712410169269794"/>
  </r>
  <r>
    <d v="2015-01-28T00:00:00"/>
    <n v="59897.71587994037"/>
    <n v="61194.180255889572"/>
    <n v="1455"/>
    <n v="41.166815037759704"/>
    <n v="-1296.4643759492028"/>
    <n v="-2.164463797831373E-2"/>
    <n v="-0.89104080821251053"/>
  </r>
  <r>
    <d v="2015-01-29T00:00:00"/>
    <n v="57310.194042320363"/>
    <n v="58531.41098518647"/>
    <n v="1392"/>
    <n v="41.171116409712901"/>
    <n v="-1221.2169428661073"/>
    <n v="-2.1308895620983363E-2"/>
    <n v="-0.87731102217392765"/>
  </r>
  <r>
    <d v="2015-01-30T00:00:00"/>
    <n v="134540.2144657376"/>
    <n v="137221.53747357719"/>
    <n v="3268"/>
    <n v="41.168976274705507"/>
    <n v="-2681.3230078395864"/>
    <n v="-1.9929528271433072E-2"/>
    <n v="-0.82047827657270089"/>
  </r>
  <r>
    <d v="2015-01-31T00:00:00"/>
    <n v="200193.61199916029"/>
    <n v="203814.73638908501"/>
    <n v="4862"/>
    <n v="41.175156725454606"/>
    <n v="-3621.1243899247202"/>
    <n v="-1.8088111572410758E-2"/>
    <n v="-0.74478082886152208"/>
  </r>
  <r>
    <d v="2015-02-01T00:00:00"/>
    <n v="171469.93052966279"/>
    <n v="174652.45798996431"/>
    <n v="4165"/>
    <n v="41.16925102753008"/>
    <n v="-3182.5274603015278"/>
    <n v="-1.8560265642324842E-2"/>
    <n v="-0.76411223536651329"/>
  </r>
  <r>
    <d v="2015-02-02T00:00:00"/>
    <n v="151737.21883246521"/>
    <n v="154148.5988130215"/>
    <n v="3685"/>
    <n v="41.176992898905077"/>
    <n v="-2411.3799805562885"/>
    <n v="-1.5891816122046633E-2"/>
    <n v="-0.65437719960821938"/>
  </r>
  <r>
    <d v="2015-02-03T00:00:00"/>
    <n v="102072.4434055789"/>
    <n v="103634.964229016"/>
    <n v="2479"/>
    <n v="41.174846069212947"/>
    <n v="-1562.5208234370948"/>
    <n v="-1.5307959438459893E-2"/>
    <n v="-0.6303028735123416"/>
  </r>
  <r>
    <d v="2015-02-04T00:00:00"/>
    <n v="82514.105120030377"/>
    <n v="83232.391367362128"/>
    <n v="2005"/>
    <n v="41.154167142159793"/>
    <n v="-718.28624733175093"/>
    <n v="-8.7050116617866137E-3"/>
    <n v="-0.3582475049036164"/>
  </r>
  <r>
    <d v="2015-02-05T00:00:00"/>
    <n v="46211.332458070247"/>
    <n v="46407.299117268973"/>
    <n v="1122"/>
    <n v="41.186570818244427"/>
    <n v="-195.96665919872612"/>
    <n v="-4.2406623824694095E-3"/>
    <n v="-0.17465834153184145"/>
  </r>
  <r>
    <d v="2015-02-06T00:00:00"/>
    <n v="85730.414810460134"/>
    <n v="85765.709336061569"/>
    <n v="2082"/>
    <n v="41.176952358530322"/>
    <n v="-35.294525601435453"/>
    <n v="-4.1169199611908446E-4"/>
    <n v="-1.695222171058379E-2"/>
  </r>
  <r>
    <d v="2015-02-07T00:00:00"/>
    <n v="105918.2932906084"/>
    <n v="105662.5562409002"/>
    <n v="2573"/>
    <n v="41.165290824177383"/>
    <n v="255.73704970820108"/>
    <n v="2.4144747971583569E-3"/>
    <n v="9.9392557212670457E-2"/>
  </r>
  <r>
    <d v="2015-02-08T00:00:00"/>
    <n v="73041.660871220491"/>
    <n v="73046.233899676779"/>
    <n v="1774"/>
    <n v="41.173427774081446"/>
    <n v="-4.5730284562887391"/>
    <n v="-6.2608494956753935E-5"/>
    <n v="-2.5778063451458509E-3"/>
  </r>
  <r>
    <d v="2015-02-09T00:00:00"/>
    <n v="97908.547096098671"/>
    <n v="97097.936590193072"/>
    <n v="2378"/>
    <n v="41.172643858746291"/>
    <n v="810.61050590559898"/>
    <n v="8.2792619229654484E-3"/>
    <n v="0.34087910256753534"/>
  </r>
  <r>
    <d v="2015-02-10T00:00:00"/>
    <n v="138667.4159111364"/>
    <n v="148522.8490204199"/>
    <n v="3677"/>
    <n v="37.712106584480935"/>
    <n v="-9855.4331092835055"/>
    <n v="-7.1072450903673423E-2"/>
    <n v="-2.6802918436996208"/>
  </r>
  <r>
    <d v="2015-02-11T00:00:00"/>
    <n v="162162.103518324"/>
    <n v="173661.82783508641"/>
    <n v="4299"/>
    <n v="37.720889397144454"/>
    <n v="-11499.724316762411"/>
    <n v="-7.091499226552006E-2"/>
    <n v="-2.6749765798470366"/>
  </r>
  <r>
    <d v="2015-02-12T00:00:00"/>
    <n v="138520.1268039264"/>
    <n v="147756.34279381519"/>
    <n v="3674"/>
    <n v="37.702810779511815"/>
    <n v="-9236.2159898887912"/>
    <n v="-6.6677790462627465E-2"/>
    <n v="-2.513940117008381"/>
  </r>
  <r>
    <d v="2015-02-13T00:00:00"/>
    <n v="358597.42850915849"/>
    <n v="382447.08041708497"/>
    <n v="9505"/>
    <n v="37.727241295019304"/>
    <n v="-23849.651907926484"/>
    <n v="-6.6508150956574322E-2"/>
    <n v="-2.5091690592242486"/>
  </r>
  <r>
    <d v="2015-02-14T00:00:00"/>
    <n v="424009.8825170612"/>
    <n v="451548.0275596244"/>
    <n v="11237"/>
    <n v="37.733370340576769"/>
    <n v="-27538.145042563207"/>
    <n v="-6.494694151723017E-2"/>
    <n v="-2.4506669967574268"/>
  </r>
  <r>
    <d v="2015-02-15T00:00:00"/>
    <n v="203861.47237812541"/>
    <n v="217065.61516082729"/>
    <n v="5406"/>
    <n v="37.710224265284019"/>
    <n v="-13204.142782701878"/>
    <n v="-6.4770172748534999E-2"/>
    <n v="-2.442497740048442"/>
  </r>
  <r>
    <d v="2015-02-16T00:00:00"/>
    <n v="220506.20933281549"/>
    <n v="234723.22004532229"/>
    <n v="5846"/>
    <n v="37.719159995349898"/>
    <n v="-14217.010712506803"/>
    <n v="-6.4474423443780293E-2"/>
    <n v="-2.4319210934838869"/>
  </r>
  <r>
    <d v="2015-02-17T00:00:00"/>
    <n v="139935.9369763452"/>
    <n v="148697.54369598959"/>
    <n v="3713"/>
    <n v="37.688105837959924"/>
    <n v="-8761.606719644391"/>
    <n v="-6.2611555751582629E-2"/>
    <n v="-2.3597109398449745"/>
  </r>
  <r>
    <d v="2015-02-18T00:00:00"/>
    <n v="161064.75234488389"/>
    <n v="170739.36662316829"/>
    <n v="4270"/>
    <n v="37.720082516366254"/>
    <n v="-9674.6142782843963"/>
    <n v="-6.0066613814848756E-2"/>
    <n v="-2.2657176295748003"/>
  </r>
  <r>
    <d v="2015-02-19T00:00:00"/>
    <n v="144328.54518998519"/>
    <n v="152824.1148984046"/>
    <n v="3827"/>
    <n v="37.713233652988031"/>
    <n v="-8495.5697084194107"/>
    <n v="-5.8862712828126738E-2"/>
    <n v="-2.2199032423358793"/>
  </r>
  <r>
    <d v="2015-02-20T00:00:00"/>
    <n v="293071.75919640332"/>
    <n v="310240.37839534058"/>
    <n v="7770"/>
    <n v="37.718373126950233"/>
    <n v="-17168.61919893726"/>
    <n v="-5.8581622623801274E-2"/>
    <n v="-2.2096035005067258"/>
  </r>
  <r>
    <d v="2015-02-21T00:00:00"/>
    <n v="267782.15396190819"/>
    <n v="283430.33683376323"/>
    <n v="7102"/>
    <n v="37.705175156562682"/>
    <n v="-15648.182871855039"/>
    <n v="-5.8436242446839759E-2"/>
    <n v="-2.2033487569494561"/>
  </r>
  <r>
    <d v="2015-02-22T00:00:00"/>
    <n v="136052.68842362519"/>
    <n v="144020.1227597401"/>
    <n v="3608"/>
    <n v="37.708616525395009"/>
    <n v="-7967.4343361149076"/>
    <n v="-5.856138844759045E-2"/>
    <n v="-2.2082689401648858"/>
  </r>
  <r>
    <d v="2015-02-23T00:00:00"/>
    <n v="86703.314090379165"/>
    <n v="85730.966539282686"/>
    <n v="2150"/>
    <n v="40.327122832734496"/>
    <n v="972.34755109647813"/>
    <n v="1.1214652649642748E-2"/>
    <n v="0.4522546749285945"/>
  </r>
  <r>
    <d v="2015-02-24T00:00:00"/>
    <n v="95474.357369099642"/>
    <n v="100867.5240607559"/>
    <n v="2530"/>
    <n v="37.736900145889187"/>
    <n v="-5393.1666916562535"/>
    <n v="-5.6488117231378782E-2"/>
    <n v="-2.1316864393898234"/>
  </r>
  <r>
    <d v="2015-02-25T00:00:00"/>
    <n v="198431.62752698149"/>
    <n v="209499.79410912099"/>
    <n v="5253"/>
    <n v="37.774914815720827"/>
    <n v="-11068.1665821395"/>
    <n v="-5.5778238177452429E-2"/>
    <n v="-2.1070181957242529"/>
  </r>
  <r>
    <d v="2015-02-26T00:00:00"/>
    <n v="157291.73399894519"/>
    <n v="166305.03762747039"/>
    <n v="4171"/>
    <n v="37.71079693093867"/>
    <n v="-9013.3036285252019"/>
    <n v="-5.7303097876622341E-2"/>
    <n v="-2.1609454875390077"/>
  </r>
  <r>
    <d v="2015-02-27T00:00:00"/>
    <n v="307540.67515623698"/>
    <n v="324997.33647802821"/>
    <n v="8156"/>
    <n v="37.707292196694084"/>
    <n v="-17456.661321791238"/>
    <n v="-5.676212199548205E-2"/>
    <n v="-2.1403459197880381"/>
  </r>
  <r>
    <d v="2015-02-28T00:00:00"/>
    <n v="350898.76351026969"/>
    <n v="375030.63545205921"/>
    <n v="9296"/>
    <n v="37.747285231311281"/>
    <n v="-24131.871941789519"/>
    <n v="-6.8771607230480467E-2"/>
    <n v="-2.5959414739446558"/>
  </r>
  <r>
    <d v="2015-03-01T00:00:00"/>
    <n v="256701.54273334061"/>
    <n v="276569.25039235951"/>
    <n v="6803"/>
    <n v="37.733579705033165"/>
    <n v="-19867.707659018895"/>
    <n v="-7.7396136569608781E-2"/>
    <n v="-2.9204332881109649"/>
  </r>
  <r>
    <d v="2015-03-02T00:00:00"/>
    <n v="234705.592779103"/>
    <n v="252709.82306975979"/>
    <n v="6221"/>
    <n v="37.727952544462788"/>
    <n v="-18004.230290656793"/>
    <n v="-7.6709847760644406E-2"/>
    <n v="-2.8941054960065573"/>
  </r>
  <r>
    <d v="2015-03-03T00:00:00"/>
    <n v="249380.5654475792"/>
    <n v="268761.83235694439"/>
    <n v="6611"/>
    <n v="37.722064051970833"/>
    <n v="-19381.266909365193"/>
    <n v="-7.7717631582799554E-2"/>
    <n v="-2.9316694765338367"/>
  </r>
  <r>
    <d v="2015-03-04T00:00:00"/>
    <n v="258211.44416769789"/>
    <n v="278825.60667853651"/>
    <n v="6843"/>
    <n v="37.73366128418791"/>
    <n v="-20614.162510838622"/>
    <n v="-7.9834426306258352E-2"/>
    <n v="-3.012445201057814"/>
  </r>
  <r>
    <d v="2015-03-05T00:00:00"/>
    <n v="145975.83394282509"/>
    <n v="157578.00586652799"/>
    <n v="3858"/>
    <n v="37.837178315921484"/>
    <n v="-11602.171923702903"/>
    <n v="-7.9480086602876809E-2"/>
    <n v="-3.0073022093579325"/>
  </r>
  <r>
    <d v="2015-03-06T00:00:00"/>
    <n v="269239.85258366819"/>
    <n v="291365.01755439863"/>
    <n v="7128"/>
    <n v="37.772145424195877"/>
    <n v="-22125.164970730431"/>
    <n v="-8.2176411695422683E-2"/>
    <n v="-3.1039793729980962"/>
  </r>
  <r>
    <d v="2015-03-07T00:00:00"/>
    <n v="306920.21160129207"/>
    <n v="332242.411551486"/>
    <n v="8127"/>
    <n v="37.765499151137206"/>
    <n v="-25322.199950193928"/>
    <n v="-8.2504178587915866E-2"/>
    <n v="-3.1158114864272091"/>
  </r>
  <r>
    <d v="2015-03-08T00:00:00"/>
    <n v="122106.7956223864"/>
    <n v="121394.8122011722"/>
    <n v="2966"/>
    <n v="41.168845455963051"/>
    <n v="711.98342121420137"/>
    <n v="5.8308255292850398E-3"/>
    <n v="0.24004835509581976"/>
  </r>
  <r>
    <d v="2015-03-09T00:00:00"/>
    <n v="117661.2807925471"/>
    <n v="116861.1582735515"/>
    <n v="2858"/>
    <n v="41.169097548127048"/>
    <n v="800.12251899560215"/>
    <n v="6.8002193551362691E-3"/>
    <n v="0.27995889398026669"/>
  </r>
  <r>
    <d v="2015-03-10T00:00:00"/>
    <n v="62499.799171560371"/>
    <n v="62073.872654165207"/>
    <n v="1518"/>
    <n v="41.172463222371789"/>
    <n v="425.92651739516441"/>
    <n v="6.8148461761614121E-3"/>
    <n v="0.28058400355412677"/>
  </r>
  <r>
    <d v="2015-03-11T00:00:00"/>
    <n v="57063.98412427037"/>
    <n v="56638.281370608107"/>
    <n v="1386"/>
    <n v="41.171705717366791"/>
    <n v="425.70275366226269"/>
    <n v="7.4600951930589689E-3"/>
    <n v="0.30714484391216645"/>
  </r>
  <r>
    <d v="2015-03-12T00:00:00"/>
    <n v="48008.482841660247"/>
    <n v="47681.672078871583"/>
    <n v="1166"/>
    <n v="41.173655953396441"/>
    <n v="326.81076278866385"/>
    <n v="6.8073545224609303E-3"/>
    <n v="0.28028367306060364"/>
  </r>
  <r>
    <d v="2015-03-13T00:00:00"/>
    <n v="117446.83911330831"/>
    <n v="116681.1415516587"/>
    <n v="2853"/>
    <n v="41.166084512200598"/>
    <n v="765.69756164960563"/>
    <n v="6.5195246413646719E-3"/>
    <n v="0.26838330236579239"/>
  </r>
  <r>
    <d v="2015-03-14T00:00:00"/>
    <n v="150591.5479008352"/>
    <n v="149573.8275926896"/>
    <n v="3657"/>
    <n v="41.178984933233579"/>
    <n v="1017.7203081455955"/>
    <n v="6.7581502569836532E-3"/>
    <n v="0.27829376760885849"/>
  </r>
  <r>
    <d v="2015-03-15T00:00:00"/>
    <n v="67152.474953640369"/>
    <n v="66802.983217839879"/>
    <n v="1631"/>
    <n v="41.172578144476006"/>
    <n v="349.49173580048955"/>
    <n v="5.204450558847845E-3"/>
    <n v="0.21428064733322474"/>
  </r>
  <r>
    <d v="2015-03-16T00:00:00"/>
    <n v="80635.289248590489"/>
    <n v="80121.290522541603"/>
    <n v="1959"/>
    <n v="41.16145444032184"/>
    <n v="513.99872604888515"/>
    <n v="6.3743645101126721E-3"/>
    <n v="0.26237811436900721"/>
  </r>
  <r>
    <d v="2015-03-17T00:00:00"/>
    <n v="50669.637098340369"/>
    <n v="50308.957054208033"/>
    <n v="1230"/>
    <n v="41.194826909219813"/>
    <n v="360.68004413233575"/>
    <n v="7.1182677592958217E-3"/>
    <n v="0.29323580823767137"/>
  </r>
  <r>
    <d v="2015-03-18T00:00:00"/>
    <n v="48648.992664940248"/>
    <n v="48362.068791947771"/>
    <n v="1182"/>
    <n v="41.158200224145723"/>
    <n v="286.92387299247639"/>
    <n v="5.8978379052697866E-3"/>
    <n v="0.24274439339465007"/>
  </r>
  <r>
    <d v="2015-03-19T00:00:00"/>
    <n v="43213.177617650254"/>
    <n v="42981.216847754557"/>
    <n v="1050"/>
    <n v="41.155407254905001"/>
    <n v="231.96076989569701"/>
    <n v="5.3678248785146857E-3"/>
    <n v="0.22091501894828286"/>
  </r>
  <r>
    <d v="2015-03-20T00:00:00"/>
    <n v="96881.018094589395"/>
    <n v="96453.287284883205"/>
    <n v="2353"/>
    <n v="41.173403355116612"/>
    <n v="427.73080970619048"/>
    <n v="4.4150115070898327E-3"/>
    <n v="0.18178104959889099"/>
  </r>
  <r>
    <d v="2015-03-21T00:00:00"/>
    <n v="121360.8851412364"/>
    <n v="120829.2879710704"/>
    <n v="2947"/>
    <n v="41.18116224677177"/>
    <n v="531.59717016600189"/>
    <n v="4.3803007002408065E-3"/>
    <n v="0.18038587382626464"/>
  </r>
  <r>
    <d v="2015-03-22T00:00:00"/>
    <n v="66954.366371970376"/>
    <n v="66756.376443642119"/>
    <n v="1626"/>
    <n v="41.177347092232701"/>
    <n v="197.98992832825752"/>
    <n v="2.9570876263440163E-3"/>
    <n v="0.12176502357211409"/>
  </r>
  <r>
    <d v="2015-03-23T00:00:00"/>
    <n v="81342.150763930375"/>
    <n v="81132.012897235923"/>
    <n v="1976"/>
    <n v="41.165056054620635"/>
    <n v="210.13786669445108"/>
    <n v="2.583382228290338E-3"/>
    <n v="0.10634507423808252"/>
  </r>
  <r>
    <d v="2015-03-24T00:00:00"/>
    <n v="125060.7079117364"/>
    <n v="136375.1527135167"/>
    <n v="3312"/>
    <n v="37.759875577215098"/>
    <n v="-11314.444801780293"/>
    <n v="-9.0471619669430015E-2"/>
    <n v="-3.4161971019868034"/>
  </r>
  <r>
    <d v="2015-03-25T00:00:00"/>
    <n v="253218.83124198421"/>
    <n v="276194.82948404271"/>
    <n v="6704"/>
    <n v="37.771305376190959"/>
    <n v="-22975.9982420585"/>
    <n v="-9.0735740818983099E-2"/>
    <n v="-3.427207375008726"/>
  </r>
  <r>
    <d v="2015-03-26T00:00:00"/>
    <n v="229184.47188046671"/>
    <n v="250361.15020932569"/>
    <n v="6077"/>
    <n v="37.713423050924256"/>
    <n v="-21176.67832885898"/>
    <n v="-9.2400144543404644E-2"/>
    <n v="-3.4847257411319696"/>
  </r>
  <r>
    <d v="2015-03-27T00:00:00"/>
    <n v="354191.35095056967"/>
    <n v="386464.65132698609"/>
    <n v="9386"/>
    <n v="37.736133704514138"/>
    <n v="-32273.300376416417"/>
    <n v="-9.1118262176086914E-2"/>
    <n v="-3.4384509243997887"/>
  </r>
  <r>
    <d v="2015-03-28T00:00:00"/>
    <n v="459484.66663548641"/>
    <n v="501362.57249034831"/>
    <n v="12181"/>
    <n v="37.721424073186633"/>
    <n v="-41877.905854861892"/>
    <n v="-9.1141030149073585E-2"/>
    <n v="-3.4379694487202932"/>
  </r>
  <r>
    <d v="2015-03-29T00:00:00"/>
    <n v="224102.88847081421"/>
    <n v="244359.80746223289"/>
    <n v="5937"/>
    <n v="37.746823053867985"/>
    <n v="-20256.918991418672"/>
    <n v="-9.0391155284269387E-2"/>
    <n v="-3.4119789441500203"/>
  </r>
  <r>
    <d v="2015-03-30T00:00:00"/>
    <n v="215203.5587823579"/>
    <n v="234819.44742668921"/>
    <n v="5706"/>
    <n v="37.715309986392903"/>
    <n v="-19615.888644331309"/>
    <n v="-9.1150391542406936E-2"/>
    <n v="-3.4377652724029635"/>
  </r>
  <r>
    <d v="2015-03-31T00:00:00"/>
    <n v="355534.91204206698"/>
    <n v="386988.91474848392"/>
    <n v="9421"/>
    <n v="37.738553448897882"/>
    <n v="-31454.002706416941"/>
    <n v="-8.8469519141611885E-2"/>
    <n v="-3.3387116767240146"/>
  </r>
  <r>
    <d v="2015-04-01T00:00:00"/>
    <n v="498894.34393015638"/>
    <n v="542483.83580550889"/>
    <n v="13207"/>
    <n v="37.774993861600393"/>
    <n v="-43589.491875352513"/>
    <n v="-8.7372190937195518E-2"/>
    <n v="-3.3004839763271381"/>
  </r>
  <r>
    <d v="2015-04-02T00:00:00"/>
    <n v="715032.18987024296"/>
    <n v="777522.19275101577"/>
    <n v="18936"/>
    <n v="37.760466300709915"/>
    <n v="-62490.002880772809"/>
    <n v="-8.7394670849871639E-2"/>
    <n v="-3.3000635234882134"/>
  </r>
  <r>
    <d v="2015-04-03T00:00:00"/>
    <n v="510289.21560512908"/>
    <n v="554159.81941342691"/>
    <n v="13503"/>
    <n v="37.790803199668893"/>
    <n v="-43870.603808297834"/>
    <n v="-8.5972037947683558E-2"/>
    <n v="-3.2489523667553755"/>
  </r>
  <r>
    <d v="2015-04-04T00:00:00"/>
    <n v="400302.03949241102"/>
    <n v="434872.72891034582"/>
    <n v="10600"/>
    <n v="37.76434334834066"/>
    <n v="-34570.689417934802"/>
    <n v="-8.6361512076658306E-2"/>
    <n v="-3.2613857941447928"/>
  </r>
  <r>
    <d v="2015-04-05T00:00:00"/>
    <n v="135578.20344503759"/>
    <n v="147335.92505366591"/>
    <n v="3591"/>
    <n v="37.754999566983457"/>
    <n v="-11757.721608628315"/>
    <n v="-8.6722801378577116E-2"/>
    <n v="-3.2742193284957715"/>
  </r>
  <r>
    <d v="2015-04-06T00:00:00"/>
    <n v="182466.2552086603"/>
    <n v="198405.2291123257"/>
    <n v="4836"/>
    <n v="37.730822003445056"/>
    <n v="-15938.973903665406"/>
    <n v="-8.735299513566662E-2"/>
    <n v="-3.2959003109316392"/>
  </r>
  <r>
    <d v="2015-04-07T00:00:00"/>
    <n v="176814.2025694703"/>
    <n v="178390.14906155379"/>
    <n v="4348"/>
    <n v="40.665639965379555"/>
    <n v="-1575.9464920834871"/>
    <n v="-8.9130085093944746E-3"/>
    <n v="-0.3624531950514"/>
  </r>
  <r>
    <d v="2015-04-08T00:00:00"/>
    <n v="100917.67156519881"/>
    <n v="100579.12894836511"/>
    <n v="2451"/>
    <n v="41.174080605956263"/>
    <n v="338.54261683369987"/>
    <n v="3.3546415764753473E-3"/>
    <n v="0.13812428267388815"/>
  </r>
  <r>
    <d v="2015-04-09T00:00:00"/>
    <n v="74690.672729450496"/>
    <n v="74427.585972183966"/>
    <n v="1814"/>
    <n v="41.174571515683844"/>
    <n v="263.08675726653019"/>
    <n v="3.5223508860269671E-3"/>
    <n v="0.14503128846004973"/>
  </r>
  <r>
    <d v="2015-04-10T00:00:00"/>
    <n v="114067.0771017275"/>
    <n v="113653.97356322029"/>
    <n v="2770"/>
    <n v="41.179450217230141"/>
    <n v="413.10353850720276"/>
    <n v="3.621584325675217E-3"/>
    <n v="0.1491348514466436"/>
  </r>
  <r>
    <d v="2015-04-11T00:00:00"/>
    <n v="126507.8009411664"/>
    <n v="126043.76915933751"/>
    <n v="3072"/>
    <n v="41.180924785535936"/>
    <n v="464.03178182888951"/>
    <n v="3.6680092324479791E-3"/>
    <n v="0.15105201231409163"/>
  </r>
  <r>
    <d v="2015-04-12T00:00:00"/>
    <n v="79648.629394640506"/>
    <n v="79349.402451342714"/>
    <n v="1934"/>
    <n v="41.183365767652795"/>
    <n v="299.22694329779188"/>
    <n v="3.7568373187590173E-3"/>
    <n v="0.15471920542802062"/>
  </r>
  <r>
    <d v="2015-04-13T00:00:00"/>
    <n v="83137.432427590247"/>
    <n v="82700.354170302948"/>
    <n v="2019"/>
    <n v="41.177529681817852"/>
    <n v="437.07825728729949"/>
    <n v="5.2572980007288429E-3"/>
    <n v="0.2164825444711736"/>
  </r>
  <r>
    <d v="2015-04-14T00:00:00"/>
    <n v="40776.027061670247"/>
    <n v="39940.199579223197"/>
    <n v="979"/>
    <n v="41.650691584954288"/>
    <n v="835.82748244704999"/>
    <n v="2.0498011765171055E-2"/>
    <n v="0.853756366135904"/>
  </r>
  <r>
    <d v="2015-04-15T00:00:00"/>
    <n v="58278.457926050367"/>
    <n v="56969.922594239448"/>
    <n v="1398"/>
    <n v="41.6870228369459"/>
    <n v="1308.5353318109192"/>
    <n v="2.245315642138853E-2"/>
    <n v="0.93600524449994216"/>
  </r>
  <r>
    <d v="2015-04-16T00:00:00"/>
    <n v="50000.101443420237"/>
    <n v="48827.885381172753"/>
    <n v="1198"/>
    <n v="41.736311722387512"/>
    <n v="1172.2160622474839"/>
    <n v="2.3444273679603538E-2"/>
    <n v="0.97847751439689812"/>
  </r>
  <r>
    <d v="2015-04-17T00:00:00"/>
    <n v="103911.9190821282"/>
    <n v="101408.94958672021"/>
    <n v="2485"/>
    <n v="41.815661602466072"/>
    <n v="2502.9694954079896"/>
    <n v="2.4087414778950756E-2"/>
    <n v="1.007231185274845"/>
  </r>
  <r>
    <d v="2015-04-18T00:00:00"/>
    <n v="132843.22261657639"/>
    <n v="129545.5321235172"/>
    <n v="3172"/>
    <n v="41.879956688706301"/>
    <n v="3297.6904930591845"/>
    <n v="2.4823927243750057E-2"/>
    <n v="1.0396249978118488"/>
  </r>
  <r>
    <d v="2015-04-19T00:00:00"/>
    <n v="62786.611277180004"/>
    <n v="61213.255905066573"/>
    <n v="1497"/>
    <n v="41.941624099652643"/>
    <n v="1573.3553721134303"/>
    <n v="2.5058771927786321E-2"/>
    <n v="1.0510055925941419"/>
  </r>
  <r>
    <d v="2015-04-20T00:00:00"/>
    <n v="57233.406641560126"/>
    <n v="55706.875425596532"/>
    <n v="1365"/>
    <n v="41.929235634842584"/>
    <n v="1526.5312159635941"/>
    <n v="2.6672031345677423E-2"/>
    <n v="1.1183378871528162"/>
  </r>
  <r>
    <d v="2015-04-21T00:00:00"/>
    <n v="56874.345455010007"/>
    <n v="55172.171225548656"/>
    <n v="1353"/>
    <n v="42.035732043614196"/>
    <n v="1702.1742294613505"/>
    <n v="2.9928682534163698E-2"/>
    <n v="1.2580740794245016"/>
  </r>
  <r>
    <d v="2015-04-22T00:00:00"/>
    <n v="132737.73701689861"/>
    <n v="140263.9301023919"/>
    <n v="3439"/>
    <n v="38.597771740883573"/>
    <n v="-7526.1930854932871"/>
    <n v="-5.6699724242964461E-2"/>
    <n v="-2.188483014100985"/>
  </r>
  <r>
    <d v="2015-04-23T00:00:00"/>
    <n v="60310.338948120007"/>
    <n v="58446.054929901373"/>
    <n v="1434"/>
    <n v="42.057419071213396"/>
    <n v="1864.2840182186337"/>
    <n v="3.0911516180042082E-2"/>
    <n v="1.3000585901106232"/>
  </r>
  <r>
    <d v="2015-04-24T00:00:00"/>
    <n v="343587.00847871922"/>
    <n v="362390.59604190831"/>
    <n v="8892"/>
    <n v="38.64001444879883"/>
    <n v="-18803.587563189096"/>
    <n v="-5.4727294976735813E-2"/>
    <n v="-2.1146634686447476"/>
  </r>
  <r>
    <d v="2015-04-25T00:00:00"/>
    <n v="496882.31502370269"/>
    <n v="535306.00987018819"/>
    <n v="13144"/>
    <n v="37.802975884335261"/>
    <n v="-38423.694846485509"/>
    <n v="-7.7329568158714987E-2"/>
    <n v="-2.9232878002499625"/>
  </r>
  <r>
    <d v="2015-04-26T00:00:00"/>
    <n v="200369.82986166119"/>
    <n v="210964.76808699651"/>
    <n v="5179"/>
    <n v="38.688903236466729"/>
    <n v="-10594.938225335325"/>
    <n v="-5.28769138180646E-2"/>
    <n v="-2.0457498021500919"/>
  </r>
  <r>
    <d v="2015-04-27T00:00:00"/>
    <n v="194028.06181921621"/>
    <n v="204053.49893464721"/>
    <n v="5014"/>
    <n v="38.697260035743163"/>
    <n v="-10025.437115431007"/>
    <n v="-5.1670036908228828E-2"/>
    <n v="-1.9994888542941776"/>
  </r>
  <r>
    <d v="2015-04-28T00:00:00"/>
    <n v="190560.57918183241"/>
    <n v="200804.03684509991"/>
    <n v="4936"/>
    <n v="38.606276171359887"/>
    <n v="-10243.457663267502"/>
    <n v="-5.3754337372648418E-2"/>
    <n v="-2.0752547940169168"/>
  </r>
  <r>
    <d v="2015-04-29T00:00:00"/>
    <n v="198985.3996226124"/>
    <n v="209483.87580877281"/>
    <n v="5150"/>
    <n v="38.637941674293671"/>
    <n v="-10498.476186160406"/>
    <n v="-5.2760032676122913E-2"/>
    <n v="-2.0385390652738651"/>
  </r>
  <r>
    <d v="2015-04-30T00:00:00"/>
    <n v="385482.8720257082"/>
    <n v="406252.00759341638"/>
    <n v="9986"/>
    <n v="38.602330465222131"/>
    <n v="-20769.135567708174"/>
    <n v="-5.3878231887623432E-2"/>
    <n v="-2.0798253122079084"/>
  </r>
  <r>
    <d v="2015-05-01T00:00:00"/>
    <n v="499703.41471803008"/>
    <n v="526206.93717221648"/>
    <n v="12937"/>
    <n v="38.62591131777306"/>
    <n v="-26503.522454186401"/>
    <n v="-5.3038505788762048E-2"/>
    <n v="-2.0486606210239158"/>
  </r>
  <r>
    <d v="2015-05-02T00:00:00"/>
    <n v="461667.00388101261"/>
    <n v="496852.8019930757"/>
    <n v="12217"/>
    <n v="37.788901029795582"/>
    <n v="-35185.798112063087"/>
    <n v="-7.6214669483140429E-2"/>
    <n v="-2.8800686021169755"/>
  </r>
  <r>
    <d v="2015-05-03T00:00:00"/>
    <n v="259541.60872151391"/>
    <n v="273280.04637040471"/>
    <n v="6721"/>
    <n v="38.61651669714535"/>
    <n v="-13738.437648890802"/>
    <n v="-5.2933468805119552E-2"/>
    <n v="-2.0441061819507218"/>
  </r>
  <r>
    <d v="2015-05-04T00:00:00"/>
    <n v="320309.27440158668"/>
    <n v="336742.60236538568"/>
    <n v="8283"/>
    <n v="38.670683858696933"/>
    <n v="-16433.327963799005"/>
    <n v="-5.1304564922449843E-2"/>
    <n v="-1.9839826106240499"/>
  </r>
  <r>
    <d v="2015-05-05T00:00:00"/>
    <n v="239922.99815095021"/>
    <n v="251700.96640120179"/>
    <n v="6191"/>
    <n v="38.753512865603327"/>
    <n v="-11777.968250251579"/>
    <n v="-4.9090617994200537E-2"/>
    <n v="-1.9024338960186689"/>
  </r>
  <r>
    <d v="2015-05-06T00:00:00"/>
    <n v="224994.1950701554"/>
    <n v="242259.85953966621"/>
    <n v="5959"/>
    <n v="37.757038944479845"/>
    <n v="-17265.664469510812"/>
    <n v="-7.6738266354503981E-2"/>
    <n v="-2.8974097112788741"/>
  </r>
  <r>
    <d v="2015-05-07T00:00:00"/>
    <n v="117197.9717299037"/>
    <n v="115769.08632788141"/>
    <n v="2848"/>
    <n v="41.150973219769554"/>
    <n v="1428.8854020222934"/>
    <n v="1.2192065962671481E-2"/>
    <n v="0.50171537992355808"/>
  </r>
  <r>
    <d v="2015-05-08T00:00:00"/>
    <n v="330589.1998128597"/>
    <n v="355565.04173447768"/>
    <n v="8748"/>
    <n v="37.790260609609021"/>
    <n v="-24975.841921617975"/>
    <n v="-7.554947934099579E-2"/>
    <n v="-2.8550345132165038"/>
  </r>
  <r>
    <d v="2015-05-09T00:00:00"/>
    <n v="389972.11975571001"/>
    <n v="419827.1365222265"/>
    <n v="10329"/>
    <n v="37.755070167074258"/>
    <n v="-29855.016766516492"/>
    <n v="-7.6556797919857839E-2"/>
    <n v="-2.8904072772307572"/>
  </r>
  <r>
    <d v="2015-05-10T00:00:00"/>
    <n v="166536.00026357031"/>
    <n v="179243.05183339989"/>
    <n v="4410"/>
    <n v="37.763265365888962"/>
    <n v="-12707.051569829579"/>
    <n v="-7.6302130168363611E-2"/>
    <n v="-2.8814175895305167"/>
  </r>
  <r>
    <d v="2015-05-11T00:00:00"/>
    <n v="198442.91265382789"/>
    <n v="213676.42842593021"/>
    <n v="5257"/>
    <n v="37.748318937384042"/>
    <n v="-15233.515772102313"/>
    <n v="-7.6765229699466739E-2"/>
    <n v="-2.8977583739970161"/>
  </r>
  <r>
    <d v="2015-05-12T00:00:00"/>
    <n v="193182.15055271279"/>
    <n v="208039.1734455548"/>
    <n v="5118"/>
    <n v="37.745633167782884"/>
    <n v="-14857.022892842011"/>
    <n v="-7.6906809714741411E-2"/>
    <n v="-2.9028962275971102"/>
  </r>
  <r>
    <d v="2015-05-13T00:00:00"/>
    <n v="166403.12699582271"/>
    <n v="179221.57229364"/>
    <n v="4410"/>
    <n v="37.73313537320243"/>
    <n v="-12818.445297817292"/>
    <n v="-7.7032478471027052E-2"/>
    <n v="-2.9066769382805653"/>
  </r>
  <r>
    <d v="2015-05-14T00:00:00"/>
    <n v="149178.60148103401"/>
    <n v="160620.2071408729"/>
    <n v="3952"/>
    <n v="37.74762183224545"/>
    <n v="-11441.605659838882"/>
    <n v="-7.6697365079491805E-2"/>
    <n v="-2.8951431325503245"/>
  </r>
  <r>
    <d v="2015-05-15T00:00:00"/>
    <n v="380592.57758342719"/>
    <n v="409812.43266368861"/>
    <n v="10084"/>
    <n v="37.742223084433476"/>
    <n v="-29219.855080261419"/>
    <n v="-7.6774631985187164E-2"/>
    <n v="-2.8976452876102159"/>
  </r>
  <r>
    <d v="2015-05-16T00:00:00"/>
    <n v="413700.17893234122"/>
    <n v="445569.71910740522"/>
    <n v="10964"/>
    <n v="37.732595670589312"/>
    <n v="-31869.540175064001"/>
    <n v="-7.7035355066346539E-2"/>
    <n v="-2.9067439050587378"/>
  </r>
  <r>
    <d v="2015-05-17T00:00:00"/>
    <n v="177159.67306561911"/>
    <n v="190811.57794423791"/>
    <n v="4695"/>
    <n v="37.733689683837937"/>
    <n v="-13651.904878618807"/>
    <n v="-7.705988977278258E-2"/>
    <n v="-2.9077539677569342"/>
  </r>
  <r>
    <d v="2015-05-18T00:00:00"/>
    <n v="196420.7635368479"/>
    <n v="211510.78612034491"/>
    <n v="5205"/>
    <n v="37.73693823954811"/>
    <n v="-15090.022583497019"/>
    <n v="-7.6824986889261218E-2"/>
    <n v="-2.8991397854941439"/>
  </r>
  <r>
    <d v="2015-05-19T00:00:00"/>
    <n v="137940.87216380521"/>
    <n v="147846.05216339661"/>
    <n v="3638"/>
    <n v="37.916677340243325"/>
    <n v="-9905.1799995914043"/>
    <n v="-7.1807433461990672E-2"/>
    <n v="-2.7226992852092922"/>
  </r>
  <r>
    <d v="2015-05-20T00:00:00"/>
    <n v="166176.2838115927"/>
    <n v="178568.18048077749"/>
    <n v="4394"/>
    <n v="37.818908468728424"/>
    <n v="-12391.896669184789"/>
    <n v="-7.457078943487791E-2"/>
    <n v="-2.8201858600784679"/>
  </r>
  <r>
    <d v="2015-05-21T00:00:00"/>
    <n v="84604.377572639161"/>
    <n v="81763.267389330111"/>
    <n v="2012"/>
    <n v="42.049889449621851"/>
    <n v="2841.1101833090506"/>
    <n v="3.358112505313033E-2"/>
    <n v="1.412082596078057"/>
  </r>
  <r>
    <d v="2015-05-22T00:00:00"/>
    <n v="321821.02028676088"/>
    <n v="346487.52033416741"/>
    <n v="8526"/>
    <n v="37.745838644940285"/>
    <n v="-24666.500047406531"/>
    <n v="-7.6646640500447338E-2"/>
    <n v="-2.8930917250066304"/>
  </r>
  <r>
    <d v="2015-05-23T00:00:00"/>
    <n v="418715.41064993001"/>
    <n v="450936.27926429448"/>
    <n v="11096"/>
    <n v="37.735707520721881"/>
    <n v="-32220.868614364474"/>
    <n v="-7.6951714206915017E-2"/>
    <n v="-2.9038273805303239"/>
  </r>
  <r>
    <d v="2015-05-24T00:00:00"/>
    <n v="169541.26594736151"/>
    <n v="182419.1414416233"/>
    <n v="4489"/>
    <n v="37.76815904374282"/>
    <n v="-12877.875494261796"/>
    <n v="-7.5957174333357094E-2"/>
    <n v="-2.8687626407355302"/>
  </r>
  <r>
    <d v="2015-05-25T00:00:00"/>
    <n v="256434.50993607429"/>
    <n v="276173.7924514967"/>
    <n v="6795"/>
    <n v="37.738706392358246"/>
    <n v="-19739.282515422412"/>
    <n v="-7.6975920753970098E-2"/>
    <n v="-2.9049716726155133"/>
  </r>
  <r>
    <d v="2015-05-26T00:00:00"/>
    <n v="199385.91241487031"/>
    <n v="214719.75281922091"/>
    <n v="5283"/>
    <n v="37.74103963938488"/>
    <n v="-15333.840404350602"/>
    <n v="-7.6905335079265086E-2"/>
    <n v="-2.9024872997067201"/>
  </r>
  <r>
    <d v="2015-05-27T00:00:00"/>
    <n v="243554.22433855539"/>
    <n v="262251.08007940761"/>
    <n v="6453"/>
    <n v="37.742790072610475"/>
    <n v="-18696.855740852217"/>
    <n v="-7.6766706845792315E-2"/>
    <n v="-2.8973897010463689"/>
  </r>
  <r>
    <d v="2015-05-28T00:00:00"/>
    <n v="217746.01291984669"/>
    <n v="234483.41700980731"/>
    <n v="5770"/>
    <n v="37.737610558032358"/>
    <n v="-16737.404089960619"/>
    <n v="-7.6866638637933332E-2"/>
    <n v="-2.9007632738233307"/>
  </r>
  <r>
    <d v="2015-05-29T00:00:00"/>
    <n v="472160.75210974878"/>
    <n v="508265.14697374182"/>
    <n v="12507"/>
    <n v="37.751719206024525"/>
    <n v="-36104.394863993046"/>
    <n v="-7.6466319368283631E-2"/>
    <n v="-2.8867350175096385"/>
  </r>
  <r>
    <d v="2015-05-30T00:00:00"/>
    <n v="546135.46241509903"/>
    <n v="588250.18115078332"/>
    <n v="14475"/>
    <n v="37.729565624531887"/>
    <n v="-42114.718735684291"/>
    <n v="-7.7114052527272658E-2"/>
    <n v="-2.9094797054013326"/>
  </r>
  <r>
    <d v="2015-05-31T00:00:00"/>
    <n v="264637.36527971062"/>
    <n v="284828.65965624881"/>
    <n v="7009"/>
    <n v="37.756793448382169"/>
    <n v="-20191.294376538193"/>
    <n v="-7.629797234111986E-2"/>
    <n v="-2.8807667822140379"/>
  </r>
  <r>
    <d v="2015-06-01T00:00:00"/>
    <n v="440905.99870597001"/>
    <n v="474967.32763121481"/>
    <n v="11688"/>
    <n v="37.722963612762662"/>
    <n v="-34061.328925244801"/>
    <n v="-7.7253040387775515E-2"/>
    <n v="-2.9142136315233405"/>
  </r>
  <r>
    <d v="2015-06-02T00:00:00"/>
    <n v="334318.89783315209"/>
    <n v="360168.82707700803"/>
    <n v="8863"/>
    <n v="37.720737654648772"/>
    <n v="-25849.929243855935"/>
    <n v="-7.7321172722807946E-2"/>
    <n v="-2.9166116714268235"/>
  </r>
  <r>
    <d v="2015-06-03T00:00:00"/>
    <n v="269835.82862680301"/>
    <n v="290492.10628032242"/>
    <n v="7148"/>
    <n v="37.749836125741886"/>
    <n v="-20656.277653519413"/>
    <n v="-7.6551278451936489E-2"/>
    <n v="-2.8897982167766387"/>
  </r>
  <r>
    <d v="2015-06-04T00:00:00"/>
    <n v="201146.4892798303"/>
    <n v="216428.50043796099"/>
    <n v="5326"/>
    <n v="37.766896222273807"/>
    <n v="-15282.011158130685"/>
    <n v="-7.5974535836271576E-2"/>
    <n v="-2.8693224104638912"/>
  </r>
  <r>
    <d v="2015-06-05T00:00:00"/>
    <n v="293461.08393818582"/>
    <n v="315937.86219659372"/>
    <n v="7775"/>
    <n v="37.744190860216825"/>
    <n v="-22476.778258407896"/>
    <n v="-7.659202357182858E-2"/>
    <n v="-2.890903956065324"/>
  </r>
  <r>
    <d v="2015-06-06T00:00:00"/>
    <n v="349413.00982046733"/>
    <n v="376094.7218058327"/>
    <n v="9255"/>
    <n v="37.753971887678802"/>
    <n v="-26681.711985365371"/>
    <n v="-7.6361529867118458E-2"/>
    <n v="-2.8829510519033357"/>
  </r>
  <r>
    <d v="2015-06-07T00:00:00"/>
    <n v="179602.91516319031"/>
    <n v="193348.59144622891"/>
    <n v="4758"/>
    <n v="37.7475651877239"/>
    <n v="-13745.6762830386"/>
    <n v="-7.6533703645895956E-2"/>
    <n v="-2.8889609674313999"/>
  </r>
  <r>
    <d v="2015-06-08T00:00:00"/>
    <n v="109810.54567571809"/>
    <n v="106166.08162125781"/>
    <n v="2613"/>
    <n v="42.024701751135893"/>
    <n v="3644.464054460288"/>
    <n v="3.3188652620147863E-2"/>
    <n v="1.3947432278837688"/>
  </r>
  <r>
    <d v="2015-06-09T00:00:00"/>
    <n v="76956.920353649635"/>
    <n v="74212.790574549421"/>
    <n v="1830"/>
    <n v="42.052961941885044"/>
    <n v="2744.1297791002144"/>
    <n v="3.5657998871183726E-2"/>
    <n v="1.4995244694536691"/>
  </r>
  <r>
    <d v="2015-06-10T00:00:00"/>
    <n v="71199.588402039517"/>
    <n v="68669.394963916289"/>
    <n v="1694"/>
    <n v="42.030453602148476"/>
    <n v="2530.1934381232277"/>
    <n v="3.5536630125389185E-2"/>
    <n v="1.4936206836618817"/>
  </r>
  <r>
    <d v="2015-06-11T00:00:00"/>
    <n v="68988.346670324769"/>
    <n v="66539.165195767971"/>
    <n v="1642"/>
    <n v="42.014827448431653"/>
    <n v="2449.1814745567972"/>
    <n v="3.5501379475880508E-2"/>
    <n v="1.4915843328604124"/>
  </r>
  <r>
    <d v="2015-06-12T00:00:00"/>
    <n v="155156.87922800641"/>
    <n v="149423.24358090671"/>
    <n v="3690"/>
    <n v="42.047934750137237"/>
    <n v="5733.635647099698"/>
    <n v="3.6953795897595981E-2"/>
    <n v="1.5538307986720048"/>
  </r>
  <r>
    <d v="2015-06-13T00:00:00"/>
    <n v="185109.5231460139"/>
    <n v="178347.369376849"/>
    <n v="4404"/>
    <n v="42.032135137605337"/>
    <n v="6762.1537691648991"/>
    <n v="3.6530555825757975E-2"/>
    <n v="1.5354572591200952"/>
  </r>
  <r>
    <d v="2015-06-14T00:00:00"/>
    <n v="83779.544010808924"/>
    <n v="80659.821812082024"/>
    <n v="1992"/>
    <n v="42.058004021490426"/>
    <n v="3119.7221987269004"/>
    <n v="3.7237278330428794E-2"/>
    <n v="1.5661256017705323"/>
  </r>
  <r>
    <d v="2015-06-15T00:00:00"/>
    <n v="149501.57453075761"/>
    <n v="143962.87189290189"/>
    <n v="3557"/>
    <n v="42.030243050536299"/>
    <n v="5538.7026378557202"/>
    <n v="3.7047787993137279E-2"/>
    <n v="1.5571275338363004"/>
  </r>
  <r>
    <d v="2015-06-16T00:00:00"/>
    <n v="100477.29679260369"/>
    <n v="96810.103581569099"/>
    <n v="2395"/>
    <n v="41.95294229336271"/>
    <n v="3667.1932110345952"/>
    <n v="3.6497729617508412E-2"/>
    <n v="1.5311871444820857"/>
  </r>
  <r>
    <d v="2015-06-17T00:00:00"/>
    <n v="89072.705347079172"/>
    <n v="85639.307745994563"/>
    <n v="2120"/>
    <n v="42.015427050509047"/>
    <n v="3433.3976010846091"/>
    <n v="3.8546012358175168E-2"/>
    <n v="1.6195271703229288"/>
  </r>
  <r>
    <d v="2015-06-18T00:00:00"/>
    <n v="78746.595857519525"/>
    <n v="75673.78198741567"/>
    <n v="1875"/>
    <n v="41.998184457343747"/>
    <n v="3072.8138701038552"/>
    <n v="3.9021545460373466E-2"/>
    <n v="1.6388340640553893"/>
  </r>
  <r>
    <d v="2015-06-19T00:00:00"/>
    <n v="141913.38242954639"/>
    <n v="136017.75039375731"/>
    <n v="3376"/>
    <n v="42.03595451112156"/>
    <n v="5895.63203578908"/>
    <n v="4.1543876517184671E-2"/>
    <n v="1.746336503492026"/>
  </r>
  <r>
    <d v="2015-06-20T00:00:00"/>
    <n v="169304.27828351519"/>
    <n v="162287.90922482399"/>
    <n v="4027"/>
    <n v="42.042284152847081"/>
    <n v="7016.369058691198"/>
    <n v="4.1442361231661611E-2"/>
    <n v="1.742331526866451"/>
  </r>
  <r>
    <d v="2015-06-21T00:00:00"/>
    <n v="89512.242836068428"/>
    <n v="85781.807031229662"/>
    <n v="2128"/>
    <n v="42.064023889129899"/>
    <n v="3730.4358048387658"/>
    <n v="4.1675146177161913E-2"/>
    <n v="1.7530243443791194"/>
  </r>
  <r>
    <d v="2015-06-22T00:00:00"/>
    <n v="85984.075339139163"/>
    <n v="82427.231536907115"/>
    <n v="2046"/>
    <n v="42.025452267418949"/>
    <n v="3556.8438022320479"/>
    <n v="4.1366308682196241E-2"/>
    <n v="1.738437831002956"/>
  </r>
  <r>
    <d v="2015-06-23T00:00:00"/>
    <n v="64956.462075899639"/>
    <n v="62169.777124857188"/>
    <n v="1546"/>
    <n v="42.015822817528871"/>
    <n v="2786.6849510424508"/>
    <n v="4.290081174350744E-2"/>
    <n v="1.8025129049433706"/>
  </r>
  <r>
    <d v="2015-06-24T00:00:00"/>
    <n v="106613.4328354785"/>
    <n v="113428.4742746674"/>
    <n v="2822"/>
    <n v="37.779387964379339"/>
    <n v="-6815.0414391889062"/>
    <n v="-6.3922915320676343E-2"/>
    <n v="-2.4149686177139995"/>
  </r>
  <r>
    <d v="2015-06-25T00:00:00"/>
    <n v="183843.81729524271"/>
    <n v="195365.7307199428"/>
    <n v="4865"/>
    <n v="37.789068303235915"/>
    <n v="-11521.913424700091"/>
    <n v="-6.2672292134777388E-2"/>
    <n v="-2.3683275282014575"/>
  </r>
  <r>
    <d v="2015-06-26T00:00:00"/>
    <n v="319579.79409435572"/>
    <n v="339241.69180245663"/>
    <n v="8450"/>
    <n v="37.820093975663397"/>
    <n v="-19661.897708100907"/>
    <n v="-6.1524220465251772E-2"/>
    <n v="-2.3268517997752554"/>
  </r>
  <r>
    <d v="2015-06-27T00:00:00"/>
    <n v="369245.75870664971"/>
    <n v="392017.97345098661"/>
    <n v="9770"/>
    <n v="37.793834053904781"/>
    <n v="-22772.214744336903"/>
    <n v="-6.1672244588809141E-2"/>
    <n v="-2.3308305777212799"/>
  </r>
  <r>
    <d v="2015-06-28T00:00:00"/>
    <n v="185648.49109673029"/>
    <n v="197095.1087429694"/>
    <n v="4914"/>
    <n v="37.779505717690334"/>
    <n v="-11446.617646239116"/>
    <n v="-6.1657477411302904E-2"/>
    <n v="-2.3293890203986805"/>
  </r>
  <r>
    <d v="2015-06-29T00:00:00"/>
    <n v="165557.76178385271"/>
    <n v="175871.11092052259"/>
    <n v="4385"/>
    <n v="37.755475891414527"/>
    <n v="-10313.349136669887"/>
    <n v="-6.2294567319257969E-2"/>
    <n v="-2.3519610345883439"/>
  </r>
  <r>
    <d v="2015-06-30T00:00:00"/>
    <n v="212465.0832049415"/>
    <n v="225678.93452530191"/>
    <n v="5627"/>
    <n v="37.758145229241428"/>
    <n v="-13213.851320360409"/>
    <n v="-6.219304895202226E-2"/>
    <n v="-2.3482941745797778"/>
  </r>
  <r>
    <d v="2015-07-01T00:00:00"/>
    <n v="305231.90808635822"/>
    <n v="324248.84149134008"/>
    <n v="8086"/>
    <n v="37.748195410135814"/>
    <n v="-19016.933404981857"/>
    <n v="-6.2303228794813488E-2"/>
    <n v="-2.35183445522902"/>
  </r>
  <r>
    <d v="2015-07-02T00:00:00"/>
    <n v="250481.61765724421"/>
    <n v="266061.92835854058"/>
    <n v="6639"/>
    <n v="37.728817240133182"/>
    <n v="-15580.310701296374"/>
    <n v="-6.220141360878733E-2"/>
    <n v="-2.3467857661238702"/>
  </r>
  <r>
    <d v="2015-07-03T00:00:00"/>
    <n v="268410.4807020094"/>
    <n v="284592.99466123187"/>
    <n v="7104"/>
    <n v="37.78300685557565"/>
    <n v="-16182.513959222473"/>
    <n v="-6.0290171668774657E-2"/>
    <n v="-2.2779439694851455"/>
  </r>
  <r>
    <d v="2015-07-04T00:00:00"/>
    <n v="316365.49873839208"/>
    <n v="335025.07636012638"/>
    <n v="8364"/>
    <n v="37.82466508110857"/>
    <n v="-18659.577621734294"/>
    <n v="-5.8981076306187895E-2"/>
    <n v="-2.2309394574048653"/>
  </r>
  <r>
    <d v="2015-07-05T00:00:00"/>
    <n v="156873.04365826401"/>
    <n v="165968.6245016396"/>
    <n v="4146"/>
    <n v="37.837203004887606"/>
    <n v="-9095.5808433755883"/>
    <n v="-5.7980521262720054E-2"/>
    <n v="-2.1938207533467411"/>
  </r>
  <r>
    <d v="2015-07-06T00:00:00"/>
    <n v="173987.75154080149"/>
    <n v="184188.97897635491"/>
    <n v="4601"/>
    <n v="37.815203551576069"/>
    <n v="-10201.227435553417"/>
    <n v="-5.8631871181812185E-2"/>
    <n v="-2.2171761433500148"/>
  </r>
  <r>
    <d v="2015-07-07T00:00:00"/>
    <n v="135753.76604209639"/>
    <n v="143799.59868752939"/>
    <n v="3593"/>
    <n v="37.782846101334925"/>
    <n v="-8045.8326454329945"/>
    <n v="-5.9267841180465165E-2"/>
    <n v="-2.2393077220798761"/>
  </r>
  <r>
    <d v="2015-07-08T00:00:00"/>
    <n v="84426.509412029525"/>
    <n v="84588.963035420922"/>
    <n v="2114"/>
    <n v="39.936854026504029"/>
    <n v="-162.45362339139683"/>
    <n v="-1.9242015869514273E-3"/>
    <n v="-7.6846557895646567E-2"/>
  </r>
  <r>
    <d v="2015-07-09T00:00:00"/>
    <n v="70815.190285530247"/>
    <n v="71913.068580605148"/>
    <n v="1797"/>
    <n v="39.407451466627847"/>
    <n v="-1097.878295074901"/>
    <n v="-1.5503429287532844E-2"/>
    <n v="-0.61095063721474729"/>
  </r>
  <r>
    <d v="2015-07-10T00:00:00"/>
    <n v="125983.15175354639"/>
    <n v="127884.5872444484"/>
    <n v="3195"/>
    <n v="39.431346401735958"/>
    <n v="-1901.4354909020039"/>
    <n v="-1.5092776013586905E-2"/>
    <n v="-0.59512847915555678"/>
  </r>
  <r>
    <d v="2015-07-11T00:00:00"/>
    <n v="142378.1840412264"/>
    <n v="143924.56511903761"/>
    <n v="3595"/>
    <n v="39.604501819534462"/>
    <n v="-1546.3810778112093"/>
    <n v="-1.086108162022523E-2"/>
    <n v="-0.43014772679032248"/>
  </r>
  <r>
    <d v="2015-07-12T00:00:00"/>
    <n v="57427.680707010128"/>
    <n v="58723.040531751663"/>
    <n v="1467"/>
    <n v="39.146339950245483"/>
    <n v="-1295.3598247415357"/>
    <n v="-2.2556366699716165E-2"/>
    <n v="-0.88299919886948586"/>
  </r>
  <r>
    <d v="2015-07-13T00:00:00"/>
    <n v="63331.33100223037"/>
    <n v="64690.059069980809"/>
    <n v="1610"/>
    <n v="39.336230436167931"/>
    <n v="-1358.7280677504386"/>
    <n v="-2.1454279362967874E-2"/>
    <n v="-0.84393047686362643"/>
  </r>
  <r>
    <d v="2015-07-14T00:00:00"/>
    <n v="51241.02855330037"/>
    <n v="52509.916219996157"/>
    <n v="1307"/>
    <n v="39.205071578653687"/>
    <n v="-1268.8876666957876"/>
    <n v="-2.4763118589157598E-2"/>
    <n v="-0.9708398367986133"/>
  </r>
  <r>
    <d v="2015-07-15T00:00:00"/>
    <n v="80326.440809250256"/>
    <n v="81730.270702131005"/>
    <n v="2050"/>
    <n v="39.183629663048904"/>
    <n v="-1403.829892880749"/>
    <n v="-1.7476560379594042E-2"/>
    <n v="-0.68479506969792636"/>
  </r>
  <r>
    <d v="2015-07-16T00:00:00"/>
    <n v="71912.565728060246"/>
    <n v="73762.629173268782"/>
    <n v="1849"/>
    <n v="38.892680220692398"/>
    <n v="-1850.063445208536"/>
    <n v="-2.5726567067633387E-2"/>
    <n v="-1.0005751461376615"/>
  </r>
  <r>
    <d v="2015-07-17T00:00:00"/>
    <n v="119204.3095347464"/>
    <n v="122669.6994279253"/>
    <n v="3070"/>
    <n v="38.828765320764298"/>
    <n v="-3465.3898931789008"/>
    <n v="-2.9071011834255773E-2"/>
    <n v="-1.1287914961494792"/>
  </r>
  <r>
    <d v="2015-07-18T00:00:00"/>
    <n v="129441.27865673639"/>
    <n v="132493.4315208937"/>
    <n v="3322"/>
    <n v="38.964864135080191"/>
    <n v="-3052.1528641573095"/>
    <n v="-2.3579440004229818E-2"/>
    <n v="-0.91876967614608951"/>
  </r>
  <r>
    <d v="2015-07-19T00:00:00"/>
    <n v="77645.749935120242"/>
    <n v="79555.63473624234"/>
    <n v="1982"/>
    <n v="39.17545405404654"/>
    <n v="-1909.884801122098"/>
    <n v="-2.4597415862657936E-2"/>
    <n v="-0.96361493497583151"/>
  </r>
  <r>
    <d v="2015-07-20T00:00:00"/>
    <n v="69926.650362450004"/>
    <n v="71362.517838136861"/>
    <n v="1787"/>
    <n v="39.130750062926694"/>
    <n v="-1435.8674756868568"/>
    <n v="-2.0533909006714056E-2"/>
    <n v="-0.80350726115660709"/>
  </r>
  <r>
    <d v="2015-07-21T00:00:00"/>
    <n v="71973.044300340131"/>
    <n v="73851.78839873473"/>
    <n v="1846"/>
    <n v="38.988648050021737"/>
    <n v="-1878.7440983945999"/>
    <n v="-2.6103440762553949E-2"/>
    <n v="-1.0177378647858071"/>
  </r>
  <r>
    <d v="2015-07-22T00:00:00"/>
    <n v="44304.898362210253"/>
    <n v="45468.836976009428"/>
    <n v="1142"/>
    <n v="38.795882979168347"/>
    <n v="-1163.9386137991751"/>
    <n v="-2.6271104478866235E-2"/>
    <n v="-1.0192106950955999"/>
  </r>
  <r>
    <d v="2015-07-23T00:00:00"/>
    <n v="66799.723730490499"/>
    <n v="69323.647871911555"/>
    <n v="1734"/>
    <n v="38.523485427041813"/>
    <n v="-2523.9241414210555"/>
    <n v="-3.7783451793963321E-2"/>
    <n v="-1.4555502545680827"/>
  </r>
  <r>
    <d v="2015-07-24T00:00:00"/>
    <n v="125689.59284090641"/>
    <n v="130428.2263951168"/>
    <n v="3259"/>
    <n v="38.566920172109974"/>
    <n v="-4738.6335542103916"/>
    <n v="-3.7701081267789545E-2"/>
    <n v="-1.4540145916570701"/>
  </r>
  <r>
    <d v="2015-07-25T00:00:00"/>
    <n v="138624.94500363519"/>
    <n v="143537.39521883641"/>
    <n v="3572"/>
    <n v="38.808775196986339"/>
    <n v="-4912.4502152012137"/>
    <n v="-3.5436985854691544E-2"/>
    <n v="-1.375266017693509"/>
  </r>
  <r>
    <d v="2015-07-26T00:00:00"/>
    <n v="81715.045331780377"/>
    <n v="85089.22343005694"/>
    <n v="2109"/>
    <n v="38.74587260871521"/>
    <n v="-3374.1780982765631"/>
    <n v="-4.1292005463335252E-2"/>
    <n v="-1.5998947834407602"/>
  </r>
  <r>
    <d v="2015-07-27T00:00:00"/>
    <n v="86842.861357880131"/>
    <n v="90242.794097153615"/>
    <n v="2242"/>
    <n v="38.734550115022358"/>
    <n v="-3399.9327392734849"/>
    <n v="-3.9150399769329741E-2"/>
    <n v="-1.5164731218882628"/>
  </r>
  <r>
    <d v="2015-07-28T00:00:00"/>
    <n v="56976.785283900383"/>
    <n v="59094.076857821427"/>
    <n v="1474"/>
    <n v="38.654535470760095"/>
    <n v="-2117.2915739210439"/>
    <n v="-3.7160600819634439E-2"/>
    <n v="-1.436425762497316"/>
  </r>
  <r>
    <d v="2015-07-29T00:00:00"/>
    <n v="53433.668027530373"/>
    <n v="55516.525562079609"/>
    <n v="1381"/>
    <n v="38.692011605742486"/>
    <n v="-2082.8575345492354"/>
    <n v="-3.8980246190025637E-2"/>
    <n v="-1.5082241379791712"/>
  </r>
  <r>
    <d v="2015-07-30T00:00:00"/>
    <n v="55134.081818380357"/>
    <n v="57064.750696012437"/>
    <n v="1423"/>
    <n v="38.744962627111988"/>
    <n v="-1930.6688776320807"/>
    <n v="-3.5017702552696595E-2"/>
    <n v="-1.3567595766915534"/>
  </r>
  <r>
    <d v="2015-07-31T00:00:00"/>
    <n v="145033.61079266519"/>
    <n v="149876.87328204009"/>
    <n v="3740"/>
    <n v="38.779040318894438"/>
    <n v="-4843.2624893749016"/>
    <n v="-3.3394069573973818E-2"/>
    <n v="-1.2949899704210968"/>
  </r>
  <r>
    <d v="2015-08-01T00:00:00"/>
    <n v="173306.90648994269"/>
    <n v="178699.97587509951"/>
    <n v="4453"/>
    <n v="38.919134626081899"/>
    <n v="-5393.0693851568212"/>
    <n v="-3.1118606259755672E-2"/>
    <n v="-1.2111092263994658"/>
  </r>
  <r>
    <d v="2015-08-02T00:00:00"/>
    <n v="88154.338712390003"/>
    <n v="90828.661699823351"/>
    <n v="2258"/>
    <n v="39.040894026744908"/>
    <n v="-2674.3229874333483"/>
    <n v="-3.0336827732989107E-2"/>
    <n v="-1.1843768766312437"/>
  </r>
  <r>
    <d v="2015-08-03T00:00:00"/>
    <n v="81142.027847790378"/>
    <n v="83114.57680933841"/>
    <n v="2074"/>
    <n v="39.123446406842035"/>
    <n v="-1972.5489615480328"/>
    <n v="-2.4309830723582889E-2"/>
    <n v="-0.95108435947349701"/>
  </r>
  <r>
    <d v="2015-08-04T00:00:00"/>
    <n v="77672.882777740495"/>
    <n v="80417.746442173302"/>
    <n v="2007"/>
    <n v="38.700987931111356"/>
    <n v="-2744.8636644328071"/>
    <n v="-3.5338763880918174E-2"/>
    <n v="-1.3676450744558082"/>
  </r>
  <r>
    <d v="2015-08-05T00:00:00"/>
    <n v="75483.422554300487"/>
    <n v="78024.284675030634"/>
    <n v="1948"/>
    <n v="38.749190222946865"/>
    <n v="-2540.8621207301476"/>
    <n v="-3.3661193872102556E-2"/>
    <n v="-1.3043440044815953"/>
  </r>
  <r>
    <d v="2015-08-06T00:00:00"/>
    <n v="74354.570102040496"/>
    <n v="76978.305238407411"/>
    <n v="1922"/>
    <n v="38.686040635817115"/>
    <n v="-2623.735136366915"/>
    <n v="-3.5286803928342693E-2"/>
    <n v="-1.3651067306799765"/>
  </r>
  <r>
    <d v="2015-08-07T00:00:00"/>
    <n v="120326.876292698"/>
    <n v="123707.76157316699"/>
    <n v="3088"/>
    <n v="38.96595734867163"/>
    <n v="-3380.8852804689959"/>
    <n v="-2.8097507262175674E-2"/>
    <n v="-1.0948462695819288"/>
  </r>
  <r>
    <d v="2015-08-08T00:00:00"/>
    <n v="131867.9935040164"/>
    <n v="135721.426030331"/>
    <n v="3388"/>
    <n v="38.922076004727387"/>
    <n v="-3853.432526314602"/>
    <n v="-2.9221893985952211E-2"/>
    <n v="-1.1373767787233182"/>
  </r>
  <r>
    <d v="2015-08-09T00:00:00"/>
    <n v="75504.002742620491"/>
    <n v="77978.694471478811"/>
    <n v="1944"/>
    <n v="38.839507583652512"/>
    <n v="-2474.6917288583209"/>
    <n v="-3.2775636244002822E-2"/>
    <n v="-1.2729895724579841"/>
  </r>
  <r>
    <d v="2015-08-10T00:00:00"/>
    <n v="69968.077699080488"/>
    <n v="72665.725527117203"/>
    <n v="1812"/>
    <n v="38.613729414503581"/>
    <n v="-2697.6478280367155"/>
    <n v="-3.8555408648480956E-2"/>
    <n v="-1.4887681170180549"/>
  </r>
  <r>
    <d v="2015-08-11T00:00:00"/>
    <n v="60187.149047280371"/>
    <n v="62538.493277924979"/>
    <n v="1563"/>
    <n v="38.507453005297741"/>
    <n v="-2351.3442306446086"/>
    <n v="-3.9067213979474193E-2"/>
    <n v="-1.5043789063625135"/>
  </r>
  <r>
    <d v="2015-08-12T00:00:00"/>
    <n v="44698.700751095254"/>
    <n v="46849.567146474838"/>
    <n v="1171"/>
    <n v="38.171392614086464"/>
    <n v="-2150.866395379584"/>
    <n v="-4.8119215083156107E-2"/>
    <n v="-1.8367774512208233"/>
  </r>
  <r>
    <d v="2015-08-13T00:00:00"/>
    <n v="39463.409059930251"/>
    <n v="41414.418370139807"/>
    <n v="1035"/>
    <n v="38.128897642444684"/>
    <n v="-1951.0093102095561"/>
    <n v="-4.9438438206053058E-2"/>
    <n v="-1.8850331499609239"/>
  </r>
  <r>
    <d v="2015-08-14T00:00:00"/>
    <n v="85794.096902620251"/>
    <n v="89898.894227499957"/>
    <n v="2247"/>
    <n v="38.181618559243546"/>
    <n v="-4104.7973248797061"/>
    <n v="-4.7844752413896449E-2"/>
    <n v="-1.8267900867288411"/>
  </r>
  <r>
    <d v="2015-08-15T00:00:00"/>
    <n v="117288.0100538017"/>
    <n v="122504.35720229719"/>
    <n v="3068"/>
    <n v="38.22946872679325"/>
    <n v="-5216.3471484954935"/>
    <n v="-4.4474683696165362E-2"/>
    <n v="-1.7002435294965754"/>
  </r>
  <r>
    <d v="2015-08-16T00:00:00"/>
    <n v="71056.061003780487"/>
    <n v="74589.172866250257"/>
    <n v="1866"/>
    <n v="38.07934673300133"/>
    <n v="-3533.1118624697701"/>
    <n v="-4.9722878140990585E-2"/>
    <n v="-1.8934147172935532"/>
  </r>
  <r>
    <d v="2015-08-17T00:00:00"/>
    <n v="64394.074453330373"/>
    <n v="67505.254139283716"/>
    <n v="1690"/>
    <n v="38.103002635106726"/>
    <n v="-3111.1796859533424"/>
    <n v="-4.8314689082272176E-2"/>
    <n v="-1.840934725416179"/>
  </r>
  <r>
    <d v="2015-08-18T00:00:00"/>
    <n v="35165.972082725253"/>
    <n v="36841.967322813813"/>
    <n v="922"/>
    <n v="38.140967551762749"/>
    <n v="-1675.9952400885595"/>
    <n v="-4.765957375345431E-2"/>
    <n v="-1.8177822560613444"/>
  </r>
  <r>
    <d v="2015-08-19T00:00:00"/>
    <n v="23234.183195130121"/>
    <n v="24104.085977912531"/>
    <n v="604"/>
    <n v="38.467190720414109"/>
    <n v="-869.90278278241021"/>
    <n v="-3.7440644049184464E-2"/>
    <n v="-1.4402363953351163"/>
  </r>
  <r>
    <d v="2015-08-20T00:00:00"/>
    <n v="24754.95718180012"/>
    <n v="25407.174070346191"/>
    <n v="643"/>
    <n v="38.499155803732691"/>
    <n v="-652.21688854607055"/>
    <n v="-2.634692048773089E-2"/>
    <n v="-1.0143341968057085"/>
  </r>
  <r>
    <d v="2015-08-21T00:00:00"/>
    <n v="76691.283029055499"/>
    <n v="78691.956315552306"/>
    <n v="2006"/>
    <n v="38.230948668522181"/>
    <n v="-2000.6732864968071"/>
    <n v="-2.608736231129196E-2"/>
    <n v="-0.99734460942014314"/>
  </r>
  <r>
    <d v="2015-08-22T00:00:00"/>
    <n v="102231.2117923578"/>
    <n v="104713.0074997764"/>
    <n v="2677"/>
    <n v="38.188723120044003"/>
    <n v="-2481.7957074185979"/>
    <n v="-2.4276301375155195E-2"/>
    <n v="-0.92708095159454529"/>
  </r>
  <r>
    <d v="2015-08-23T00:00:00"/>
    <n v="56974.868025790369"/>
    <n v="57548.985153409623"/>
    <n v="1467"/>
    <n v="38.837674182542855"/>
    <n v="-574.11712761925446"/>
    <n v="-1.007667323352769E-2"/>
    <n v="-0.39135455188769902"/>
  </r>
  <r>
    <d v="2015-08-24T00:00:00"/>
    <n v="59442.73111516537"/>
    <n v="59785.428614563789"/>
    <n v="1528"/>
    <n v="38.902310939244352"/>
    <n v="-342.69749939841859"/>
    <n v="-5.765170828616043E-3"/>
    <n v="-0.22427846819268232"/>
  </r>
  <r>
    <d v="2015-08-25T00:00:00"/>
    <n v="217683.362264025"/>
    <n v="246975.73076564309"/>
    <n v="6360"/>
    <n v="34.226943752205187"/>
    <n v="-29292.368501618097"/>
    <n v="-0.1345641127413762"/>
    <n v="-4.6057183178644809"/>
  </r>
  <r>
    <d v="2015-08-26T00:00:00"/>
    <n v="275458.8068961961"/>
    <n v="307092.27437902818"/>
    <n v="8035"/>
    <n v="34.28236551290555"/>
    <n v="-31633.467482832086"/>
    <n v="-0.11483919443081318"/>
    <n v="-3.9369592386847647"/>
  </r>
  <r>
    <d v="2015-08-27T00:00:00"/>
    <n v="228731.86548652739"/>
    <n v="252845.44555357669"/>
    <n v="6675"/>
    <n v="34.26694614030373"/>
    <n v="-24113.580067049304"/>
    <n v="-0.10542291523639773"/>
    <n v="-3.6125213583594462"/>
  </r>
  <r>
    <d v="2015-08-28T00:00:00"/>
    <n v="387639.11999952199"/>
    <n v="426783.30221814412"/>
    <n v="11330"/>
    <n v="34.213514563064606"/>
    <n v="-39144.182218622125"/>
    <n v="-0.10098099030528807"/>
    <n v="-3.454914582402659"/>
  </r>
  <r>
    <d v="2015-08-29T00:00:00"/>
    <n v="461188.00485173479"/>
    <n v="504578.18875722651"/>
    <n v="13484"/>
    <n v="34.202610861149125"/>
    <n v="-43390.183905491722"/>
    <n v="-9.4083504880923846E-2"/>
    <n v="-3.2179015058952625"/>
  </r>
  <r>
    <d v="2015-08-30T00:00:00"/>
    <n v="202249.67716942501"/>
    <n v="220152.1867539582"/>
    <n v="5913"/>
    <n v="34.204241023072044"/>
    <n v="-17902.509584533196"/>
    <n v="-8.8516875948020546E-2"/>
    <n v="-3.0276525595354635"/>
  </r>
  <r>
    <d v="2015-08-31T00:00:00"/>
    <n v="332559.76497908588"/>
    <n v="361970.285938652"/>
    <n v="9721"/>
    <n v="34.210447997025604"/>
    <n v="-29410.520959566114"/>
    <n v="-8.8436798604953584E-2"/>
    <n v="-3.0254624996981909"/>
  </r>
  <r>
    <d v="2015-09-01T00:00:00"/>
    <n v="384806.77158197842"/>
    <n v="418101.5975483603"/>
    <n v="11257"/>
    <n v="34.183776457491199"/>
    <n v="-33294.825966381875"/>
    <n v="-8.6523492893598453E-2"/>
    <n v="-2.957699739396098"/>
  </r>
  <r>
    <d v="2015-09-02T00:00:00"/>
    <n v="345776.25028037588"/>
    <n v="373816.16840063431"/>
    <n v="10102"/>
    <n v="34.228494385307449"/>
    <n v="-28039.91812025843"/>
    <n v="-8.1092666420906581E-2"/>
    <n v="-2.7756798772776112"/>
  </r>
  <r>
    <d v="2015-09-03T00:00:00"/>
    <n v="271551.09510075609"/>
    <n v="293343.87397356221"/>
    <n v="7938"/>
    <n v="34.209006689437651"/>
    <n v="-21792.778872806113"/>
    <n v="-8.0252958894237336E-2"/>
    <n v="-2.7453740076601303"/>
  </r>
  <r>
    <d v="2015-09-04T00:00:00"/>
    <n v="340440.20546208572"/>
    <n v="366359.65859248448"/>
    <n v="9936"/>
    <n v="34.263305702705892"/>
    <n v="-25919.453130398761"/>
    <n v="-7.6135111877334849E-2"/>
    <n v="-2.6086406129628381"/>
  </r>
  <r>
    <d v="2015-09-05T00:00:00"/>
    <n v="364416.73158213811"/>
    <n v="392128.30126516859"/>
    <n v="10643"/>
    <n v="34.24003867162812"/>
    <n v="-27711.569683030481"/>
    <n v="-7.6043626105527493E-2"/>
    <n v="-2.6037366985840911"/>
  </r>
  <r>
    <d v="2015-09-06T00:00:00"/>
    <n v="164719.6044916152"/>
    <n v="176647.84265184921"/>
    <n v="4800"/>
    <n v="34.316584269086498"/>
    <n v="-11928.238160234003"/>
    <n v="-7.2415412828660541E-2"/>
    <n v="-2.4850496167154175"/>
  </r>
  <r>
    <d v="2015-09-07T00:00:00"/>
    <n v="178921.0993487364"/>
    <n v="192507.52873248939"/>
    <n v="5228"/>
    <n v="34.223622675733822"/>
    <n v="-13586.429383752984"/>
    <n v="-7.5935311336711483E-2"/>
    <n v="-2.5987814429519864"/>
  </r>
  <r>
    <d v="2015-09-08T00:00:00"/>
    <n v="70286.997810770496"/>
    <n v="66639.698052811495"/>
    <n v="1810"/>
    <n v="38.832595475563807"/>
    <n v="3647.299757959001"/>
    <n v="5.1891528612139748E-2"/>
    <n v="2.0150827392038679"/>
  </r>
  <r>
    <d v="2015-09-09T00:00:00"/>
    <n v="76013.677901710485"/>
    <n v="72211.103174650692"/>
    <n v="1961"/>
    <n v="38.762711831570876"/>
    <n v="3802.5747270597931"/>
    <n v="5.0024874891288824E-2"/>
    <n v="1.9390998098214141"/>
  </r>
  <r>
    <d v="2015-09-10T00:00:00"/>
    <n v="48406.787146740236"/>
    <n v="45316.542733610833"/>
    <n v="1232"/>
    <n v="39.291223333393049"/>
    <n v="3090.2444131294033"/>
    <n v="6.383907289202323E-2"/>
    <n v="2.5083152703972429"/>
  </r>
  <r>
    <d v="2015-09-11T00:00:00"/>
    <n v="85940.026940790005"/>
    <n v="81559.845623271962"/>
    <n v="2194"/>
    <n v="39.17047718358706"/>
    <n v="4380.1813175180432"/>
    <n v="5.0967883923702412E-2"/>
    <n v="1.9964363343290989"/>
  </r>
  <r>
    <d v="2015-09-12T00:00:00"/>
    <n v="57381.751454185367"/>
    <n v="54340.891509322857"/>
    <n v="1469"/>
    <n v="39.061777708771523"/>
    <n v="3040.85994486251"/>
    <n v="5.2993501728339332E-2"/>
    <n v="2.0700203845217904"/>
  </r>
  <r>
    <d v="2015-09-13T00:00:00"/>
    <n v="32479.796394255129"/>
    <n v="30763.688117313319"/>
    <n v="829"/>
    <n v="39.179489015989297"/>
    <n v="1716.1082769418099"/>
    <n v="5.283617717644766E-2"/>
    <n v="2.0700944233314957"/>
  </r>
  <r>
    <d v="2015-09-14T00:00:00"/>
    <n v="52160.18393341537"/>
    <n v="49656.007748568787"/>
    <n v="1329"/>
    <n v="39.247692952156036"/>
    <n v="2504.1761848465831"/>
    <n v="4.8009343449464587E-2"/>
    <n v="1.8842559705391897"/>
  </r>
  <r>
    <d v="2015-09-15T00:00:00"/>
    <n v="51002.839569495241"/>
    <n v="48601.967504707303"/>
    <n v="1300"/>
    <n v="39.232953514996339"/>
    <n v="2400.8720647879381"/>
    <n v="4.7073301899525959E-2"/>
    <n v="1.8468246652214908"/>
  </r>
  <r>
    <d v="2015-09-16T00:00:00"/>
    <n v="30194.715956215121"/>
    <n v="28605.46079761381"/>
    <n v="773"/>
    <n v="39.061728274534438"/>
    <n v="1589.2551586013105"/>
    <n v="5.263355220515617E-2"/>
    <n v="2.0559575143613333"/>
  </r>
  <r>
    <d v="2015-09-17T00:00:00"/>
    <n v="29751.222605555118"/>
    <n v="28084.235128364078"/>
    <n v="760"/>
    <n v="39.146345533625158"/>
    <n v="1666.9874771910399"/>
    <n v="5.6030889866011145E-2"/>
    <n v="2.1934045752513684"/>
  </r>
  <r>
    <d v="2015-09-18T00:00:00"/>
    <n v="68504.63943753537"/>
    <n v="64881.975648256928"/>
    <n v="1755"/>
    <n v="39.033982585490243"/>
    <n v="3622.663789278442"/>
    <n v="5.2882021115981462E-2"/>
    <n v="2.0641958913267477"/>
  </r>
  <r>
    <d v="2015-09-19T00:00:00"/>
    <n v="68996.561757290488"/>
    <n v="65211.57177094122"/>
    <n v="1766"/>
    <n v="39.069400768567661"/>
    <n v="3784.9899863492683"/>
    <n v="5.4857660873939548E-2"/>
    <n v="2.1432559379101179"/>
  </r>
  <r>
    <d v="2015-09-20T00:00:00"/>
    <n v="41855.928759400253"/>
    <n v="39629.451872277546"/>
    <n v="1078"/>
    <n v="38.827392170130103"/>
    <n v="2226.4768871227061"/>
    <n v="5.319382350636935E-2"/>
    <n v="2.0653774463104879"/>
  </r>
  <r>
    <d v="2015-09-21T00:00:00"/>
    <n v="44303.466485900237"/>
    <n v="41485.458718801397"/>
    <n v="1124"/>
    <n v="39.415895450089181"/>
    <n v="2818.0077670988394"/>
    <n v="6.3606936220119079E-2"/>
    <n v="2.5071243479527041"/>
  </r>
  <r>
    <d v="2015-09-22T00:00:00"/>
    <n v="46599.298130810253"/>
    <n v="43806.73201043591"/>
    <n v="1182"/>
    <n v="39.424110093748098"/>
    <n v="2792.5661203743439"/>
    <n v="5.9927214193983135E-2"/>
    <n v="2.3625770899952148"/>
  </r>
  <r>
    <d v="2015-09-23T00:00:00"/>
    <n v="125182.7571653476"/>
    <n v="138583.8378162164"/>
    <n v="3725"/>
    <n v="33.606109306133582"/>
    <n v="-13401.080650868797"/>
    <n v="-0.10705212885803421"/>
    <n v="-3.5976055438573948"/>
  </r>
  <r>
    <d v="2015-09-24T00:00:00"/>
    <n v="150036.8050416176"/>
    <n v="167704.85540677371"/>
    <n v="4492"/>
    <n v="33.400891594304895"/>
    <n v="-17668.050365156116"/>
    <n v="-0.11775810848714957"/>
    <n v="-3.9332258159296787"/>
  </r>
  <r>
    <d v="2015-09-25T00:00:00"/>
    <n v="368037.69194465881"/>
    <n v="413540.807164328"/>
    <n v="11030"/>
    <n v="33.366971164520294"/>
    <n v="-45503.115219669184"/>
    <n v="-0.12363710624104068"/>
    <n v="-4.1253957588095362"/>
  </r>
  <r>
    <d v="2015-09-26T00:00:00"/>
    <n v="351319.63806908001"/>
    <n v="397626.58505845559"/>
    <n v="10528"/>
    <n v="33.370026412336628"/>
    <n v="-46306.946989375574"/>
    <n v="-0.13180859243703943"/>
    <n v="-4.3984562109969199"/>
  </r>
  <r>
    <d v="2015-09-27T00:00:00"/>
    <n v="163289.93666880389"/>
    <n v="185404.04401051009"/>
    <n v="4895"/>
    <n v="33.358516173402222"/>
    <n v="-22114.1073417062"/>
    <n v="-0.13542847644407863"/>
    <n v="-4.517693021799019"/>
  </r>
  <r>
    <d v="2015-09-28T00:00:00"/>
    <n v="190892.45898757639"/>
    <n v="216571.0595214621"/>
    <n v="5720"/>
    <n v="33.372807515310555"/>
    <n v="-25678.600533885707"/>
    <n v="-0.13451867438910678"/>
    <n v="-4.489265827602396"/>
  </r>
  <r>
    <d v="2015-09-29T00:00:00"/>
    <n v="143082.1332657676"/>
    <n v="162929.01847235279"/>
    <n v="4288"/>
    <n v="33.368034810113713"/>
    <n v="-19846.885206585197"/>
    <n v="-0.13870973792178959"/>
    <n v="-4.6284713634760255"/>
  </r>
  <r>
    <d v="2015-09-30T00:00:00"/>
    <n v="323548.78534206882"/>
    <n v="368434.8859088649"/>
    <n v="9693"/>
    <n v="33.379633275773116"/>
    <n v="-44886.100566796085"/>
    <n v="-0.13873054883930622"/>
    <n v="-4.6307748444027741"/>
  </r>
  <r>
    <d v="2015-10-01T00:00:00"/>
    <n v="402312.33315894648"/>
    <n v="459285.80452600669"/>
    <n v="12065"/>
    <n v="33.345406809693038"/>
    <n v="-56973.471367060207"/>
    <n v="-0.14161502561879205"/>
    <n v="-4.7222106396237225"/>
  </r>
  <r>
    <d v="2015-10-02T00:00:00"/>
    <n v="393635.17485489399"/>
    <n v="448390.96576197422"/>
    <n v="11758"/>
    <n v="33.478072363913419"/>
    <n v="-54755.790907080227"/>
    <n v="-0.13910289121714006"/>
    <n v="-4.6568966581969917"/>
  </r>
  <r>
    <d v="2015-10-03T00:00:00"/>
    <n v="451100.06007685699"/>
    <n v="515549.38991623401"/>
    <n v="13508"/>
    <n v="33.39502961777147"/>
    <n v="-64449.329839377024"/>
    <n v="-0.14287147252517846"/>
    <n v="-4.7711970565129569"/>
  </r>
  <r>
    <d v="2015-10-04T00:00:00"/>
    <n v="202902.62490132521"/>
    <n v="232360.32715548939"/>
    <n v="6085"/>
    <n v="33.344720608270372"/>
    <n v="-29457.702254164178"/>
    <n v="-0.14518147445598562"/>
    <n v="-4.8410357032315821"/>
  </r>
  <r>
    <d v="2015-10-05T00:00:00"/>
    <n v="294557.64636622381"/>
    <n v="336897.92240040551"/>
    <n v="8828"/>
    <n v="33.36629433237696"/>
    <n v="-42340.276034181705"/>
    <n v="-0.14374190097085443"/>
    <n v="-4.7961345756889111"/>
  </r>
  <r>
    <d v="2015-10-06T00:00:00"/>
    <n v="221618.32824753021"/>
    <n v="253291.062286083"/>
    <n v="6636"/>
    <n v="33.396372550863504"/>
    <n v="-31672.734038552793"/>
    <n v="-0.14291567980413986"/>
    <n v="-4.7728652860989742"/>
  </r>
  <r>
    <d v="2015-10-07T00:00:00"/>
    <n v="63968.38248018537"/>
    <n v="61942.842677746637"/>
    <n v="1622"/>
    <n v="39.437967003813419"/>
    <n v="2025.5398024387323"/>
    <n v="3.1664702528099047E-2"/>
    <n v="1.2487914934887376"/>
  </r>
  <r>
    <d v="2015-10-08T00:00:00"/>
    <n v="59609.544705280372"/>
    <n v="57736.476659462976"/>
    <n v="1512"/>
    <n v="39.424302053756861"/>
    <n v="1873.0680458173956"/>
    <n v="3.1422284049948034E-2"/>
    <n v="1.2388016176040977"/>
  </r>
  <r>
    <d v="2015-10-09T00:00:00"/>
    <n v="126588.25297451641"/>
    <n v="122622.36311479039"/>
    <n v="3211"/>
    <n v="39.423311421524886"/>
    <n v="3965.8898597260122"/>
    <n v="3.132905120765344E-2"/>
    <n v="1.2350949423002218"/>
  </r>
  <r>
    <d v="2015-10-10T00:00:00"/>
    <n v="119755.01159048091"/>
    <n v="116003.6869136254"/>
    <n v="3037"/>
    <n v="39.432009084781335"/>
    <n v="3751.3246768555109"/>
    <n v="3.1324991138439305E-2"/>
    <n v="1.2352073351516335"/>
  </r>
  <r>
    <d v="2015-10-11T00:00:00"/>
    <n v="57413.410482090367"/>
    <n v="55617.584643929717"/>
    <n v="1456"/>
    <n v="39.43228741901811"/>
    <n v="1795.8258381606502"/>
    <n v="3.1278856683158426E-2"/>
    <n v="1.2333968668685784"/>
  </r>
  <r>
    <d v="2015-10-12T00:00:00"/>
    <n v="57749.13693860537"/>
    <n v="55933.008575846157"/>
    <n v="1465"/>
    <n v="39.419206101437112"/>
    <n v="1816.1283627592129"/>
    <n v="3.1448580169951057E-2"/>
    <n v="1.2396780633168689"/>
  </r>
  <r>
    <d v="2015-10-13T00:00:00"/>
    <n v="40140.82003455524"/>
    <n v="38881.088441786422"/>
    <n v="1018"/>
    <n v="39.431060937677053"/>
    <n v="1259.7315927688178"/>
    <n v="3.13828066213988E-2"/>
    <n v="1.2374573602837109"/>
  </r>
  <r>
    <d v="2015-10-14T00:00:00"/>
    <n v="42195.817364850249"/>
    <n v="40869.24947226706"/>
    <n v="1070"/>
    <n v="39.43534333163575"/>
    <n v="1326.567892583189"/>
    <n v="3.1438374119237701E-2"/>
    <n v="1.2397830771805505"/>
  </r>
  <r>
    <d v="2015-10-15T00:00:00"/>
    <n v="53490.797465390373"/>
    <n v="51799.165903400812"/>
    <n v="1357"/>
    <n v="39.41842112409018"/>
    <n v="1691.6315619895613"/>
    <n v="3.1624721300595321E-2"/>
    <n v="1.2465965821588514"/>
  </r>
  <r>
    <d v="2015-10-16T00:00:00"/>
    <n v="110809.3158055775"/>
    <n v="107331.98051512289"/>
    <n v="2810"/>
    <n v="39.433920215508003"/>
    <n v="3477.3352904546045"/>
    <n v="3.1381254050479174E-2"/>
    <n v="1.2374858684891832"/>
  </r>
  <r>
    <d v="2015-10-17T00:00:00"/>
    <n v="111527.01346960261"/>
    <n v="108023.60734392131"/>
    <n v="2829"/>
    <n v="39.422768988901595"/>
    <n v="3503.4061256813002"/>
    <n v="3.1413072193815859E-2"/>
    <n v="1.2383902883284907"/>
  </r>
  <r>
    <d v="2015-10-18T00:00:00"/>
    <n v="59808.138668750369"/>
    <n v="57937.458655969502"/>
    <n v="1517"/>
    <n v="39.425272688695038"/>
    <n v="1870.6800127808674"/>
    <n v="3.1278017581214144E-2"/>
    <n v="1.233144372301165"/>
  </r>
  <r>
    <d v="2015-10-19T00:00:00"/>
    <n v="55166.226228085383"/>
    <n v="53436.897092784871"/>
    <n v="1399"/>
    <n v="39.432613458245449"/>
    <n v="1729.3291353005116"/>
    <n v="3.1347606199318055E-2"/>
    <n v="1.2361180380990076"/>
  </r>
  <r>
    <d v="2015-10-20T00:00:00"/>
    <n v="42054.680471955253"/>
    <n v="40736.150475592272"/>
    <n v="1067"/>
    <n v="39.413946084306701"/>
    <n v="1318.5299963629805"/>
    <n v="3.1352752691635843E-2"/>
    <n v="1.235735704182737"/>
  </r>
  <r>
    <d v="2015-10-21T00:00:00"/>
    <n v="53678.179109280252"/>
    <n v="51999.860868195567"/>
    <n v="1361"/>
    <n v="39.440249161851767"/>
    <n v="1678.3182410846857"/>
    <n v="3.1266303532165203E-2"/>
    <n v="1.2331508016786816"/>
  </r>
  <r>
    <d v="2015-10-22T00:00:00"/>
    <n v="55930.168643105368"/>
    <n v="54177.690061877343"/>
    <n v="1419"/>
    <n v="39.415199889432955"/>
    <n v="1752.4785812280243"/>
    <n v="3.1333332685097422E-2"/>
    <n v="1.235009570985218"/>
  </r>
  <r>
    <d v="2015-10-23T00:00:00"/>
    <n v="185771.00146306361"/>
    <n v="192527.0110099228"/>
    <n v="5042"/>
    <n v="36.844704772523528"/>
    <n v="-6756.0095468591899"/>
    <n v="-3.6367406611642075E-2"/>
    <n v="-1.3399463599482724"/>
  </r>
  <r>
    <d v="2015-10-24T00:00:00"/>
    <n v="253116.91319854019"/>
    <n v="262409.56942291622"/>
    <n v="6872"/>
    <n v="36.833078172080938"/>
    <n v="-9292.6562243760272"/>
    <n v="-3.6712901192371292E-2"/>
    <n v="-1.3522491595424952"/>
  </r>
  <r>
    <d v="2015-10-25T00:00:00"/>
    <n v="118618.4537021529"/>
    <n v="122915.26701698839"/>
    <n v="3218"/>
    <n v="36.860924083950557"/>
    <n v="-4296.8133148354973"/>
    <n v="-3.6223818307602094E-2"/>
    <n v="-1.335243416667339"/>
  </r>
  <r>
    <d v="2015-10-26T00:00:00"/>
    <n v="123320.78404237361"/>
    <n v="128133.7786088713"/>
    <n v="3347"/>
    <n v="36.845170015647923"/>
    <n v="-4812.9945664976985"/>
    <n v="-3.9028251432815499E-2"/>
    <n v="-1.4380025594555419"/>
  </r>
  <r>
    <d v="2015-10-27T00:00:00"/>
    <n v="117051.2772154027"/>
    <n v="122175.0002727018"/>
    <n v="3177"/>
    <n v="36.843335604470475"/>
    <n v="-5123.7230572990957"/>
    <n v="-4.3773320370269896E-2"/>
    <n v="-1.6127551329238576"/>
  </r>
  <r>
    <d v="2015-10-28T00:00:00"/>
    <n v="159299.98906190021"/>
    <n v="174699.07672381031"/>
    <n v="4532"/>
    <n v="35.150041717100663"/>
    <n v="-15399.087661910104"/>
    <n v="-9.6667223598655636E-2"/>
    <n v="-3.3978569421690432"/>
  </r>
  <r>
    <d v="2015-10-29T00:00:00"/>
    <n v="119047.4098679029"/>
    <n v="124349.2654892959"/>
    <n v="3231"/>
    <n v="36.845376003683967"/>
    <n v="-5301.8556213929987"/>
    <n v="-4.4535665473747231E-2"/>
    <n v="-1.6409333399545027"/>
  </r>
  <r>
    <d v="2015-10-30T00:00:00"/>
    <n v="285081.97432843532"/>
    <n v="297627.69071540632"/>
    <n v="7731"/>
    <n v="36.875174534786616"/>
    <n v="-12545.716386971006"/>
    <n v="-4.4007399683985003E-2"/>
    <n v="-1.6227805441690604"/>
  </r>
  <r>
    <d v="2015-10-31T00:00:00"/>
    <n v="391656.21258357138"/>
    <n v="429832.83476080548"/>
    <n v="11148"/>
    <n v="35.132419499782145"/>
    <n v="-38176.622177234094"/>
    <n v="-9.7474828563042362E-2"/>
    <n v="-3.4245265677461512"/>
  </r>
  <r>
    <d v="2015-11-01T00:00:00"/>
    <n v="274814.77805485041"/>
    <n v="287978.17491181649"/>
    <n v="7459"/>
    <n v="36.843380889509369"/>
    <n v="-13163.396856966079"/>
    <n v="-4.7899159390688922E-2"/>
    <n v="-1.7647669737184715"/>
  </r>
  <r>
    <d v="2015-11-02T00:00:00"/>
    <n v="269555.02312096767"/>
    <n v="281915.19210462889"/>
    <n v="7316"/>
    <n v="36.844590366452664"/>
    <n v="-12360.16898366122"/>
    <n v="-4.5853973858666963E-2"/>
    <n v="-1.689470883496613"/>
  </r>
  <r>
    <d v="2015-11-03T00:00:00"/>
    <n v="192001.03461514859"/>
    <n v="201125.7754746837"/>
    <n v="5211"/>
    <n v="36.845333835184917"/>
    <n v="-9124.7408595351153"/>
    <n v="-4.7524435885592811E-2"/>
    <n v="-1.7510537055335089"/>
  </r>
  <r>
    <d v="2015-11-04T00:00:00"/>
    <n v="201367.78697700129"/>
    <n v="220579.99556067711"/>
    <n v="5731"/>
    <n v="35.136588200488795"/>
    <n v="-19212.20858367582"/>
    <n v="-9.5408550057065944E-2"/>
    <n v="-3.352330934160848"/>
  </r>
  <r>
    <d v="2015-11-05T00:00:00"/>
    <n v="111874.5589729527"/>
    <n v="116637.034345283"/>
    <n v="3036"/>
    <n v="36.849327724951479"/>
    <n v="-4762.4753723303002"/>
    <n v="-4.2569780082723704E-2"/>
    <n v="-1.568667777447398"/>
  </r>
  <r>
    <d v="2015-11-06T00:00:00"/>
    <n v="214540.33309084759"/>
    <n v="223738.43271863071"/>
    <n v="5822"/>
    <n v="36.849936978847062"/>
    <n v="-9198.0996277831146"/>
    <n v="-4.2873521706933114E-2"/>
    <n v="-1.5798865729617166"/>
  </r>
  <r>
    <d v="2015-11-07T00:00:00"/>
    <n v="280264.24446527619"/>
    <n v="306935.16039581352"/>
    <n v="7987"/>
    <n v="35.090051892484809"/>
    <n v="-26670.915930537332"/>
    <n v="-9.5163462543798621E-2"/>
    <n v="-3.3392908389304283"/>
  </r>
  <r>
    <d v="2015-11-08T00:00:00"/>
    <n v="134136.72870994979"/>
    <n v="140236.30330013481"/>
    <n v="3640"/>
    <n v="36.850749645590604"/>
    <n v="-6099.5745901850169"/>
    <n v="-4.5472814559049043E-2"/>
    <n v="-1.6757073049958837"/>
  </r>
  <r>
    <d v="2015-11-09T00:00:00"/>
    <n v="94243.465527933557"/>
    <n v="89949.304171877258"/>
    <n v="2338"/>
    <n v="40.309437779270127"/>
    <n v="4294.1613560562982"/>
    <n v="4.5564552746455593E-2"/>
    <n v="1.8366815038735236"/>
  </r>
  <r>
    <d v="2015-11-10T00:00:00"/>
    <n v="131436.19785473641"/>
    <n v="143823.38644063799"/>
    <n v="3744"/>
    <n v="35.105822076585582"/>
    <n v="-12387.188585901575"/>
    <n v="-9.4244879173939006E-2"/>
    <n v="-3.3085439599096085"/>
  </r>
  <r>
    <d v="2015-11-11T00:00:00"/>
    <n v="147893.9414709764"/>
    <n v="161665.60055441549"/>
    <n v="4216"/>
    <n v="35.079208128789467"/>
    <n v="-13771.659083439095"/>
    <n v="-9.3118480354665037E-2"/>
    <n v="-3.2665225529978881"/>
  </r>
  <r>
    <d v="2015-11-12T00:00:00"/>
    <n v="140238.39051047139"/>
    <n v="153481.4533973026"/>
    <n v="4000"/>
    <n v="35.059597627617848"/>
    <n v="-13243.062886831205"/>
    <n v="-9.4432507665170085E-2"/>
    <n v="-3.3107657217078015"/>
  </r>
  <r>
    <d v="2015-11-13T00:00:00"/>
    <n v="358183.77400468499"/>
    <n v="391310.32068493689"/>
    <n v="10204"/>
    <n v="35.102290670784498"/>
    <n v="-33126.546680251893"/>
    <n v="-9.2484777604187621E-2"/>
    <n v="-3.2464275460850542"/>
  </r>
  <r>
    <d v="2015-11-14T00:00:00"/>
    <n v="377937.13869747258"/>
    <n v="413010.2290451295"/>
    <n v="10769"/>
    <n v="35.094914912942016"/>
    <n v="-35073.090347656922"/>
    <n v="-9.2801386147265852E-2"/>
    <n v="-3.2568567506413708"/>
  </r>
  <r>
    <d v="2015-11-15T00:00:00"/>
    <n v="168729.96240320889"/>
    <n v="184673.48850580241"/>
    <n v="4803"/>
    <n v="35.130119176183406"/>
    <n v="-15943.526102593518"/>
    <n v="-9.449137471206065E-2"/>
    <n v="-3.3194932547560936"/>
  </r>
  <r>
    <d v="2015-11-16T00:00:00"/>
    <n v="177192.56981712021"/>
    <n v="193615.30370472989"/>
    <n v="5042"/>
    <n v="35.143310158096035"/>
    <n v="-16422.733887609676"/>
    <n v="-9.268297143926249E-2"/>
    <n v="-3.2571864116639579"/>
  </r>
  <r>
    <d v="2015-11-17T00:00:00"/>
    <n v="152368.74909244641"/>
    <n v="166625.36501779759"/>
    <n v="4342"/>
    <n v="35.091835350632522"/>
    <n v="-14256.615925351187"/>
    <n v="-9.3566535200084219E-2"/>
    <n v="-3.2834214475705177"/>
  </r>
  <r>
    <d v="2015-11-18T00:00:00"/>
    <n v="147471.80491951641"/>
    <n v="161402.91869953019"/>
    <n v="4202"/>
    <n v="35.095622303549838"/>
    <n v="-13931.11378001378"/>
    <n v="-9.446628653942879E-2"/>
    <n v="-3.3153531128067062"/>
  </r>
  <r>
    <d v="2015-11-19T00:00:00"/>
    <n v="145697.15198235639"/>
    <n v="159317.60939427299"/>
    <n v="4151"/>
    <n v="35.099289805433962"/>
    <n v="-13620.457411916606"/>
    <n v="-9.3484719684610001E-2"/>
    <n v="-3.2812472685898837"/>
  </r>
  <r>
    <d v="2015-11-20T00:00:00"/>
    <n v="301033.98651272239"/>
    <n v="328965.14326487982"/>
    <n v="8567"/>
    <n v="35.138786799664103"/>
    <n v="-27931.156752157432"/>
    <n v="-9.2784064270354391E-2"/>
    <n v="-3.2603194528023152"/>
  </r>
  <r>
    <d v="2015-11-21T00:00:00"/>
    <n v="309518.07207128493"/>
    <n v="338720.02362598572"/>
    <n v="8811"/>
    <n v="35.128597443114849"/>
    <n v="-29201.95155470079"/>
    <n v="-9.4346515404681461E-2"/>
    <n v="-3.3142607598116887"/>
  </r>
  <r>
    <d v="2015-11-22T00:00:00"/>
    <n v="152504.6317273539"/>
    <n v="167600.650935746"/>
    <n v="4345"/>
    <n v="35.098879569011252"/>
    <n v="-15096.019208392099"/>
    <n v="-9.8987283451040325E-2"/>
    <n v="-3.4743427407116454"/>
  </r>
  <r>
    <d v="2015-11-23T00:00:00"/>
    <n v="79711.583414100489"/>
    <n v="74375.788707864966"/>
    <n v="1937"/>
    <n v="41.152082299483993"/>
    <n v="5335.7947062355233"/>
    <n v="6.693876194274237E-2"/>
    <n v="2.7546694404933008"/>
  </r>
  <r>
    <d v="2015-11-24T00:00:00"/>
    <n v="111021.3791139987"/>
    <n v="121456.5240191974"/>
    <n v="3160"/>
    <n v="35.133347820885668"/>
    <n v="-10435.1449051987"/>
    <n v="-9.3992211126144545E-2"/>
    <n v="-3.3022610459489559"/>
  </r>
  <r>
    <d v="2015-11-25T00:00:00"/>
    <n v="243161.25923328879"/>
    <n v="266054.36985679291"/>
    <n v="6924"/>
    <n v="35.118610518961411"/>
    <n v="-22893.110623504122"/>
    <n v="-9.4147853550719127E-2"/>
    <n v="-3.3063418000439229"/>
  </r>
  <r>
    <d v="2015-11-26T00:00:00"/>
    <n v="311443.18123189738"/>
    <n v="355343.87184090709"/>
    <n v="9273"/>
    <n v="33.586021916520799"/>
    <n v="-43900.690609009704"/>
    <n v="-0.14095890760992999"/>
    <n v="-4.7342489603159388"/>
  </r>
  <r>
    <d v="2015-11-27T00:00:00"/>
    <n v="375876.01342195261"/>
    <n v="431325.6866936764"/>
    <n v="11257"/>
    <n v="33.390424928662398"/>
    <n v="-55449.67327172379"/>
    <n v="-0.14752118063324474"/>
    <n v="-4.9257949073220031"/>
  </r>
  <r>
    <d v="2015-11-28T00:00:00"/>
    <n v="434639.65899526927"/>
    <n v="498895.61864535551"/>
    <n v="13019"/>
    <n v="33.385026422556976"/>
    <n v="-64255.959650086239"/>
    <n v="-0.14783731378453344"/>
    <n v="-4.935552626936496"/>
  </r>
  <r>
    <d v="2015-11-29T00:00:00"/>
    <n v="238637.81635545639"/>
    <n v="274093.57795911958"/>
    <n v="7139"/>
    <n v="33.42734505609419"/>
    <n v="-35455.761603663181"/>
    <n v="-0.14857562034866689"/>
    <n v="-4.9664885283181368"/>
  </r>
  <r>
    <d v="2015-11-30T00:00:00"/>
    <n v="260653.66696349639"/>
    <n v="283981.1506886445"/>
    <n v="7423"/>
    <n v="35.114329376733991"/>
    <n v="-23327.483725148108"/>
    <n v="-8.9496088802061766E-2"/>
    <n v="-3.1425951401250312"/>
  </r>
  <r>
    <d v="2015-12-01T00:00:00"/>
    <n v="262394.78001827881"/>
    <n v="285838.55681476911"/>
    <n v="7474"/>
    <n v="35.107677283687288"/>
    <n v="-23443.776796490303"/>
    <n v="-8.9345438940733407E-2"/>
    <n v="-3.1367108371006562"/>
  </r>
  <r>
    <d v="2015-12-02T00:00:00"/>
    <n v="248437.7113010938"/>
    <n v="269807.62043909793"/>
    <n v="7056"/>
    <n v="35.209426204803542"/>
    <n v="-21369.909138004121"/>
    <n v="-8.6017171169737935E-2"/>
    <n v="-3.0286152406468427"/>
  </r>
  <r>
    <d v="2015-12-03T00:00:00"/>
    <n v="201048.83046167399"/>
    <n v="219110.3931964541"/>
    <n v="5732"/>
    <n v="35.074813409224355"/>
    <n v="-18061.562734780106"/>
    <n v="-8.9836696355332382E-2"/>
    <n v="-3.1510053619644287"/>
  </r>
  <r>
    <d v="2015-12-04T00:00:00"/>
    <n v="317690.76093605132"/>
    <n v="345449.52994686092"/>
    <n v="9038"/>
    <n v="35.150559961944161"/>
    <n v="-27758.769010809599"/>
    <n v="-8.7376695907115859E-2"/>
    <n v="-3.0713397887596372"/>
  </r>
  <r>
    <d v="2015-12-05T00:00:00"/>
    <n v="378527.87261716381"/>
    <n v="410385.03700937238"/>
    <n v="10737"/>
    <n v="35.254528510493046"/>
    <n v="-31857.164392208564"/>
    <n v="-8.4160683259455291E-2"/>
    <n v="-2.9670452074330411"/>
  </r>
  <r>
    <d v="2015-12-06T00:00:00"/>
    <n v="195425.3910795952"/>
    <n v="210461.38622248991"/>
    <n v="5505"/>
    <n v="35.499616908191676"/>
    <n v="-15035.99514289471"/>
    <n v="-7.6939823734422874E-2"/>
    <n v="-2.7313342675558054"/>
  </r>
  <r>
    <d v="2015-12-07T00:00:00"/>
    <n v="90441.603368529759"/>
    <n v="83999.591253936887"/>
    <n v="2198"/>
    <n v="41.147226282315629"/>
    <n v="6442.0121145928715"/>
    <n v="7.1228415625750024E-2"/>
    <n v="2.930851735483563"/>
  </r>
  <r>
    <d v="2015-12-08T00:00:00"/>
    <n v="117649.0006330129"/>
    <n v="121640.3797902365"/>
    <n v="3190"/>
    <n v="36.880564461759526"/>
    <n v="-3991.3791572236078"/>
    <n v="-3.3926162872169839E-2"/>
    <n v="-1.2512160367472125"/>
  </r>
  <r>
    <d v="2015-12-09T00:00:00"/>
    <n v="141285.39545671371"/>
    <n v="145443.04659183419"/>
    <n v="3814"/>
    <n v="37.04388973694644"/>
    <n v="-4157.6511351204826"/>
    <n v="-2.9427324187900811E-2"/>
    <n v="-1.0901025524699746"/>
  </r>
  <r>
    <d v="2015-12-10T00:00:00"/>
    <n v="133183.69368019371"/>
    <n v="137725.87611044809"/>
    <n v="3610"/>
    <n v="36.892989939111828"/>
    <n v="-4542.1824302543828"/>
    <n v="-3.4104643779900433E-2"/>
    <n v="-1.2582222798488596"/>
  </r>
  <r>
    <d v="2015-12-11T00:00:00"/>
    <n v="229672.25632039239"/>
    <n v="237672.0164167957"/>
    <n v="6227"/>
    <n v="36.883291524071367"/>
    <n v="-7999.7600964033045"/>
    <n v="-3.4831199138147764E-2"/>
    <n v="-1.2846892719452874"/>
  </r>
  <r>
    <d v="2015-12-12T00:00:00"/>
    <n v="333488.79787881998"/>
    <n v="359621.07489373692"/>
    <n v="9422"/>
    <n v="35.394693045937167"/>
    <n v="-26132.277014916937"/>
    <n v="-7.8360284306798922E-2"/>
    <n v="-2.7735382100315151"/>
  </r>
  <r>
    <d v="2015-12-13T00:00:00"/>
    <n v="185422.8856361036"/>
    <n v="191390.40131031329"/>
    <n v="5014"/>
    <n v="36.981030242541607"/>
    <n v="-5967.5156742096879"/>
    <n v="-3.2183274754557893E-2"/>
    <n v="-1.1901706570023309"/>
  </r>
  <r>
    <d v="2015-12-14T00:00:00"/>
    <n v="173833.13316842369"/>
    <n v="179871.05329942369"/>
    <n v="4715"/>
    <n v="36.868108837417537"/>
    <n v="-6037.9201309999917"/>
    <n v="-3.4734000480506573E-2"/>
    <n v="-1.2805769100742295"/>
  </r>
  <r>
    <d v="2015-12-15T00:00:00"/>
    <n v="220271.72138524521"/>
    <n v="237123.3433401052"/>
    <n v="6212"/>
    <n v="35.459066546240372"/>
    <n v="-16851.621954859991"/>
    <n v="-7.6503791993286649E-2"/>
    <n v="-2.7127530513296829"/>
  </r>
  <r>
    <d v="2015-12-16T00:00:00"/>
    <n v="234468.07119528641"/>
    <n v="251493.90890012981"/>
    <n v="6585"/>
    <n v="35.606388943855187"/>
    <n v="-17025.837704843405"/>
    <n v="-7.2614738621117988E-2"/>
    <n v="-2.5855486263999095"/>
  </r>
  <r>
    <d v="2015-12-17T00:00:00"/>
    <n v="213778.13805030519"/>
    <n v="230994.35519885991"/>
    <n v="6051"/>
    <n v="35.329389861230403"/>
    <n v="-17216.217148554715"/>
    <n v="-8.0533104580148798E-2"/>
    <n v="-2.8451854484473169"/>
  </r>
  <r>
    <d v="2015-12-18T00:00:00"/>
    <n v="273563.01479629381"/>
    <n v="295854.55231599201"/>
    <n v="7750"/>
    <n v="35.298453522102427"/>
    <n v="-22291.537519698206"/>
    <n v="-8.148593309039745E-2"/>
    <n v="-2.8763274218965429"/>
  </r>
  <r>
    <d v="2015-12-19T00:00:00"/>
    <n v="337506.78841922001"/>
    <n v="362223.16087670921"/>
    <n v="9490"/>
    <n v="35.564466640592201"/>
    <n v="-24716.372457489197"/>
    <n v="-7.3232223189504508E-2"/>
    <n v="-2.6044649586395359"/>
  </r>
  <r>
    <d v="2015-12-20T00:00:00"/>
    <n v="155312.7838621664"/>
    <n v="167421.97369517089"/>
    <n v="4382"/>
    <n v="35.443355513958558"/>
    <n v="-12109.189833004493"/>
    <n v="-7.7966472120871211E-2"/>
    <n v="-2.7633933895491771"/>
  </r>
  <r>
    <d v="2015-12-21T00:00:00"/>
    <n v="289243.38305619761"/>
    <n v="312784.97431839362"/>
    <n v="8196"/>
    <n v="35.29079832310854"/>
    <n v="-23541.591262196016"/>
    <n v="-8.1390250015233978E-2"/>
    <n v="-2.8723268987550044"/>
  </r>
  <r>
    <d v="2015-12-22T00:00:00"/>
    <n v="313125.33253251761"/>
    <n v="338299.61784548633"/>
    <n v="8863"/>
    <n v="35.329497070124972"/>
    <n v="-25174.285312968714"/>
    <n v="-8.0396833783336258E-2"/>
    <n v="-2.8403797035957026"/>
  </r>
  <r>
    <d v="2015-12-23T00:00:00"/>
    <n v="268330.39270501549"/>
    <n v="249584.21516385439"/>
    <n v="6534"/>
    <n v="41.066787986687402"/>
    <n v="18746.177541161102"/>
    <n v="6.986229682065645E-2"/>
    <n v="2.8690201317969239"/>
  </r>
  <r>
    <d v="2015-12-24T00:00:00"/>
    <n v="392228.13795848232"/>
    <n v="364396.19424887962"/>
    <n v="9540"/>
    <n v="41.11406058265014"/>
    <n v="27831.943709602696"/>
    <n v="7.0958559613968158E-2"/>
    <n v="2.9173945188262782"/>
  </r>
  <r>
    <d v="2015-12-25T00:00:00"/>
    <n v="133728.9837288514"/>
    <n v="124363.5572766095"/>
    <n v="3256"/>
    <n v="41.071555199278684"/>
    <n v="9365.4264522418962"/>
    <n v="7.0032884353860153E-2"/>
    <n v="2.8763594755042678"/>
  </r>
  <r>
    <d v="2015-12-26T00:00:00"/>
    <n v="82778.444048310368"/>
    <n v="76876.492698314294"/>
    <n v="2013"/>
    <n v="41.121929482518809"/>
    <n v="5901.951349996074"/>
    <n v="7.1298167268662754E-2"/>
    <n v="2.9319182066547809"/>
  </r>
  <r>
    <d v="2015-12-27T00:00:00"/>
    <n v="69522.836973940372"/>
    <n v="64616.07664627437"/>
    <n v="1692"/>
    <n v="41.089147147718897"/>
    <n v="4906.7603276660011"/>
    <n v="7.0577676936647862E-2"/>
    <n v="2.8999765529940906"/>
  </r>
  <r>
    <d v="2015-12-28T00:00:00"/>
    <n v="133021.2727953626"/>
    <n v="123500.7877896752"/>
    <n v="3234"/>
    <n v="41.132118984342178"/>
    <n v="9520.4850056873984"/>
    <n v="7.157114652130514E-2"/>
    <n v="2.943872914560111"/>
  </r>
  <r>
    <d v="2015-12-29T00:00:00"/>
    <n v="161267.52059183759"/>
    <n v="175378.1459152207"/>
    <n v="4592"/>
    <n v="35.119233578361843"/>
    <n v="-14110.625323383108"/>
    <n v="-8.7498246836054505E-2"/>
    <n v="-3.0728713683325584"/>
  </r>
  <r>
    <d v="2015-12-30T00:00:00"/>
    <n v="208583.21799035519"/>
    <n v="227060.26267849401"/>
    <n v="5945"/>
    <n v="35.08548662579566"/>
    <n v="-18477.04468813882"/>
    <n v="-8.8583563271102617E-2"/>
    <n v="-3.1079974244135946"/>
  </r>
  <r>
    <d v="2015-12-31T00:00:00"/>
    <n v="325457.52500147879"/>
    <n v="353929.73835499171"/>
    <n v="9266"/>
    <n v="35.123842542788559"/>
    <n v="-28472.213353512925"/>
    <n v="-8.7483653522479027E-2"/>
    <n v="-3.072762071391423"/>
  </r>
  <r>
    <d v="2016-01-01T00:00:00"/>
    <n v="111650.2397740787"/>
    <n v="121448.2838171389"/>
    <n v="3179"/>
    <n v="35.12118269080802"/>
    <n v="-9798.044043060203"/>
    <n v="-8.7756587562071386E-2"/>
    <n v="-3.0821151440893999"/>
  </r>
  <r>
    <d v="2016-01-02T00:00:00"/>
    <n v="262421.28186455759"/>
    <n v="285675.84571316058"/>
    <n v="7479"/>
    <n v="35.087749948463376"/>
    <n v="-23254.563848602993"/>
    <n v="-8.8615388520986174E-2"/>
    <n v="-3.1093145940102946"/>
  </r>
  <r>
    <d v="2016-01-03T00:00:00"/>
    <n v="164527.53891335521"/>
    <n v="179308.94953055491"/>
    <n v="4694"/>
    <n v="35.050604796198385"/>
    <n v="-14781.410617199697"/>
    <n v="-8.9841559138522098E-2"/>
    <n v="-3.149000983638623"/>
  </r>
  <r>
    <d v="2016-01-04T00:00:00"/>
    <n v="274990.1464991988"/>
    <n v="299576.24136966269"/>
    <n v="7843"/>
    <n v="35.061857261149918"/>
    <n v="-24586.094870463887"/>
    <n v="-8.9407184888115693E-2"/>
    <n v="-3.1347819546683522"/>
  </r>
  <r>
    <d v="2016-01-05T00:00:00"/>
    <n v="215737.84279871389"/>
    <n v="234642.0857481322"/>
    <n v="6150"/>
    <n v="35.079324032311199"/>
    <n v="-18904.242949418316"/>
    <n v="-8.7625994142604885E-2"/>
    <n v="-3.07386064218184"/>
  </r>
  <r>
    <d v="2016-01-06T00:00:00"/>
    <n v="98646.982697528802"/>
    <n v="91610.560001972306"/>
    <n v="2401"/>
    <n v="41.085790377979507"/>
    <n v="7036.4226955564955"/>
    <n v="7.1329325065436239E-2"/>
    <n v="2.9306216974412727"/>
  </r>
  <r>
    <d v="2016-01-07T00:00:00"/>
    <n v="74401.21529302049"/>
    <n v="68988.861259106357"/>
    <n v="1808"/>
    <n v="41.151114653219295"/>
    <n v="5412.3540339141327"/>
    <n v="7.2745505736676597E-2"/>
    <n v="2.9935586470764011"/>
  </r>
  <r>
    <d v="2016-01-08T00:00:00"/>
    <n v="106592.34299626789"/>
    <n v="99021.682920692168"/>
    <n v="2594"/>
    <n v="41.091882419532723"/>
    <n v="7570.6600755757245"/>
    <n v="7.1024426921929992E-2"/>
    <n v="2.9185273999906416"/>
  </r>
  <r>
    <d v="2016-01-09T00:00:00"/>
    <n v="134629.65819693019"/>
    <n v="124963.4655138471"/>
    <n v="3274"/>
    <n v="41.120848563509526"/>
    <n v="9666.1926830830926"/>
    <n v="7.1798389838766602E-2"/>
    <n v="2.9524107156637425"/>
  </r>
  <r>
    <d v="2016-01-10T00:00:00"/>
    <n v="90773.653057909149"/>
    <n v="84299.288239980437"/>
    <n v="2207"/>
    <n v="41.12988357857234"/>
    <n v="6474.364817928712"/>
    <n v="7.1324273066309049E-2"/>
    <n v="2.9335590475435942"/>
  </r>
  <r>
    <d v="2016-01-11T00:00:00"/>
    <n v="121373.06822441641"/>
    <n v="112550.43230873271"/>
    <n v="2949"/>
    <n v="41.157364606448425"/>
    <n v="8822.6359156836988"/>
    <n v="7.2690227286425838E-2"/>
    <n v="2.9917381877530347"/>
  </r>
  <r>
    <d v="2016-01-12T00:00:00"/>
    <n v="99445.557103979168"/>
    <n v="92226.518095758031"/>
    <n v="2417"/>
    <n v="41.144210634662464"/>
    <n v="7219.0390082211379"/>
    <n v="7.2592876126914258E-2"/>
    <n v="2.9867765859417204"/>
  </r>
  <r>
    <d v="2016-01-13T00:00:00"/>
    <n v="67587.54693007037"/>
    <n v="62760.356831462283"/>
    <n v="1644"/>
    <n v="41.111646551137696"/>
    <n v="4827.1900986080873"/>
    <n v="7.1421294570766888E-2"/>
    <n v="2.936247018618058"/>
  </r>
  <r>
    <d v="2016-01-14T00:00:00"/>
    <n v="61685.935238410369"/>
    <n v="57191.43931779157"/>
    <n v="1499"/>
    <n v="41.151391086331131"/>
    <n v="4494.4959206187996"/>
    <n v="7.2860951256522144E-2"/>
    <n v="2.9983295000792527"/>
  </r>
  <r>
    <d v="2016-01-15T00:00:00"/>
    <n v="150006.9297918239"/>
    <n v="139244.89576770909"/>
    <n v="3648"/>
    <n v="41.120320666618397"/>
    <n v="10762.034024114808"/>
    <n v="7.1743579040315711E-2"/>
    <n v="2.9501189759086643"/>
  </r>
  <r>
    <d v="2016-01-16T00:00:00"/>
    <n v="191287.35348550291"/>
    <n v="177577.2872134948"/>
    <n v="4652"/>
    <n v="41.119379511071131"/>
    <n v="13710.066272008116"/>
    <n v="7.1672622482317733E-2"/>
    <n v="2.9471337644041524"/>
  </r>
  <r>
    <d v="2016-01-17T00:00:00"/>
    <n v="92595.46083693915"/>
    <n v="86018.189605519379"/>
    <n v="2252"/>
    <n v="41.116989714448998"/>
    <n v="6577.2712314197706"/>
    <n v="7.1032328928114119E-2"/>
    <n v="2.9206355379306266"/>
  </r>
  <r>
    <d v="2016-01-18T00:00:00"/>
    <n v="96947.054288479165"/>
    <n v="89961.359503772677"/>
    <n v="2357"/>
    <n v="41.131546155485431"/>
    <n v="6985.6947847064876"/>
    <n v="7.2056802921722632E-2"/>
    <n v="2.9638077151915518"/>
  </r>
  <r>
    <d v="2016-01-19T00:00:00"/>
    <n v="70512.894500490496"/>
    <n v="65453.276391554507"/>
    <n v="1715"/>
    <n v="41.115390379294752"/>
    <n v="5059.6181089359889"/>
    <n v="7.1754508799816652E-2"/>
    <n v="2.9502146407790022"/>
  </r>
  <r>
    <d v="2016-01-20T00:00:00"/>
    <n v="159590.49006920139"/>
    <n v="182351.13884524151"/>
    <n v="4776"/>
    <n v="33.415094235594928"/>
    <n v="-22760.648776040121"/>
    <n v="-0.14261907940862067"/>
    <n v="-4.7656299782328562"/>
  </r>
  <r>
    <d v="2016-01-21T00:00:00"/>
    <n v="67046.273415800373"/>
    <n v="61894.262560530507"/>
    <n v="1628"/>
    <n v="41.183214628870012"/>
    <n v="5152.0108552698657"/>
    <n v="7.6842613210113542E-2"/>
    <n v="3.1646258324753473"/>
  </r>
  <r>
    <d v="2016-01-22T00:00:00"/>
    <n v="266949.23879314208"/>
    <n v="294322.92718273471"/>
    <n v="7806"/>
    <n v="34.197955264302088"/>
    <n v="-27373.688389592629"/>
    <n v="-0.10254267258204992"/>
    <n v="-3.5067497296429195"/>
  </r>
  <r>
    <d v="2016-01-23T00:00:00"/>
    <n v="315272.22477212187"/>
    <n v="346093.06700429099"/>
    <n v="9210"/>
    <n v="34.23151191879716"/>
    <n v="-30820.842232169118"/>
    <n v="-9.7759459319470207E-2"/>
    <n v="-3.346454096869611"/>
  </r>
  <r>
    <d v="2016-01-24T00:00:00"/>
    <n v="149138.92151888521"/>
    <n v="163505.7130198981"/>
    <n v="4351"/>
    <n v="34.276929790596462"/>
    <n v="-14366.791501012893"/>
    <n v="-9.6331603814056352E-2"/>
    <n v="-3.3019516205499637"/>
  </r>
  <r>
    <d v="2016-01-25T00:00:00"/>
    <n v="215171.03820176999"/>
    <n v="234621.59885970881"/>
    <n v="6278"/>
    <n v="34.273819401365081"/>
    <n v="-19450.560657938826"/>
    <n v="-9.0395811724901673E-2"/>
    <n v="-3.0982097256990802"/>
  </r>
  <r>
    <d v="2016-01-26T00:00:00"/>
    <n v="205197.8983571688"/>
    <n v="221931.58005274381"/>
    <n v="5992"/>
    <n v="34.24531013971442"/>
    <n v="-16733.681695575011"/>
    <n v="-8.1548991629769307E-2"/>
    <n v="-2.7926705099424249"/>
  </r>
  <r>
    <d v="2016-01-27T00:00:00"/>
    <n v="214452.24842869499"/>
    <n v="231730.23274989819"/>
    <n v="6265"/>
    <n v="34.230207251188347"/>
    <n v="-17277.984321203199"/>
    <n v="-8.0567979341788526E-2"/>
    <n v="-2.7578586306788826"/>
  </r>
  <r>
    <d v="2016-01-28T00:00:00"/>
    <n v="195767.9735540376"/>
    <n v="210639.84818927519"/>
    <n v="5723"/>
    <n v="34.207229347202095"/>
    <n v="-14871.874635237589"/>
    <n v="-7.5966841589298686E-2"/>
    <n v="-2.5986151730277109"/>
  </r>
  <r>
    <d v="2016-01-29T00:00:00"/>
    <n v="397984.32926288783"/>
    <n v="437198.92957971449"/>
    <n v="11900"/>
    <n v="33.444061282595612"/>
    <n v="-39214.600316826662"/>
    <n v="-9.8533026135618346E-2"/>
    <n v="-3.2953445644392154"/>
  </r>
  <r>
    <d v="2016-01-30T00:00:00"/>
    <n v="512603.10345302342"/>
    <n v="561872.20603298978"/>
    <n v="15345"/>
    <n v="33.405220166374939"/>
    <n v="-49269.102579966362"/>
    <n v="-9.6115498029717916E-2"/>
    <n v="-3.2107593730835036"/>
  </r>
  <r>
    <d v="2016-01-31T00:00:00"/>
    <n v="218104.0669391714"/>
    <n v="238662.19210478579"/>
    <n v="6525"/>
    <n v="33.425910642018607"/>
    <n v="-20558.125165614387"/>
    <n v="-9.425833022796401E-2"/>
    <n v="-3.1506705234658066"/>
  </r>
  <r>
    <d v="2016-02-01T00:00:00"/>
    <n v="339004.33688676252"/>
    <n v="371177.18688303168"/>
    <n v="10153"/>
    <n v="33.389573218434208"/>
    <n v="-32172.849996269157"/>
    <n v="-9.4903948107943642E-2"/>
    <n v="-3.1688023240686651"/>
  </r>
  <r>
    <d v="2016-02-02T00:00:00"/>
    <n v="278116.36932756339"/>
    <n v="295645.62910879822"/>
    <n v="8116"/>
    <n v="34.267665023110325"/>
    <n v="-17529.259781234839"/>
    <n v="-6.3028507899831707E-2"/>
    <n v="-2.1598397956178954"/>
  </r>
  <r>
    <d v="2016-02-03T00:00:00"/>
    <n v="264159.3006103735"/>
    <n v="280392.27359994513"/>
    <n v="7712"/>
    <n v="34.253021344706106"/>
    <n v="-16232.97298957163"/>
    <n v="-6.1451453543612859E-2"/>
    <n v="-2.1048979498925871"/>
  </r>
  <r>
    <d v="2016-02-04T00:00:00"/>
    <n v="197778.13374055881"/>
    <n v="209372.29223082791"/>
    <n v="5759"/>
    <n v="34.342443782003613"/>
    <n v="-11594.158490269096"/>
    <n v="-5.8622044161252267E-2"/>
    <n v="-2.0132242559939391"/>
  </r>
  <r>
    <d v="2016-02-05T00:00:00"/>
    <n v="325749.00890694692"/>
    <n v="345287.81149657938"/>
    <n v="9501"/>
    <n v="34.285760331222704"/>
    <n v="-19538.802589632454"/>
    <n v="-5.9981157441414919E-2"/>
    <n v="-2.0564995884256874"/>
  </r>
  <r>
    <d v="2016-02-06T00:00:00"/>
    <n v="371561.97638721432"/>
    <n v="393884.43303565029"/>
    <n v="10840"/>
    <n v="34.276935091071429"/>
    <n v="-22322.456648435968"/>
    <n v="-6.0077343934604219E-2"/>
    <n v="-2.0592672184904028"/>
  </r>
  <r>
    <d v="2016-02-07T00:00:00"/>
    <n v="174581.67684583139"/>
    <n v="185040.81733893289"/>
    <n v="5089"/>
    <n v="34.305694015687045"/>
    <n v="-10459.140493101499"/>
    <n v="-5.9909726393209628E-2"/>
    <n v="-2.0552447422089797"/>
  </r>
  <r>
    <d v="2016-02-08T00:00:00"/>
    <n v="208489.36941933131"/>
    <n v="221372.83694683231"/>
    <n v="6087"/>
    <n v="34.251580321887843"/>
    <n v="-12883.467527500994"/>
    <n v="-6.1794361810307376E-2"/>
    <n v="-2.116554546985542"/>
  </r>
  <r>
    <d v="2016-02-09T00:00:00"/>
    <n v="84495.166667640122"/>
    <n v="74682.266818099233"/>
    <n v="2053"/>
    <n v="41.15692482593284"/>
    <n v="9812.8998495408887"/>
    <n v="0.11613563516762697"/>
    <n v="4.7797856062059854"/>
  </r>
  <r>
    <d v="2016-02-10T00:00:00"/>
    <n v="76661.250030179392"/>
    <n v="66379.563604373863"/>
    <n v="1825"/>
    <n v="42.006164400098299"/>
    <n v="10281.686425805528"/>
    <n v="0.13411842908585389"/>
    <n v="5.6338007812633029"/>
  </r>
  <r>
    <d v="2016-02-11T00:00:00"/>
    <n v="64034.940459509773"/>
    <n v="55491.338529373483"/>
    <n v="1525"/>
    <n v="41.99012489148182"/>
    <n v="8543.6019301362903"/>
    <n v="0.13342093970616767"/>
    <n v="5.6023619214008464"/>
  </r>
  <r>
    <d v="2016-02-12T00:00:00"/>
    <n v="148839.97486826521"/>
    <n v="129583.4920673977"/>
    <n v="3542"/>
    <n v="42.021449708714066"/>
    <n v="19256.48280086751"/>
    <n v="0.12937708984371285"/>
    <n v="5.4366128743273601"/>
  </r>
  <r>
    <d v="2016-02-13T00:00:00"/>
    <n v="172541.50792952391"/>
    <n v="150538.98368314141"/>
    <n v="4105"/>
    <n v="42.032036036424827"/>
    <n v="22002.524246382498"/>
    <n v="0.12752018056646186"/>
    <n v="5.359932824940925"/>
  </r>
  <r>
    <d v="2016-02-14T00:00:00"/>
    <n v="87991.663002118541"/>
    <n v="76378.504638063911"/>
    <n v="2094"/>
    <n v="42.020851481431968"/>
    <n v="11613.158364054631"/>
    <n v="0.13198021230460236"/>
    <n v="5.5459208997395564"/>
  </r>
  <r>
    <d v="2016-02-15T00:00:00"/>
    <n v="123445.3815504276"/>
    <n v="108669.225381257"/>
    <n v="2940"/>
    <n v="41.988225017152246"/>
    <n v="14776.156169170601"/>
    <n v="0.11969792618879405"/>
    <n v="5.0259034589015652"/>
  </r>
  <r>
    <d v="2016-02-16T00:00:00"/>
    <n v="77344.691873669406"/>
    <n v="68269.248838410713"/>
    <n v="1841"/>
    <n v="42.012325841210973"/>
    <n v="9075.4430352586933"/>
    <n v="0.11733763255637537"/>
    <n v="4.9296268523947271"/>
  </r>
  <r>
    <d v="2016-02-17T00:00:00"/>
    <n v="158963.02488179519"/>
    <n v="167521.52586053711"/>
    <n v="4529"/>
    <n v="35.098923577344934"/>
    <n v="-8558.5009787419112"/>
    <n v="-5.3839570460526953E-2"/>
    <n v="-1.8897109690311131"/>
  </r>
  <r>
    <d v="2016-02-18T00:00:00"/>
    <n v="69598.07115293965"/>
    <n v="61492.968308179203"/>
    <n v="1658"/>
    <n v="41.977123735186758"/>
    <n v="8105.1028447604476"/>
    <n v="0.11645585445823246"/>
    <n v="4.8884818122801255"/>
  </r>
  <r>
    <d v="2016-02-19T00:00:00"/>
    <n v="161275.60219880519"/>
    <n v="143446.35832758571"/>
    <n v="3841"/>
    <n v="41.98792038500526"/>
    <n v="17829.243871219485"/>
    <n v="0.11055140162639909"/>
    <n v="4.6418234499399862"/>
  </r>
  <r>
    <d v="2016-02-20T00:00:00"/>
    <n v="325215.07679238252"/>
    <n v="345446.00184870971"/>
    <n v="9260"/>
    <n v="35.120418660084503"/>
    <n v="-20230.925056327193"/>
    <n v="-6.2207832600708814E-2"/>
    <n v="-2.1847651248733468"/>
  </r>
  <r>
    <d v="2016-02-21T00:00:00"/>
    <n v="96957.295844458073"/>
    <n v="86455.494378043557"/>
    <n v="2308"/>
    <n v="42.009226969002633"/>
    <n v="10501.801466414516"/>
    <n v="0.10831367949103937"/>
    <n v="4.5501739455868782"/>
  </r>
  <r>
    <d v="2016-02-22T00:00:00"/>
    <n v="85224.477091228793"/>
    <n v="75960.718021940367"/>
    <n v="2028"/>
    <n v="42.02390389113846"/>
    <n v="9263.759069288426"/>
    <n v="0.10869833861663954"/>
    <n v="4.5679285351520837"/>
  </r>
  <r>
    <d v="2016-02-23T00:00:00"/>
    <n v="54612.878841539881"/>
    <n v="49071.802537897172"/>
    <n v="1301"/>
    <n v="41.977616327086764"/>
    <n v="5541.0763036427088"/>
    <n v="0.10146098175341073"/>
    <n v="4.2590901642142267"/>
  </r>
  <r>
    <d v="2016-02-24T00:00:00"/>
    <n v="81530.612382324645"/>
    <n v="81738.0564373136"/>
    <n v="2213"/>
    <n v="36.841668496305758"/>
    <n v="-207.44405498895503"/>
    <n v="-2.544370131996306E-3"/>
    <n v="-9.373884093490964E-2"/>
  </r>
  <r>
    <d v="2016-02-25T00:00:00"/>
    <n v="160947.53264018759"/>
    <n v="162597.49684526821"/>
    <n v="4404"/>
    <n v="36.545761271613898"/>
    <n v="-1649.9642050806142"/>
    <n v="-1.0251565699793949E-2"/>
    <n v="-0.37465127272493509"/>
  </r>
  <r>
    <d v="2016-02-26T00:00:00"/>
    <n v="188736.24741743511"/>
    <n v="183103.23368799081"/>
    <n v="4935"/>
    <n v="38.244427034941261"/>
    <n v="5633.0137294442975"/>
    <n v="2.9845955965128138E-2"/>
    <n v="1.141441485196413"/>
  </r>
  <r>
    <d v="2016-02-27T00:00:00"/>
    <n v="215951.50786707399"/>
    <n v="210032.78807855889"/>
    <n v="5609"/>
    <n v="38.500892827076839"/>
    <n v="5918.7197885150963"/>
    <n v="2.7407633532979467E-2"/>
    <n v="1.0552183612970398"/>
  </r>
  <r>
    <d v="2016-02-28T00:00:00"/>
    <n v="134995.85449594259"/>
    <n v="129938.7057703585"/>
    <n v="3452"/>
    <n v="39.106562716089975"/>
    <n v="5057.1487255840912"/>
    <n v="3.7461511277267316E-2"/>
    <n v="1.4649909402039663"/>
  </r>
  <r>
    <d v="2016-02-29T00:00:00"/>
    <n v="163079.37804396759"/>
    <n v="160332.58940603069"/>
    <n v="4270"/>
    <n v="38.191891813575545"/>
    <n v="2746.7886379369011"/>
    <n v="1.6843261673443122E-2"/>
    <n v="0.64327602761988312"/>
  </r>
  <r>
    <d v="2016-03-01T00:00:00"/>
    <n v="180828.6740918264"/>
    <n v="182962.33699647631"/>
    <n v="4719"/>
    <n v="38.319278256373465"/>
    <n v="-2133.6629046499147"/>
    <n v="-1.1799361552396396E-2"/>
    <n v="-0.45214301857383232"/>
  </r>
  <r>
    <d v="2016-03-02T00:00:00"/>
    <n v="171196.1751944664"/>
    <n v="174428.680891675"/>
    <n v="4451"/>
    <n v="38.462407367887309"/>
    <n v="-3232.5056972086022"/>
    <n v="-1.8881880354725863E-2"/>
    <n v="-0.72624257407517456"/>
  </r>
  <r>
    <d v="2016-03-03T00:00:00"/>
    <n v="129719.0505263338"/>
    <n v="131961.93250828909"/>
    <n v="3364"/>
    <n v="38.560954377625983"/>
    <n v="-2242.8819819552882"/>
    <n v="-1.7290305262448468E-2"/>
    <n v="-0.66673067240050188"/>
  </r>
  <r>
    <d v="2016-03-04T00:00:00"/>
    <n v="142127.64209061259"/>
    <n v="144039.41368270031"/>
    <n v="3665"/>
    <n v="38.779711348052544"/>
    <n v="-1911.7715920877235"/>
    <n v="-1.345108920380798E-2"/>
    <n v="-0.52162935664057941"/>
  </r>
  <r>
    <d v="2016-03-05T00:00:00"/>
    <n v="152124.4078943276"/>
    <n v="153377.51203867729"/>
    <n v="3889"/>
    <n v="39.11658727033366"/>
    <n v="-1253.1041443496943"/>
    <n v="-8.23736415276736E-3"/>
    <n v="-0.32221757375924254"/>
  </r>
  <r>
    <d v="2016-03-06T00:00:00"/>
    <n v="74132.787023074285"/>
    <n v="74332.279484224229"/>
    <n v="1882"/>
    <n v="39.390428811410352"/>
    <n v="-199.49246114994457"/>
    <n v="-2.6910152600609946E-3"/>
    <n v="-0.10600024503185153"/>
  </r>
  <r>
    <d v="2016-03-07T00:00:00"/>
    <n v="91143.028607709275"/>
    <n v="95167.528732048944"/>
    <n v="2405"/>
    <n v="37.897309192394708"/>
    <n v="-4024.5001243396691"/>
    <n v="-4.4155874407702744E-2"/>
    <n v="-1.6733888250892595"/>
  </r>
  <r>
    <d v="2016-03-08T00:00:00"/>
    <n v="60528.093358145001"/>
    <n v="62342.881166359934"/>
    <n v="1577"/>
    <n v="38.381796676058975"/>
    <n v="-1814.7878082149327"/>
    <n v="-2.9982570200531928E-2"/>
    <n v="-1.1507849132624812"/>
  </r>
  <r>
    <d v="2016-03-09T00:00:00"/>
    <n v="38340.599611080237"/>
    <n v="35918.335153329201"/>
    <n v="913"/>
    <n v="41.994085006659624"/>
    <n v="2422.2644577510364"/>
    <n v="6.3177531971905163E-2"/>
    <n v="2.6530826481391419"/>
  </r>
  <r>
    <d v="2016-03-10T00:00:00"/>
    <n v="37453.006182510253"/>
    <n v="35108.200106536773"/>
    <n v="892"/>
    <n v="41.987675092500282"/>
    <n v="2344.8060759734799"/>
    <n v="6.2606618666259523E-2"/>
    <n v="2.6287063631989684"/>
  </r>
  <r>
    <d v="2016-03-11T00:00:00"/>
    <n v="77997.045012869392"/>
    <n v="73051.675542545359"/>
    <n v="1855"/>
    <n v="42.046924535239562"/>
    <n v="4945.3694703240326"/>
    <n v="6.3404574743928493E-2"/>
    <n v="2.6659673694469177"/>
  </r>
  <r>
    <d v="2016-03-12T00:00:00"/>
    <n v="79752.282678029282"/>
    <n v="74962.816397036033"/>
    <n v="1897"/>
    <n v="42.04126656722682"/>
    <n v="4789.4662809932488"/>
    <n v="6.0054284594322771E-2"/>
    <n v="2.5247581871340268"/>
  </r>
  <r>
    <d v="2016-03-13T00:00:00"/>
    <n v="37155.588484560249"/>
    <n v="34962.830504184181"/>
    <n v="883"/>
    <n v="42.078809155787368"/>
    <n v="2192.7579803760673"/>
    <n v="5.9015563198178196E-2"/>
    <n v="2.483304621037449"/>
  </r>
  <r>
    <d v="2016-03-14T00:00:00"/>
    <n v="45046.513214430241"/>
    <n v="42368.045353504087"/>
    <n v="1071"/>
    <n v="42.060236428039438"/>
    <n v="2678.4678609261537"/>
    <n v="5.9460048509773024E-2"/>
    <n v="2.5009036983437474"/>
  </r>
  <r>
    <d v="2016-03-15T00:00:00"/>
    <n v="55489.332757800243"/>
    <n v="52263.056988226643"/>
    <n v="1320"/>
    <n v="42.037373301363822"/>
    <n v="3226.2757695736"/>
    <n v="5.8142270040543537E-2"/>
    <n v="2.4441483102830301"/>
  </r>
  <r>
    <d v="2016-03-16T00:00:00"/>
    <n v="41893.303158000243"/>
    <n v="39495.455901503272"/>
    <n v="997"/>
    <n v="42.01936124172542"/>
    <n v="2397.8472564969707"/>
    <n v="5.7237006293189861E-2"/>
    <n v="2.4050624438284562"/>
  </r>
  <r>
    <d v="2016-03-17T00:00:00"/>
    <n v="34348.504189710133"/>
    <n v="32292.837602068419"/>
    <n v="817"/>
    <n v="42.042232790342879"/>
    <n v="2055.6665876417137"/>
    <n v="5.9847339385961817E-2"/>
    <n v="2.5161157743472629"/>
  </r>
  <r>
    <d v="2016-03-18T00:00:00"/>
    <n v="78276.831216934515"/>
    <n v="73746.758711538583"/>
    <n v="1866"/>
    <n v="41.948998508539397"/>
    <n v="4530.0725053959322"/>
    <n v="5.787245644680479E-2"/>
    <n v="2.4276915891725253"/>
  </r>
  <r>
    <d v="2016-03-19T00:00:00"/>
    <n v="92851.402660078791"/>
    <n v="87451.566175781234"/>
    <n v="2211"/>
    <n v="41.995206992346809"/>
    <n v="5399.836484297557"/>
    <n v="5.8155680254674304E-2"/>
    <n v="2.4422598300757832"/>
  </r>
  <r>
    <d v="2016-03-20T00:00:00"/>
    <n v="54845.789298270247"/>
    <n v="51625.511717785288"/>
    <n v="1304"/>
    <n v="42.059654369839144"/>
    <n v="3220.2775804849589"/>
    <n v="5.8715128758052564E-2"/>
    <n v="2.4695380218442935"/>
  </r>
  <r>
    <d v="2016-03-21T00:00:00"/>
    <n v="48037.799902380248"/>
    <n v="45187.641575720692"/>
    <n v="1143"/>
    <n v="42.027821436903103"/>
    <n v="2850.1583266595553"/>
    <n v="5.9331574977444616E-2"/>
    <n v="2.4935768387222708"/>
  </r>
  <r>
    <d v="2016-03-22T00:00:00"/>
    <n v="65905.723262160012"/>
    <n v="62023.881297700063"/>
    <n v="1573"/>
    <n v="41.898107604678962"/>
    <n v="3881.8419644599489"/>
    <n v="5.8899922075336987E-2"/>
    <n v="2.4677952730196751"/>
  </r>
  <r>
    <d v="2016-03-23T00:00:00"/>
    <n v="84870.05130086976"/>
    <n v="81472.827175989325"/>
    <n v="2065"/>
    <n v="41.099298450784389"/>
    <n v="3397.2241248804348"/>
    <n v="4.0028538604708251E-2"/>
    <n v="1.6451448546636489"/>
  </r>
  <r>
    <d v="2016-03-24T00:00:00"/>
    <n v="262459.50568130391"/>
    <n v="259298.45661843679"/>
    <n v="6588"/>
    <n v="39.839026363282315"/>
    <n v="3161.049062867125"/>
    <n v="1.2043949616766728E-2"/>
    <n v="0.47981922630041363"/>
  </r>
  <r>
    <d v="2016-03-25T00:00:00"/>
    <n v="228124.3980292739"/>
    <n v="222208.35038080389"/>
    <n v="5652"/>
    <n v="40.36171231940444"/>
    <n v="5916.0476484700048"/>
    <n v="2.593342798743882E-2"/>
    <n v="1.0467175598849974"/>
  </r>
  <r>
    <d v="2016-03-26T00:00:00"/>
    <n v="162929.49214412639"/>
    <n v="161434.81509850451"/>
    <n v="4103"/>
    <n v="39.70984453914852"/>
    <n v="1494.6770456218801"/>
    <n v="9.1737660625597385E-3"/>
    <n v="0.36428882418276387"/>
  </r>
  <r>
    <d v="2016-03-27T00:00:00"/>
    <n v="58359.83218482013"/>
    <n v="57681.569884933917"/>
    <n v="1466"/>
    <n v="39.808889621296132"/>
    <n v="678.26229988621344"/>
    <n v="1.1622074198880837E-2"/>
    <n v="0.46266186895376088"/>
  </r>
  <r>
    <d v="2016-03-28T00:00:00"/>
    <n v="85605.331920599157"/>
    <n v="85022.380920180585"/>
    <n v="2162"/>
    <n v="39.595435670952433"/>
    <n v="582.95100041857222"/>
    <n v="6.8097510673666003E-3"/>
    <n v="0.26963506032311391"/>
  </r>
  <r>
    <d v="2016-03-29T00:00:00"/>
    <n v="84836.414342129283"/>
    <n v="84595.217934805929"/>
    <n v="2155"/>
    <n v="39.367245634398742"/>
    <n v="241.19640732335392"/>
    <n v="2.8430763981921047E-3"/>
    <n v="0.11192408692499022"/>
  </r>
  <r>
    <d v="2016-03-30T00:00:00"/>
    <n v="64308.91421652049"/>
    <n v="68427.59466606575"/>
    <n v="1746"/>
    <n v="36.832138726529493"/>
    <n v="-4118.6804495452598"/>
    <n v="-6.4045249398522741E-2"/>
    <n v="-2.3589235106215694"/>
  </r>
  <r>
    <d v="2016-03-31T00:00:00"/>
    <n v="131168.48552294759"/>
    <n v="138589.10006426301"/>
    <n v="3554"/>
    <n v="36.907283489855821"/>
    <n v="-7420.6145413154154"/>
    <n v="-5.6573151025801835E-2"/>
    <n v="-2.0879613228236957"/>
  </r>
  <r>
    <d v="2016-04-01T00:00:00"/>
    <n v="232410.19797781549"/>
    <n v="245358.62998053379"/>
    <n v="6282"/>
    <n v="36.996211075742679"/>
    <n v="-12948.432002718298"/>
    <n v="-5.5713699809137804E-2"/>
    <n v="-2.0611957979494266"/>
  </r>
  <r>
    <d v="2016-04-02T00:00:00"/>
    <n v="195831.0974571179"/>
    <n v="205442.82809681169"/>
    <n v="5259"/>
    <n v="37.237326004395875"/>
    <n v="-9611.7306396937929"/>
    <n v="-4.9081738112602476E-2"/>
    <n v="-1.8276726829613601"/>
  </r>
  <r>
    <d v="2016-04-03T00:00:00"/>
    <n v="90716.547889139882"/>
    <n v="95543.133646196758"/>
    <n v="2446"/>
    <n v="37.087713773156125"/>
    <n v="-4826.5857570568769"/>
    <n v="-5.3205130368884891E-2"/>
    <n v="-1.9732566463846595"/>
  </r>
  <r>
    <d v="2016-04-04T00:00:00"/>
    <n v="131638.01960717639"/>
    <n v="130700.1889420074"/>
    <n v="3345"/>
    <n v="39.353668043998923"/>
    <n v="937.83066516899271"/>
    <n v="7.1243146012648292E-3"/>
    <n v="0.28036791185919063"/>
  </r>
  <r>
    <d v="2016-04-05T00:00:00"/>
    <n v="81910.872618989408"/>
    <n v="79969.510545293015"/>
    <n v="2048"/>
    <n v="39.995543270990922"/>
    <n v="1941.3620736963931"/>
    <n v="2.3700908214306177E-2"/>
    <n v="0.94793070004706692"/>
  </r>
  <r>
    <d v="2016-04-06T00:00:00"/>
    <n v="54821.908513709888"/>
    <n v="50800.008514759313"/>
    <n v="1303"/>
    <n v="42.073605919961544"/>
    <n v="4021.8999989505755"/>
    <n v="7.3363005922071775E-2"/>
    <n v="3.0866462002690525"/>
  </r>
  <r>
    <d v="2016-04-07T00:00:00"/>
    <n v="155615.41941446639"/>
    <n v="171592.12587915739"/>
    <n v="4413"/>
    <n v="35.262954773275865"/>
    <n v="-15976.706464691"/>
    <n v="-0.10266788808465446"/>
    <n v="-3.6203730941969181"/>
  </r>
  <r>
    <d v="2016-04-08T00:00:00"/>
    <n v="264086.89378034999"/>
    <n v="291378.57980277447"/>
    <n v="7494"/>
    <n v="35.239777659507602"/>
    <n v="-27291.686022424488"/>
    <n v="-0.10334358374150861"/>
    <n v="-3.6418049135874684"/>
  </r>
  <r>
    <d v="2016-04-09T00:00:00"/>
    <n v="272761.29754268879"/>
    <n v="298164.41609707451"/>
    <n v="7738"/>
    <n v="35.249586138884567"/>
    <n v="-25403.118554385728"/>
    <n v="-9.3133148959338663E-2"/>
    <n v="-3.2829049566277755"/>
  </r>
  <r>
    <d v="2016-04-10T00:00:00"/>
    <n v="104689.4279184585"/>
    <n v="113609.3042530743"/>
    <n v="2958"/>
    <n v="35.391963461277385"/>
    <n v="-8919.8763346157939"/>
    <n v="-8.5203219770800462E-2"/>
    <n v="-3.0155092409113569"/>
  </r>
  <r>
    <d v="2016-04-11T00:00:00"/>
    <n v="131170.5969337764"/>
    <n v="142022.81259344591"/>
    <n v="3713"/>
    <n v="35.327389424663721"/>
    <n v="-10852.215659669513"/>
    <n v="-8.2733599704119892E-2"/>
    <n v="-2.9227620952516866"/>
  </r>
  <r>
    <d v="2016-04-12T00:00:00"/>
    <n v="123179.4894003888"/>
    <n v="132714.96020410041"/>
    <n v="3504"/>
    <n v="35.153963869973971"/>
    <n v="-9535.470803711607"/>
    <n v="-7.7411189558653171E-2"/>
    <n v="-2.7213101608766004"/>
  </r>
  <r>
    <d v="2016-04-13T00:00:00"/>
    <n v="124431.0463716888"/>
    <n v="132889.05689693731"/>
    <n v="3534"/>
    <n v="35.209690540941935"/>
    <n v="-8458.0105252485082"/>
    <n v="-6.7973474240371881E-2"/>
    <n v="-2.3933249929961824"/>
  </r>
  <r>
    <d v="2016-04-14T00:00:00"/>
    <n v="162166.83599087509"/>
    <n v="172225.65270563861"/>
    <n v="4601"/>
    <n v="35.2459978245762"/>
    <n v="-10058.816714763525"/>
    <n v="-6.2027581985564059E-2"/>
    <n v="-2.1862240197269127"/>
  </r>
  <r>
    <d v="2016-04-15T00:00:00"/>
    <n v="354042.02323982882"/>
    <n v="373200.30598406307"/>
    <n v="10045"/>
    <n v="35.245597136866984"/>
    <n v="-19158.282744234253"/>
    <n v="-5.4113019039144943E-2"/>
    <n v="-1.9072456689133155"/>
  </r>
  <r>
    <d v="2016-04-16T00:00:00"/>
    <n v="327352.26139595878"/>
    <n v="345338.62806920632"/>
    <n v="9301"/>
    <n v="35.195383442206079"/>
    <n v="-17986.366673247539"/>
    <n v="-5.4944989830058293E-2"/>
    <n v="-1.9338099852970154"/>
  </r>
  <r>
    <d v="2016-04-17T00:00:00"/>
    <n v="164809.3030482539"/>
    <n v="175167.42875982969"/>
    <n v="4678"/>
    <n v="35.230718907279588"/>
    <n v="-10358.125711575791"/>
    <n v="-6.2849156691980393E-2"/>
    <n v="-2.2142209729747306"/>
  </r>
  <r>
    <d v="2016-04-18T00:00:00"/>
    <n v="151157.79430871521"/>
    <n v="159828.76503430531"/>
    <n v="4294"/>
    <n v="35.202094622430181"/>
    <n v="-8670.9707255901012"/>
    <n v="-5.7363702382961831E-2"/>
    <n v="-2.0193224791779461"/>
  </r>
  <r>
    <d v="2016-04-19T00:00:00"/>
    <n v="126895.93649753759"/>
    <n v="133726.28056152479"/>
    <n v="3606"/>
    <n v="35.1902208811807"/>
    <n v="-6830.3440639871988"/>
    <n v="-5.3826341902758576E-2"/>
    <n v="-1.8941608607840263"/>
  </r>
  <r>
    <d v="2016-04-20T00:00:00"/>
    <n v="166395.44582884011"/>
    <n v="179020.54245850781"/>
    <n v="4838"/>
    <n v="34.393436508648222"/>
    <n v="-12625.096629667707"/>
    <n v="-7.5874051520943078E-2"/>
    <n v="-2.6095693736394598"/>
  </r>
  <r>
    <d v="2016-04-21T00:00:00"/>
    <n v="167796.35478000139"/>
    <n v="182485.09893705399"/>
    <n v="4914"/>
    <n v="34.146592344322627"/>
    <n v="-14688.744157052599"/>
    <n v="-8.7539113566031168E-2"/>
    <n v="-2.989162425122629"/>
  </r>
  <r>
    <d v="2016-04-22T00:00:00"/>
    <n v="351146.01699924428"/>
    <n v="380098.15640387451"/>
    <n v="10269"/>
    <n v="34.194762586351573"/>
    <n v="-28952.13940463023"/>
    <n v="-8.2450428035732326E-2"/>
    <n v="-2.8193728118249322"/>
  </r>
  <r>
    <d v="2016-04-23T00:00:00"/>
    <n v="420738.8217596446"/>
    <n v="455415.34932802978"/>
    <n v="12317"/>
    <n v="34.159196375711993"/>
    <n v="-34676.52756838518"/>
    <n v="-8.2418179105409092E-2"/>
    <n v="-2.8153387649902721"/>
  </r>
  <r>
    <d v="2016-04-24T00:00:00"/>
    <n v="186166.15078643881"/>
    <n v="202391.17869529041"/>
    <n v="5453"/>
    <n v="34.140134015484833"/>
    <n v="-16225.027908851596"/>
    <n v="-8.7153480051613663E-2"/>
    <n v="-2.9754314888779749"/>
  </r>
  <r>
    <d v="2016-04-25T00:00:00"/>
    <n v="251449.52963919111"/>
    <n v="273255.0985307931"/>
    <n v="7372"/>
    <n v="34.108726212586966"/>
    <n v="-21805.568891601986"/>
    <n v="-8.6719465822390443E-2"/>
    <n v="-2.9578905170377086"/>
  </r>
  <r>
    <d v="2016-04-26T00:00:00"/>
    <n v="280321.81074676593"/>
    <n v="302469.83197523467"/>
    <n v="8211"/>
    <n v="34.13978939797417"/>
    <n v="-22148.021228468744"/>
    <n v="-7.9009268559828844E-2"/>
    <n v="-2.6973597891205388"/>
  </r>
  <r>
    <d v="2016-04-27T00:00:00"/>
    <n v="313434.93331366457"/>
    <n v="337931.11696619709"/>
    <n v="9182"/>
    <n v="34.135801929172793"/>
    <n v="-24496.18365253252"/>
    <n v="-7.8153967694527496E-2"/>
    <n v="-2.6678483611993595"/>
  </r>
  <r>
    <d v="2016-04-28T00:00:00"/>
    <n v="257324.60308093971"/>
    <n v="276852.17994257738"/>
    <n v="7520"/>
    <n v="34.218697218210067"/>
    <n v="-19527.576861637674"/>
    <n v="-7.5886940571692665E-2"/>
    <n v="-2.5967522422390523"/>
  </r>
  <r>
    <d v="2016-04-29T00:00:00"/>
    <n v="455554.33604822948"/>
    <n v="489215.06753789558"/>
    <n v="13321"/>
    <n v="34.198208546522743"/>
    <n v="-33660.731489666097"/>
    <n v="-7.388960838713747E-2"/>
    <n v="-2.5268922370442231"/>
  </r>
  <r>
    <d v="2016-04-30T00:00:00"/>
    <n v="556865.20327505236"/>
    <n v="598925.66788870073"/>
    <n v="16276"/>
    <n v="34.213885676766552"/>
    <n v="-42060.464613648364"/>
    <n v="-7.5530782613603964E-2"/>
    <n v="-2.5842015614185527"/>
  </r>
  <r>
    <d v="2016-05-01T00:00:00"/>
    <n v="354856.04492208688"/>
    <n v="380511.15915810911"/>
    <n v="10388"/>
    <n v="34.160189153069588"/>
    <n v="-25655.114236022229"/>
    <n v="-7.2297244483055467E-2"/>
    <n v="-2.4696875467868917"/>
  </r>
  <r>
    <d v="2016-05-02T00:00:00"/>
    <n v="283284.5812539708"/>
    <n v="304997.85181689629"/>
    <n v="8298"/>
    <n v="34.138898680883443"/>
    <n v="-21713.270562925492"/>
    <n v="-7.6648261147185676E-2"/>
    <n v="-2.6166872213696664"/>
  </r>
  <r>
    <d v="2016-05-03T00:00:00"/>
    <n v="297500.67396872578"/>
    <n v="319786.35946856107"/>
    <n v="8717"/>
    <n v="34.128791323703773"/>
    <n v="-22285.685499835294"/>
    <n v="-7.4909697522829929E-2"/>
    <n v="-2.5565774348784323"/>
  </r>
  <r>
    <d v="2016-05-04T00:00:00"/>
    <n v="285968.48778251972"/>
    <n v="305506.9982349475"/>
    <n v="8364"/>
    <n v="34.190397869741716"/>
    <n v="-19538.510452427785"/>
    <n v="-6.8323998227689017E-2"/>
    <n v="-2.3360246834562153"/>
  </r>
  <r>
    <d v="2016-05-05T00:00:00"/>
    <n v="237946.63267226369"/>
    <n v="254527.41550552609"/>
    <n v="6968"/>
    <n v="34.14848344894714"/>
    <n v="-16580.782833262405"/>
    <n v="-6.9682779903424738E-2"/>
    <n v="-2.3795612562087265"/>
  </r>
  <r>
    <d v="2016-05-06T00:00:00"/>
    <n v="340851.5058648595"/>
    <n v="364361.03286413848"/>
    <n v="9973"/>
    <n v="34.177429646531586"/>
    <n v="-23509.526999278984"/>
    <n v="-6.8972929838250499E-2"/>
    <n v="-2.3573174570619657"/>
  </r>
  <r>
    <d v="2016-05-07T00:00:00"/>
    <n v="388187.60143352812"/>
    <n v="414644.62349081138"/>
    <n v="11363"/>
    <n v="34.162422021783698"/>
    <n v="-26457.022057283262"/>
    <n v="-6.8155247513266265E-2"/>
    <n v="-2.3283483285473259"/>
  </r>
  <r>
    <d v="2016-05-08T00:00:00"/>
    <n v="139178.98405924521"/>
    <n v="148731.0905273041"/>
    <n v="4074"/>
    <n v="34.162735409731276"/>
    <n v="-9552.1064680588897"/>
    <n v="-6.8631816309226573E-2"/>
    <n v="-2.3446505812613867"/>
  </r>
  <r>
    <d v="2016-05-09T00:00:00"/>
    <n v="66400.30304726951"/>
    <n v="57741.738907512547"/>
    <n v="1579"/>
    <n v="42.05212352581983"/>
    <n v="8658.5641397569634"/>
    <n v="0.13039946720714579"/>
    <n v="5.483574502695987"/>
  </r>
  <r>
    <d v="2016-05-10T00:00:00"/>
    <n v="42723.524457810243"/>
    <n v="37112.985056990263"/>
    <n v="1016"/>
    <n v="42.050713049025831"/>
    <n v="5610.5394008199801"/>
    <n v="0.13132201689868597"/>
    <n v="5.5221844496259642"/>
  </r>
  <r>
    <d v="2016-05-11T00:00:00"/>
    <n v="35014.399481130247"/>
    <n v="30393.74011981647"/>
    <n v="832"/>
    <n v="42.084614760973857"/>
    <n v="4620.6593613137775"/>
    <n v="0.13196454686603767"/>
    <n v="5.5536771169636747"/>
  </r>
  <r>
    <d v="2016-05-12T00:00:00"/>
    <n v="27210.406631640119"/>
    <n v="23570.159155417459"/>
    <n v="647"/>
    <n v="42.056269909799255"/>
    <n v="3640.2474762226593"/>
    <n v="0.13378144345662951"/>
    <n v="5.6263484949345584"/>
  </r>
  <r>
    <d v="2016-05-13T00:00:00"/>
    <n v="79840.0882456494"/>
    <n v="69078.714144542624"/>
    <n v="1898"/>
    <n v="42.065378422365335"/>
    <n v="10761.374101106776"/>
    <n v="0.13478660078626828"/>
    <n v="5.6698493683386593"/>
  </r>
  <r>
    <d v="2016-05-14T00:00:00"/>
    <n v="82484.448292049157"/>
    <n v="71426.011644710306"/>
    <n v="1961"/>
    <n v="42.062441760351433"/>
    <n v="11058.436647338851"/>
    <n v="0.13406692869163309"/>
    <n v="5.6391823800810048"/>
  </r>
  <r>
    <d v="2016-05-15T00:00:00"/>
    <n v="51497.237336430007"/>
    <n v="44611.939679509756"/>
    <n v="1224"/>
    <n v="42.072906320612752"/>
    <n v="6885.297656920251"/>
    <n v="0.13370227245276858"/>
    <n v="5.625243183758375"/>
  </r>
  <r>
    <d v="2016-05-16T00:00:00"/>
    <n v="42871.832866800367"/>
    <n v="37139.308256889854"/>
    <n v="1019"/>
    <n v="42.072456199019008"/>
    <n v="5732.5246099105134"/>
    <n v="0.13371307514938879"/>
    <n v="5.6256374974587962"/>
  </r>
  <r>
    <d v="2016-05-17T00:00:00"/>
    <n v="39104.639102460249"/>
    <n v="33890.360432496309"/>
    <n v="930"/>
    <n v="42.047999034903491"/>
    <n v="5214.27866996394"/>
    <n v="0.13334169013302277"/>
    <n v="5.6067512580257421"/>
  </r>
  <r>
    <d v="2016-05-18T00:00:00"/>
    <n v="34406.750005710237"/>
    <n v="29884.33058936759"/>
    <n v="818"/>
    <n v="42.062041571772909"/>
    <n v="4522.4194163426473"/>
    <n v="0.1314398894284434"/>
    <n v="5.5286300933284194"/>
  </r>
  <r>
    <d v="2016-05-19T00:00:00"/>
    <n v="39403.658560350254"/>
    <n v="34229.631915798513"/>
    <n v="937"/>
    <n v="42.052997396318304"/>
    <n v="5174.0266445517409"/>
    <n v="0.1313082803371482"/>
    <n v="5.5219067711331276"/>
  </r>
  <r>
    <d v="2016-05-20T00:00:00"/>
    <n v="96830.902423738444"/>
    <n v="83926.003498834732"/>
    <n v="2302"/>
    <n v="42.063815127601409"/>
    <n v="12904.898924903711"/>
    <n v="0.13327252562855418"/>
    <n v="5.6059508796280237"/>
  </r>
  <r>
    <d v="2016-05-21T00:00:00"/>
    <n v="99380.394597328297"/>
    <n v="86179.513387184299"/>
    <n v="2363"/>
    <n v="42.056874565098731"/>
    <n v="13200.881210143998"/>
    <n v="0.13283184539195708"/>
    <n v="5.5864922599001261"/>
  </r>
  <r>
    <d v="2016-05-22T00:00:00"/>
    <n v="61656.181334069763"/>
    <n v="53463.734557835058"/>
    <n v="1466"/>
    <n v="42.057422465259044"/>
    <n v="8192.4467762347049"/>
    <n v="0.13287308099484504"/>
    <n v="5.5882993016607809"/>
  </r>
  <r>
    <d v="2016-05-23T00:00:00"/>
    <n v="69163.557365579516"/>
    <n v="59948.438707535541"/>
    <n v="1644"/>
    <n v="42.070290368357369"/>
    <n v="9215.1186580439753"/>
    <n v="0.13323662068646058"/>
    <n v="5.6053033199780868"/>
  </r>
  <r>
    <d v="2016-05-24T00:00:00"/>
    <n v="113112.8650211096"/>
    <n v="117414.6989296848"/>
    <n v="3224"/>
    <n v="35.084635552453349"/>
    <n v="-4301.8339085752086"/>
    <n v="-3.8031340712414832E-2"/>
    <n v="-1.3343157284662557"/>
  </r>
  <r>
    <d v="2016-05-25T00:00:00"/>
    <n v="253686.3024535861"/>
    <n v="268974.57069396519"/>
    <n v="7392"/>
    <n v="34.319034422833617"/>
    <n v="-15288.268240379082"/>
    <n v="-6.0264460842051927E-2"/>
    <n v="-2.0682181061118889"/>
  </r>
  <r>
    <d v="2016-05-26T00:00:00"/>
    <n v="210305.2919440362"/>
    <n v="223289.08457385481"/>
    <n v="6138"/>
    <n v="34.262836745525611"/>
    <n v="-12983.792629818607"/>
    <n v="-6.1737831272803585E-2"/>
    <n v="-2.1153132339228748"/>
  </r>
  <r>
    <d v="2016-05-27T00:00:00"/>
    <n v="364087.42429993051"/>
    <n v="386499.89642918651"/>
    <n v="10624"/>
    <n v="34.270277136665143"/>
    <n v="-22412.472129255999"/>
    <n v="-6.1557940849923158E-2"/>
    <n v="-2.1096076928893073"/>
  </r>
  <r>
    <d v="2016-05-28T00:00:00"/>
    <n v="397480.36947452551"/>
    <n v="421674.1018697652"/>
    <n v="11590"/>
    <n v="34.295113845946979"/>
    <n v="-24193.732395239698"/>
    <n v="-6.0867741537083062E-2"/>
    <n v="-2.0874661255599394"/>
  </r>
  <r>
    <d v="2016-05-29T00:00:00"/>
    <n v="204028.1767573524"/>
    <n v="216777.31572566379"/>
    <n v="5959"/>
    <n v="34.238660304976072"/>
    <n v="-12749.138968311396"/>
    <n v="-6.2487148446529285E-2"/>
    <n v="-2.1394762490873296"/>
  </r>
  <r>
    <d v="2016-05-30T00:00:00"/>
    <n v="172797.93513446639"/>
    <n v="183715.80719950749"/>
    <n v="5048"/>
    <n v="34.230969717604275"/>
    <n v="-10917.872065041098"/>
    <n v="-6.3182885006959857E-2"/>
    <n v="-2.1628114233441162"/>
  </r>
  <r>
    <d v="2016-05-31T00:00:00"/>
    <n v="258970.6541101849"/>
    <n v="274386.0154347705"/>
    <n v="7542"/>
    <n v="34.337132605434221"/>
    <n v="-15415.361324585596"/>
    <n v="-5.9525514107196031E-2"/>
    <n v="-2.0439354713054358"/>
  </r>
  <r>
    <d v="2016-06-01T00:00:00"/>
    <n v="368789.57262197061"/>
    <n v="391923.65961429192"/>
    <n v="10761"/>
    <n v="34.270938818136848"/>
    <n v="-23134.086992321303"/>
    <n v="-6.2729775215296019E-2"/>
    <n v="-2.1498082884788872"/>
  </r>
  <r>
    <d v="2016-06-02T00:00:00"/>
    <n v="278071.38656924601"/>
    <n v="295548.24164090329"/>
    <n v="8120"/>
    <n v="34.245244651384979"/>
    <n v="-17476.855071657279"/>
    <n v="-6.2850246072711807E-2"/>
    <n v="-2.1523220531597635"/>
  </r>
  <r>
    <d v="2016-06-03T00:00:00"/>
    <n v="373959.36203922692"/>
    <n v="396324.1786662704"/>
    <n v="10896"/>
    <n v="34.320793138695571"/>
    <n v="-22364.816627043474"/>
    <n v="-5.9805473260748289E-2"/>
    <n v="-2.0525712763439312"/>
  </r>
  <r>
    <d v="2016-06-04T00:00:00"/>
    <n v="402057.2528885355"/>
    <n v="426466.13217659132"/>
    <n v="11726"/>
    <n v="34.28767293949646"/>
    <n v="-24408.879288055818"/>
    <n v="-6.0709958874495977E-2"/>
    <n v="-2.0816032140589984"/>
  </r>
  <r>
    <d v="2016-06-05T00:00:00"/>
    <n v="205719.45323581621"/>
    <n v="218408.1820732757"/>
    <n v="6007"/>
    <n v="34.24662114796341"/>
    <n v="-12688.728837459494"/>
    <n v="-6.1679771348188465E-2"/>
    <n v="-2.1123237618544186"/>
  </r>
  <r>
    <d v="2016-06-06T00:00:00"/>
    <n v="177626.95012448641"/>
    <n v="188629.754225902"/>
    <n v="5185"/>
    <n v="34.257849590064879"/>
    <n v="-11002.80410141559"/>
    <n v="-6.1943326132124027E-2"/>
    <n v="-2.1220451497426405"/>
  </r>
  <r>
    <d v="2016-06-07T00:00:00"/>
    <n v="70441.907412239394"/>
    <n v="60910.748400180237"/>
    <n v="1675"/>
    <n v="42.054870096859339"/>
    <n v="9531.1590120591572"/>
    <n v="0.13530523749564316"/>
    <n v="5.6902441863039748"/>
  </r>
  <r>
    <d v="2016-06-08T00:00:00"/>
    <n v="162923.84958070019"/>
    <n v="173292.68113445409"/>
    <n v="4765"/>
    <n v="34.191783752507909"/>
    <n v="-10368.831553753902"/>
    <n v="-6.3642195912010813E-2"/>
    <n v="-2.1760402001582166"/>
  </r>
  <r>
    <d v="2016-06-09T00:00:00"/>
    <n v="138752.5276097676"/>
    <n v="143791.47808201631"/>
    <n v="3953"/>
    <n v="35.1005635238471"/>
    <n v="-5038.9504722487181"/>
    <n v="-3.6316098589716767E-2"/>
    <n v="-1.2747155254866476"/>
  </r>
  <r>
    <d v="2016-06-10T00:00:00"/>
    <n v="252458.26223048879"/>
    <n v="261502.38177856401"/>
    <n v="7190"/>
    <n v="35.112414774755045"/>
    <n v="-9044.1195480752212"/>
    <n v="-3.5824216914787051E-2"/>
    <n v="-1.2578747632927985"/>
  </r>
  <r>
    <d v="2016-06-11T00:00:00"/>
    <n v="293917.85248111701"/>
    <n v="311853.52053473581"/>
    <n v="8577"/>
    <n v="34.268141830607092"/>
    <n v="-17935.668053618807"/>
    <n v="-6.1022724214314608E-2"/>
    <n v="-2.0911353682661544"/>
  </r>
  <r>
    <d v="2016-06-12T00:00:00"/>
    <n v="138350.12182847521"/>
    <n v="143346.67460602429"/>
    <n v="3943"/>
    <n v="35.087527727231858"/>
    <n v="-4996.5527775490773"/>
    <n v="-3.6115275588580562E-2"/>
    <n v="-1.2671957335909403"/>
  </r>
  <r>
    <d v="2016-06-13T00:00:00"/>
    <n v="130067.2755641964"/>
    <n v="134950.56648943009"/>
    <n v="3707"/>
    <n v="35.086937028377776"/>
    <n v="-4883.2909252336831"/>
    <n v="-3.7544346985445017E-2"/>
    <n v="-1.3173161384498739"/>
  </r>
  <r>
    <d v="2016-06-14T00:00:00"/>
    <n v="107168.6610764994"/>
    <n v="111173.15847846519"/>
    <n v="3054"/>
    <n v="35.091244622298426"/>
    <n v="-4004.4974019657966"/>
    <n v="-3.736630990572231E-2"/>
    <n v="-1.3112303215343146"/>
  </r>
  <r>
    <d v="2016-06-15T00:00:00"/>
    <n v="224030.55444808619"/>
    <n v="237934.73415063301"/>
    <n v="6541"/>
    <n v="34.250199426400577"/>
    <n v="-13904.179702546826"/>
    <n v="-6.2063765082404382E-2"/>
    <n v="-2.125696331225627"/>
  </r>
  <r>
    <d v="2016-06-16T00:00:00"/>
    <n v="201918.22207274401"/>
    <n v="209095.56974137691"/>
    <n v="5749"/>
    <n v="35.122320764088364"/>
    <n v="-7177.3476686328941"/>
    <n v="-3.5545814513200047E-2"/>
    <n v="-1.2484514991533995"/>
  </r>
  <r>
    <d v="2016-06-17T00:00:00"/>
    <n v="329344.26830316131"/>
    <n v="341253.32963499142"/>
    <n v="9385"/>
    <n v="35.092623154305947"/>
    <n v="-11909.061331830104"/>
    <n v="-3.6159916773981372E-2"/>
    <n v="-1.2689463326403947"/>
  </r>
  <r>
    <d v="2016-06-18T00:00:00"/>
    <n v="308642.97722408187"/>
    <n v="327672.04148404137"/>
    <n v="9012"/>
    <n v="34.248000135827994"/>
    <n v="-19029.064259959501"/>
    <n v="-6.1653968060786185E-2"/>
    <n v="-2.1115251065201401"/>
  </r>
  <r>
    <d v="2016-06-19T00:00:00"/>
    <n v="134472.4066282764"/>
    <n v="139385.87617680739"/>
    <n v="3831"/>
    <n v="35.10112415251276"/>
    <n v="-4913.4695485309931"/>
    <n v="-3.6538868246132852E-2"/>
    <n v="-1.2825553506998155"/>
  </r>
  <r>
    <d v="2016-06-20T00:00:00"/>
    <n v="143809.72058396641"/>
    <n v="148953.91085321491"/>
    <n v="4097"/>
    <n v="35.101225429330341"/>
    <n v="-5144.1902692485019"/>
    <n v="-3.5770810542983811E-2"/>
    <n v="-1.2555992846591413"/>
  </r>
  <r>
    <d v="2016-06-21T00:00:00"/>
    <n v="123252.1510558476"/>
    <n v="127533.0092765032"/>
    <n v="3509"/>
    <n v="35.124579953219609"/>
    <n v="-4280.8582206556021"/>
    <n v="-3.4732523400065239E-2"/>
    <n v="-1.2199652951426623"/>
  </r>
  <r>
    <d v="2016-06-22T00:00:00"/>
    <n v="40067.15121186024"/>
    <n v="34559.084522627527"/>
    <n v="953"/>
    <n v="42.043180704995002"/>
    <n v="5508.0666892327135"/>
    <n v="0.13747088381971803"/>
    <n v="5.7797132101077793"/>
  </r>
  <r>
    <d v="2016-06-23T00:00:00"/>
    <n v="143752.73676064881"/>
    <n v="155659.53374373459"/>
    <n v="4305"/>
    <n v="33.392041059384162"/>
    <n v="-11906.796983085776"/>
    <n v="-8.2828315143041981E-2"/>
    <n v="-2.765806500136069"/>
  </r>
  <r>
    <d v="2016-06-24T00:00:00"/>
    <n v="389904.00855466258"/>
    <n v="422372.58158070029"/>
    <n v="11667"/>
    <n v="33.419388750721055"/>
    <n v="-32468.573026037717"/>
    <n v="-8.3273247552380025E-2"/>
    <n v="-2.7829410324880191"/>
  </r>
  <r>
    <d v="2016-06-25T00:00:00"/>
    <n v="461280.78558277438"/>
    <n v="498910.32902054378"/>
    <n v="13793"/>
    <n v="33.443107778059478"/>
    <n v="-37629.543437769404"/>
    <n v="-8.1576221281857361E-2"/>
    <n v="-2.7281623604559853"/>
  </r>
  <r>
    <d v="2016-06-26T00:00:00"/>
    <n v="221578.69682356139"/>
    <n v="240449.62229152219"/>
    <n v="6641"/>
    <n v="33.365260777527688"/>
    <n v="-18870.925467960798"/>
    <n v="-8.5165793185377078E-2"/>
    <n v="-2.8415788989550967"/>
  </r>
  <r>
    <d v="2016-06-27T00:00:00"/>
    <n v="253702.2229766188"/>
    <n v="274426.08027789328"/>
    <n v="7593"/>
    <n v="33.412646250048567"/>
    <n v="-20723.857301274489"/>
    <n v="-8.1685753708135231E-2"/>
    <n v="-2.7293371923185155"/>
  </r>
  <r>
    <d v="2016-06-28T00:00:00"/>
    <n v="200616.07618333891"/>
    <n v="217104.57971570609"/>
    <n v="6007"/>
    <n v="33.397049472838177"/>
    <n v="-16488.503532367176"/>
    <n v="-8.2189343177556079E-2"/>
    <n v="-2.7448815602409149"/>
  </r>
  <r>
    <d v="2016-06-29T00:00:00"/>
    <n v="211700.81315721021"/>
    <n v="229023.81073969579"/>
    <n v="6345"/>
    <n v="33.364982373082775"/>
    <n v="-17322.997582485579"/>
    <n v="-8.182773284683334E-2"/>
    <n v="-2.7301808640639211"/>
  </r>
  <r>
    <d v="2016-06-30T00:00:00"/>
    <n v="282757.71144459757"/>
    <n v="305894.18009482371"/>
    <n v="8482"/>
    <n v="33.336207432751422"/>
    <n v="-23136.468650226132"/>
    <n v="-8.1824359562194998E-2"/>
    <n v="-2.7277138234173699"/>
  </r>
  <r>
    <d v="2016-07-01T00:00:00"/>
    <n v="479010.15670774202"/>
    <n v="517742.19259753643"/>
    <n v="14344"/>
    <n v="33.394461566351225"/>
    <n v="-38732.03588979441"/>
    <n v="-8.0858485665526184E-2"/>
    <n v="-2.700225591870776"/>
  </r>
  <r>
    <d v="2016-07-02T00:00:00"/>
    <n v="454543.2857587894"/>
    <n v="490487.0246492626"/>
    <n v="13609"/>
    <n v="33.400197351663557"/>
    <n v="-35943.738890473207"/>
    <n v="-7.9076602859661033E-2"/>
    <n v="-2.6411741414118017"/>
  </r>
  <r>
    <d v="2016-07-03T00:00:00"/>
    <n v="242185.18070257761"/>
    <n v="261534.91203924711"/>
    <n v="7259"/>
    <n v="33.363435831736822"/>
    <n v="-19349.731336669502"/>
    <n v="-7.9896429998466703E-2"/>
    <n v="-2.6656194154386972"/>
  </r>
  <r>
    <d v="2016-07-04T00:00:00"/>
    <n v="281531.68555597891"/>
    <n v="304052.47699526697"/>
    <n v="8431"/>
    <n v="33.392442836671677"/>
    <n v="-22520.791439288063"/>
    <n v="-7.9993807428152153E-2"/>
    <n v="-2.671188641832293"/>
  </r>
  <r>
    <d v="2016-07-05T00:00:00"/>
    <n v="219363.2201356389"/>
    <n v="237026.35054084621"/>
    <n v="6577"/>
    <n v="33.353081972881085"/>
    <n v="-17663.13040520731"/>
    <n v="-8.0520017869384231E-2"/>
    <n v="-2.6855907564554218"/>
  </r>
  <r>
    <d v="2016-07-06T00:00:00"/>
    <n v="204005.58223455391"/>
    <n v="219722.89495004769"/>
    <n v="6098"/>
    <n v="33.454506761979978"/>
    <n v="-15717.312715493783"/>
    <n v="-7.7043542354752428E-2"/>
    <n v="-2.5774537086739557"/>
  </r>
  <r>
    <d v="2016-07-07T00:00:00"/>
    <n v="69579.068455469765"/>
    <n v="59598.917800192386"/>
    <n v="1654"/>
    <n v="42.067151424105056"/>
    <n v="9980.150655277379"/>
    <n v="0.14343610624313866"/>
    <n v="6.0339484010141344"/>
  </r>
  <r>
    <d v="2016-07-08T00:00:00"/>
    <n v="87184.740028708911"/>
    <n v="74654.520419296809"/>
    <n v="2073"/>
    <n v="42.057279319203523"/>
    <n v="12530.219609412103"/>
    <n v="0.14372033001745543"/>
    <n v="6.0444860633922346"/>
  </r>
  <r>
    <d v="2016-07-09T00:00:00"/>
    <n v="78700.43604833915"/>
    <n v="67367.383240402574"/>
    <n v="1871"/>
    <n v="42.063300934441024"/>
    <n v="11333.052807936576"/>
    <n v="0.14400241443358233"/>
    <n v="6.0572168936058661"/>
  </r>
  <r>
    <d v="2016-07-10T00:00:00"/>
    <n v="39809.559090600371"/>
    <n v="34091.569662440699"/>
    <n v="946"/>
    <n v="42.081986353700181"/>
    <n v="5717.9894281596717"/>
    <n v="0.14363357843643573"/>
    <n v="6.0443862876952128"/>
  </r>
  <r>
    <d v="2016-07-11T00:00:00"/>
    <n v="45839.238770190248"/>
    <n v="39231.195372207752"/>
    <n v="1090"/>
    <n v="42.054347495587386"/>
    <n v="6608.0433979824957"/>
    <n v="0.14415691829245161"/>
    <n v="6.0624251357637577"/>
  </r>
  <r>
    <d v="2016-07-12T00:00:00"/>
    <n v="36851.763746850367"/>
    <n v="31574.325469600979"/>
    <n v="876"/>
    <n v="42.06822345530864"/>
    <n v="5277.4382772493882"/>
    <n v="0.1432072102030785"/>
    <n v="6.0244729192344613"/>
  </r>
  <r>
    <d v="2016-07-13T00:00:00"/>
    <n v="33225.670471770121"/>
    <n v="28489.081398148792"/>
    <n v="790"/>
    <n v="42.057810723759644"/>
    <n v="4736.5890736213296"/>
    <n v="0.142558118658455"/>
    <n v="5.9956823716725687"/>
  </r>
  <r>
    <d v="2016-07-14T00:00:00"/>
    <n v="30423.391456740119"/>
    <n v="26053.796718671529"/>
    <n v="723"/>
    <n v="42.07937960821593"/>
    <n v="4369.5947380685902"/>
    <n v="0.1436261550354056"/>
    <n v="6.0436994994033064"/>
  </r>
  <r>
    <d v="2016-07-15T00:00:00"/>
    <n v="80345.637659439148"/>
    <n v="68788.094536384728"/>
    <n v="1910"/>
    <n v="42.065778879287514"/>
    <n v="11557.54312305442"/>
    <n v="0.14384779883188367"/>
    <n v="6.0510696979342509"/>
  </r>
  <r>
    <d v="2016-07-16T00:00:00"/>
    <n v="95297.338626638681"/>
    <n v="81655.857730858726"/>
    <n v="2266"/>
    <n v="42.055312721376296"/>
    <n v="13641.480895779954"/>
    <n v="0.14314650432395937"/>
    <n v="6.0200710043159553"/>
  </r>
  <r>
    <d v="2016-07-17T00:00:00"/>
    <n v="45324.054527670247"/>
    <n v="38809.808900032527"/>
    <n v="1078"/>
    <n v="42.044577483924165"/>
    <n v="6514.2456276377197"/>
    <n v="0.14372601250095102"/>
    <n v="6.0428994690516884"/>
  </r>
  <r>
    <d v="2016-07-18T00:00:00"/>
    <n v="51604.118408790237"/>
    <n v="44222.784476633977"/>
    <n v="1227"/>
    <n v="42.057146217432958"/>
    <n v="7381.3339321562598"/>
    <n v="0.14303769078436432"/>
    <n v="6.0157570759219725"/>
  </r>
  <r>
    <d v="2016-07-19T00:00:00"/>
    <n v="37870.119032340357"/>
    <n v="32436.79596517127"/>
    <n v="900"/>
    <n v="42.077910035933733"/>
    <n v="5433.3230671690872"/>
    <n v="0.14347256375215334"/>
    <n v="6.0370256301878742"/>
  </r>
  <r>
    <d v="2016-07-20T00:00:00"/>
    <n v="42723.524457810243"/>
    <n v="36607.390656376527"/>
    <n v="1016"/>
    <n v="42.050713049025831"/>
    <n v="6116.1338014337161"/>
    <n v="0.14315611549027135"/>
    <n v="6.0198167336946025"/>
  </r>
  <r>
    <d v="2016-07-21T00:00:00"/>
    <n v="35169.915809850128"/>
    <n v="30133.318639665871"/>
    <n v="836"/>
    <n v="42.069277284509724"/>
    <n v="5036.5971701842573"/>
    <n v="0.14320754128088201"/>
    <n v="6.0246377633782986"/>
  </r>
  <r>
    <d v="2016-07-22T00:00:00"/>
    <n v="61148.205011279642"/>
    <n v="52384.447482992728"/>
    <n v="1454"/>
    <n v="42.05516163086633"/>
    <n v="8763.7575282869147"/>
    <n v="0.14331994744032661"/>
    <n v="6.0273435545302023"/>
  </r>
  <r>
    <d v="2016-07-23T00:00:00"/>
    <n v="77171.701800149516"/>
    <n v="66113.832037556145"/>
    <n v="1835"/>
    <n v="42.05542332433216"/>
    <n v="11057.869762593371"/>
    <n v="0.14328917860629511"/>
    <n v="6.0260870640835806"/>
  </r>
  <r>
    <d v="2016-07-24T00:00:00"/>
    <n v="40881.354912270253"/>
    <n v="35019.112638998413"/>
    <n v="972"/>
    <n v="42.05900711138915"/>
    <n v="5862.2422732718405"/>
    <n v="0.14339647709455758"/>
    <n v="6.0311134498681485"/>
  </r>
  <r>
    <d v="2016-07-25T00:00:00"/>
    <n v="43085.59501152025"/>
    <n v="36887.366171890637"/>
    <n v="1024"/>
    <n v="42.075776378437745"/>
    <n v="6198.2288396296135"/>
    <n v="0.14385849465400971"/>
    <n v="6.0529578512007944"/>
  </r>
  <r>
    <d v="2016-07-26T00:00:00"/>
    <n v="43894.993432110241"/>
    <n v="37604.658419582847"/>
    <n v="1044"/>
    <n v="42.045012866005976"/>
    <n v="6290.3350125273937"/>
    <n v="0.14330415659490367"/>
    <n v="6.02522510778486"/>
  </r>
  <r>
    <d v="2016-07-27T00:00:00"/>
    <n v="67780.728886469529"/>
    <n v="58196.145986195363"/>
    <n v="1611"/>
    <n v="42.073698874282762"/>
    <n v="9584.5829002741666"/>
    <n v="0.14140572191733178"/>
    <n v="5.9494617630503823"/>
  </r>
  <r>
    <d v="2016-07-28T00:00:00"/>
    <n v="51907.943146500242"/>
    <n v="44544.630743101319"/>
    <n v="1234"/>
    <n v="42.064783749189822"/>
    <n v="7363.3124033989225"/>
    <n v="0.14185328789887477"/>
    <n v="5.9670278795777332"/>
  </r>
  <r>
    <d v="2016-07-29T00:00:00"/>
    <n v="93508.633886369164"/>
    <n v="80346.69413385824"/>
    <n v="2223"/>
    <n v="42.064162791888961"/>
    <n v="13161.939752510923"/>
    <n v="0.14075641152564791"/>
    <n v="5.92080060841697"/>
  </r>
  <r>
    <d v="2016-07-30T00:00:00"/>
    <n v="95343.59551217893"/>
    <n v="81874.288863507725"/>
    <n v="2267"/>
    <n v="42.057166083890131"/>
    <n v="13469.306648671205"/>
    <n v="0.14127122620365909"/>
    <n v="5.9414674233221021"/>
  </r>
  <r>
    <d v="2016-07-31T00:00:00"/>
    <n v="59514.992330639878"/>
    <n v="51145.403341245627"/>
    <n v="1415"/>
    <n v="42.060065251335601"/>
    <n v="8369.5889893942513"/>
    <n v="0.14062992637042426"/>
    <n v="5.9149038794305664"/>
  </r>
  <r>
    <d v="2016-08-01T00:00:00"/>
    <n v="65133.966200159761"/>
    <n v="55946.056559077122"/>
    <n v="1548"/>
    <n v="42.07620555565876"/>
    <n v="9187.9096410826387"/>
    <n v="0.1410617251964629"/>
    <n v="5.9353421454022213"/>
  </r>
  <r>
    <d v="2016-08-02T00:00:00"/>
    <n v="70641.253717499887"/>
    <n v="60629.552999890897"/>
    <n v="1679"/>
    <n v="42.073409003871284"/>
    <n v="10011.70071760899"/>
    <n v="0.14172597725468739"/>
    <n v="5.9628950075098217"/>
  </r>
  <r>
    <d v="2016-08-03T00:00:00"/>
    <n v="48442.171479960249"/>
    <n v="41610.783939948822"/>
    <n v="1152"/>
    <n v="42.050496076354385"/>
    <n v="6831.3875400114266"/>
    <n v="0.14102149699951957"/>
    <n v="5.9300239062599189"/>
  </r>
  <r>
    <d v="2016-08-04T00:00:00"/>
    <n v="46291.371916890253"/>
    <n v="39783.360668054564"/>
    <n v="1101"/>
    <n v="42.04484279463238"/>
    <n v="6508.0112488356899"/>
    <n v="0.14058799684139678"/>
    <n v="5.9110002260088006"/>
  </r>
  <r>
    <d v="2016-08-05T00:00:00"/>
    <n v="73453.14329216964"/>
    <n v="63386.492591361231"/>
    <n v="1746"/>
    <n v="42.069383328848588"/>
    <n v="10066.650700808408"/>
    <n v="0.13704860336292168"/>
    <n v="5.7655502295580803"/>
  </r>
  <r>
    <d v="2016-08-06T00:00:00"/>
    <n v="71508.897954089523"/>
    <n v="61500.574648541122"/>
    <n v="1700"/>
    <n v="42.064057620052658"/>
    <n v="10008.323305548402"/>
    <n v="0.13995913224636733"/>
    <n v="5.8872490032637659"/>
  </r>
  <r>
    <d v="2016-08-07T00:00:00"/>
    <n v="30066.12618285013"/>
    <n v="25872.48835407582"/>
    <n v="715"/>
    <n v="42.050526129860323"/>
    <n v="4193.63782877431"/>
    <n v="0.13948048389307904"/>
    <n v="5.8652277325514826"/>
  </r>
  <r>
    <d v="2016-08-08T00:00:00"/>
    <n v="37726.615903170241"/>
    <n v="32490.136024940541"/>
    <n v="897"/>
    <n v="42.058657640100606"/>
    <n v="5236.4798782297003"/>
    <n v="0.13880067832401763"/>
    <n v="5.8377702098435904"/>
  </r>
  <r>
    <d v="2016-08-09T00:00:00"/>
    <n v="30831.694626900251"/>
    <n v="26577.079448522589"/>
    <n v="733"/>
    <n v="42.062339190859824"/>
    <n v="4254.6151783776622"/>
    <n v="0.13799485334372655"/>
    <n v="5.8043863279367836"/>
  </r>
  <r>
    <d v="2016-08-10T00:00:00"/>
    <n v="146811.45511516009"/>
    <n v="155135.6291118357"/>
    <n v="4282"/>
    <n v="34.285720484624029"/>
    <n v="-8324.173996675614"/>
    <n v="-5.6699758136352946E-2"/>
    <n v="-1.9439920590087842"/>
  </r>
  <r>
    <d v="2016-08-11T00:00:00"/>
    <n v="99867.329619087352"/>
    <n v="103826.7014124711"/>
    <n v="2867"/>
    <n v="34.833390170592033"/>
    <n v="-3959.371793383747"/>
    <n v="-3.9646316853424741E-2"/>
    <n v="-1.3810156237822626"/>
  </r>
  <r>
    <d v="2016-08-12T00:00:00"/>
    <n v="210664.86278147751"/>
    <n v="220379.27667655639"/>
    <n v="6082"/>
    <n v="34.637432223195908"/>
    <n v="-9714.4138950788765"/>
    <n v="-4.6113119040433574E-2"/>
    <n v="-1.5972400353631826"/>
  </r>
  <r>
    <d v="2016-08-13T00:00:00"/>
    <n v="266271.03907309339"/>
    <n v="281658.41831912257"/>
    <n v="7771"/>
    <n v="34.264707125607181"/>
    <n v="-15387.379246029188"/>
    <n v="-5.778840725447891E-2"/>
    <n v="-1.9801028498300333"/>
  </r>
  <r>
    <d v="2016-08-14T00:00:00"/>
    <n v="123084.0390694151"/>
    <n v="129601.5272266189"/>
    <n v="3576"/>
    <n v="34.419474012699972"/>
    <n v="-6517.4881572037993"/>
    <n v="-5.2951529755439403E-2"/>
    <n v="-1.8225638023500557"/>
  </r>
  <r>
    <d v="2016-08-15T00:00:00"/>
    <n v="162727.52477714521"/>
    <n v="168580.1705714394"/>
    <n v="4649"/>
    <n v="35.00269407983334"/>
    <n v="-5852.6457942941925"/>
    <n v="-3.596592403349938E-2"/>
    <n v="-1.2589042362431044"/>
  </r>
  <r>
    <d v="2016-08-16T00:00:00"/>
    <n v="114708.9459940466"/>
    <n v="119758.061703468"/>
    <n v="3302"/>
    <n v="34.739232584508358"/>
    <n v="-5049.1157094213995"/>
    <n v="-4.4016756196883271E-2"/>
    <n v="-1.5291083311391276"/>
  </r>
  <r>
    <d v="2016-08-17T00:00:00"/>
    <n v="122318.90746898641"/>
    <n v="128298.34345694909"/>
    <n v="3536"/>
    <n v="34.592451207292534"/>
    <n v="-5979.4359879626863"/>
    <n v="-4.8883987861637453E-2"/>
    <n v="-1.6910169649215743"/>
  </r>
  <r>
    <d v="2016-08-18T00:00:00"/>
    <n v="112010.3445314969"/>
    <n v="117374.1915793604"/>
    <n v="3236"/>
    <n v="34.613827111092988"/>
    <n v="-5363.847047863499"/>
    <n v="-4.7887068558700889E-2"/>
    <n v="-1.6575547119479292"/>
  </r>
  <r>
    <d v="2016-08-19T00:00:00"/>
    <n v="229861.4702805799"/>
    <n v="241090.13355630499"/>
    <n v="6646"/>
    <n v="34.586438501441457"/>
    <n v="-11228.663275725092"/>
    <n v="-4.8849697437412402E-2"/>
    <n v="-1.6895370562330863"/>
  </r>
  <r>
    <d v="2016-08-20T00:00:00"/>
    <n v="249981.2496941947"/>
    <n v="262145.17733741982"/>
    <n v="7220"/>
    <n v="34.623441785899544"/>
    <n v="-12163.927643225121"/>
    <n v="-4.8659360084427977E-2"/>
    <n v="-1.6847545212223158"/>
  </r>
  <r>
    <d v="2016-08-21T00:00:00"/>
    <n v="136480.2491167002"/>
    <n v="143734.22721517089"/>
    <n v="3958"/>
    <n v="34.482124587342142"/>
    <n v="-7253.9780984706886"/>
    <n v="-5.3150387293534523E-2"/>
    <n v="-1.8327382765211442"/>
  </r>
  <r>
    <d v="2016-08-22T00:00:00"/>
    <n v="127369.80261433141"/>
    <n v="133350.16138222881"/>
    <n v="3672"/>
    <n v="34.686765417846246"/>
    <n v="-5980.3587678974"/>
    <n v="-4.6952720701040812E-2"/>
    <n v="-1.6286380086866559"/>
  </r>
  <r>
    <d v="2016-08-23T00:00:00"/>
    <n v="43537.728158220249"/>
    <n v="37649.387527999519"/>
    <n v="1035"/>
    <n v="42.065437834029225"/>
    <n v="5888.3406302207295"/>
    <n v="0.1352468509340207"/>
    <n v="5.6892180002132653"/>
  </r>
  <r>
    <d v="2016-08-24T00:00:00"/>
    <n v="120407.4132678633"/>
    <n v="127699.4159113958"/>
    <n v="3549"/>
    <n v="33.927138142536855"/>
    <n v="-7292.002643532498"/>
    <n v="-6.0561077143235421E-2"/>
    <n v="-2.0546640302993797"/>
  </r>
  <r>
    <d v="2016-08-25T00:00:00"/>
    <n v="226375.54313479611"/>
    <n v="240429.68554720341"/>
    <n v="6647"/>
    <n v="34.056799027350102"/>
    <n v="-14054.142412407295"/>
    <n v="-6.208330731221573E-2"/>
    <n v="-2.1143587200853458"/>
  </r>
  <r>
    <d v="2016-08-26T00:00:00"/>
    <n v="337900.17823359562"/>
    <n v="358772.25036410952"/>
    <n v="9908"/>
    <n v="34.103772530641464"/>
    <n v="-20872.072130513901"/>
    <n v="-6.1769935250181235E-2"/>
    <n v="-2.1065878210046329"/>
  </r>
  <r>
    <d v="2016-08-27T00:00:00"/>
    <n v="355069.54010681692"/>
    <n v="376755.56448352599"/>
    <n v="10393"/>
    <n v="34.164297133341378"/>
    <n v="-21686.024376709072"/>
    <n v="-6.1075428689786188E-2"/>
    <n v="-2.0865990933040579"/>
  </r>
  <r>
    <d v="2016-08-28T00:00:00"/>
    <n v="153893.68522805019"/>
    <n v="163401.32915405891"/>
    <n v="4507"/>
    <n v="34.145481523862919"/>
    <n v="-9507.6439260087209"/>
    <n v="-6.1780598157225516E-2"/>
    <n v="-2.1095282729107434"/>
  </r>
  <r>
    <d v="2016-08-29T00:00:00"/>
    <n v="159625.74092242509"/>
    <n v="169479.10605406531"/>
    <n v="4672"/>
    <n v="34.166468519354687"/>
    <n v="-9853.3651316402247"/>
    <n v="-6.1727921040183382E-2"/>
    <n v="-2.1090250709846372"/>
  </r>
  <r>
    <d v="2016-08-30T00:00:00"/>
    <n v="133961.9669928514"/>
    <n v="142299.91779184839"/>
    <n v="3924"/>
    <n v="34.139135319279156"/>
    <n v="-8337.9507989969861"/>
    <n v="-6.2241179240387856E-2"/>
    <n v="-2.1248600405191098"/>
  </r>
  <r>
    <d v="2016-08-31T00:00:00"/>
    <n v="236305.15636647621"/>
    <n v="250572.4533877949"/>
    <n v="6918"/>
    <n v="34.158016242624491"/>
    <n v="-14267.297021318693"/>
    <n v="-6.0376579337913863E-2"/>
    <n v="-2.0623441776985678"/>
  </r>
  <r>
    <d v="2016-09-01T00:00:00"/>
    <n v="313491.73511881451"/>
    <n v="333030.87570402719"/>
    <n v="9183"/>
    <n v="34.138270186084561"/>
    <n v="-19539.140585212677"/>
    <n v="-6.23274504439719E-2"/>
    <n v="-2.1277513432661088"/>
  </r>
  <r>
    <d v="2016-09-02T00:00:00"/>
    <n v="370355.00173424062"/>
    <n v="392493.08269182261"/>
    <n v="10830"/>
    <n v="34.197137740927111"/>
    <n v="-22138.080957581988"/>
    <n v="-5.9775298980484226E-2"/>
    <n v="-2.044144132740719"/>
  </r>
  <r>
    <d v="2016-09-03T00:00:00"/>
    <n v="369091.05539249809"/>
    <n v="391842.50139780319"/>
    <n v="10800"/>
    <n v="34.1750977215276"/>
    <n v="-22751.446005305101"/>
    <n v="-6.164182434903713E-2"/>
    <n v="-2.1066153708615833"/>
  </r>
  <r>
    <d v="2016-09-04T00:00:00"/>
    <n v="209026.01967195861"/>
    <n v="222163.72890927369"/>
    <n v="6119"/>
    <n v="34.160160103278088"/>
    <n v="-13137.709237315081"/>
    <n v="-6.2852027981651029E-2"/>
    <n v="-2.1470353386689132"/>
  </r>
  <r>
    <d v="2016-09-05T00:00:00"/>
    <n v="228177.31678002991"/>
    <n v="242589.58721854401"/>
    <n v="6685"/>
    <n v="34.132732502622275"/>
    <n v="-14412.270438514097"/>
    <n v="-6.3162590576029853E-2"/>
    <n v="-2.1559118083042779"/>
  </r>
  <r>
    <d v="2016-09-06T00:00:00"/>
    <n v="154494.7820491702"/>
    <n v="164108.82644458601"/>
    <n v="4519"/>
    <n v="34.187825193443281"/>
    <n v="-9614.0443954158109"/>
    <n v="-6.2228926232317683E-2"/>
    <n v="-2.1274716520061543"/>
  </r>
  <r>
    <d v="2016-09-07T00:00:00"/>
    <n v="50736.474172200127"/>
    <n v="43830.196852872301"/>
    <n v="1206"/>
    <n v="42.07004491890558"/>
    <n v="6906.2773193278263"/>
    <n v="0.13612056083928592"/>
    <n v="5.7265981088953781"/>
  </r>
  <r>
    <d v="2016-09-08T00:00:00"/>
    <n v="43292.149236510253"/>
    <n v="37391.680889456111"/>
    <n v="1029"/>
    <n v="42.072059510699951"/>
    <n v="5900.4683470541422"/>
    <n v="0.13629418846403696"/>
    <n v="5.7341772080215181"/>
  </r>
  <r>
    <d v="2016-09-09T00:00:00"/>
    <n v="77335.918597634154"/>
    <n v="69612.126701887464"/>
    <n v="1917"/>
    <n v="40.342158892871232"/>
    <n v="7723.79189574669"/>
    <n v="9.987328056361866E-2"/>
    <n v="4.029103753649812"/>
  </r>
  <r>
    <d v="2016-09-10T00:00:00"/>
    <n v="85070.234889733911"/>
    <n v="76591.852917484997"/>
    <n v="2108"/>
    <n v="40.355898904048345"/>
    <n v="8478.3819722489134"/>
    <n v="9.9663319176659118E-2"/>
    <n v="4.0220028331351578"/>
  </r>
  <r>
    <d v="2016-09-11T00:00:00"/>
    <n v="48831.666105370241"/>
    <n v="44014.232018730218"/>
    <n v="1211"/>
    <n v="40.323423703856513"/>
    <n v="4817.4340866400235"/>
    <n v="9.8653895532559516E-2"/>
    <n v="3.978062829595395"/>
  </r>
  <r>
    <d v="2016-09-12T00:00:00"/>
    <n v="52075.157176600122"/>
    <n v="46884.142508087811"/>
    <n v="1291"/>
    <n v="40.337069850193743"/>
    <n v="5191.0146685123109"/>
    <n v="9.9683130113429289E-2"/>
    <n v="4.0209253822713489"/>
  </r>
  <r>
    <d v="2016-09-13T00:00:00"/>
    <n v="30424.72625669013"/>
    <n v="27398.58812689369"/>
    <n v="755"/>
    <n v="40.297650671112756"/>
    <n v="3026.1381297964399"/>
    <n v="9.9463117737370557E-2"/>
    <n v="4.0081299732403179"/>
  </r>
  <r>
    <d v="2016-09-14T00:00:00"/>
    <n v="20495.113025005001"/>
    <n v="18375.052607697839"/>
    <n v="508"/>
    <n v="40.344710679143702"/>
    <n v="2120.0604173071624"/>
    <n v="0.10344224082690294"/>
    <n v="4.173347278163706"/>
  </r>
  <r>
    <d v="2016-09-15T00:00:00"/>
    <n v="40742.171681120242"/>
    <n v="36464.759814940677"/>
    <n v="1010"/>
    <n v="40.33878384269331"/>
    <n v="4277.4118661795655"/>
    <n v="0.10498733105485639"/>
    <n v="4.235061253643134"/>
  </r>
  <r>
    <d v="2016-09-16T00:00:00"/>
    <n v="69864.836990219526"/>
    <n v="62545.19068453311"/>
    <n v="1733"/>
    <n v="40.314389492336716"/>
    <n v="7319.6463056864159"/>
    <n v="0.10476867364209413"/>
    <n v="4.2236851158028941"/>
  </r>
  <r>
    <d v="2016-09-17T00:00:00"/>
    <n v="100120.7110532329"/>
    <n v="89572.407615025208"/>
    <n v="2482"/>
    <n v="40.338723228538633"/>
    <n v="10548.303438207688"/>
    <n v="0.10535585821598181"/>
    <n v="4.2499208050796486"/>
  </r>
  <r>
    <d v="2016-09-18T00:00:00"/>
    <n v="49825.097035430132"/>
    <n v="44593.796883395269"/>
    <n v="1235"/>
    <n v="40.344208125854358"/>
    <n v="5231.3001520348625"/>
    <n v="0.10499327574444937"/>
    <n v="4.2358705684492817"/>
  </r>
  <r>
    <d v="2016-09-19T00:00:00"/>
    <n v="46566.462052040253"/>
    <n v="41660.440426083711"/>
    <n v="1155"/>
    <n v="40.317283161939613"/>
    <n v="4906.0216259565423"/>
    <n v="0.10535525804974893"/>
    <n v="4.2476377713909459"/>
  </r>
  <r>
    <d v="2016-09-20T00:00:00"/>
    <n v="37923.765855785372"/>
    <n v="34031.14948711513"/>
    <n v="940"/>
    <n v="40.3444317614738"/>
    <n v="3892.6163686702421"/>
    <n v="0.10264319169865387"/>
    <n v="4.141081243266215"/>
  </r>
  <r>
    <d v="2016-09-21T00:00:00"/>
    <n v="50084.812702065246"/>
    <n v="44832.212598977239"/>
    <n v="1241"/>
    <n v="40.358430863872073"/>
    <n v="5252.600103088007"/>
    <n v="0.10487410893065825"/>
    <n v="4.2325544746881603"/>
  </r>
  <r>
    <d v="2016-09-22T00:00:00"/>
    <n v="41885.828278280373"/>
    <n v="37565.478590927647"/>
    <n v="1039"/>
    <n v="40.313597957921438"/>
    <n v="4320.3496873527256"/>
    <n v="0.10314585779823328"/>
    <n v="4.158180642302912"/>
  </r>
  <r>
    <d v="2016-09-23T00:00:00"/>
    <n v="147503.57315832519"/>
    <n v="131964.51579369849"/>
    <n v="3657"/>
    <n v="40.334583855161384"/>
    <n v="15539.0573646267"/>
    <n v="0.1053469894451141"/>
    <n v="4.2491269796627567"/>
  </r>
  <r>
    <d v="2016-09-24T00:00:00"/>
    <n v="151639.18384341139"/>
    <n v="135498.16319719431"/>
    <n v="3758"/>
    <n v="40.351033486804518"/>
    <n v="16141.020646217075"/>
    <n v="0.10644360011120167"/>
    <n v="4.2951092725431277"/>
  </r>
  <r>
    <d v="2016-09-25T00:00:00"/>
    <n v="72457.297587654524"/>
    <n v="64758.504173580448"/>
    <n v="1797"/>
    <n v="40.321256309212309"/>
    <n v="7698.7934140740763"/>
    <n v="0.1062528367796292"/>
    <n v="4.2842478653723299"/>
  </r>
  <r>
    <d v="2016-09-26T00:00:00"/>
    <n v="67355.061182414633"/>
    <n v="60179.020849316512"/>
    <n v="1671"/>
    <n v="40.308235297674827"/>
    <n v="7176.0403330981208"/>
    <n v="0.10654047679748339"/>
    <n v="4.2944586074794255"/>
  </r>
  <r>
    <d v="2016-09-27T00:00:00"/>
    <n v="58941.792828474892"/>
    <n v="52812.7825145229"/>
    <n v="1462"/>
    <n v="40.315863767766686"/>
    <n v="6129.0103139519924"/>
    <n v="0.10398411754776241"/>
    <n v="4.1922095170670266"/>
  </r>
  <r>
    <d v="2016-09-28T00:00:00"/>
    <n v="58796.785015724643"/>
    <n v="57168.560498432882"/>
    <n v="1581"/>
    <n v="37.189617340749301"/>
    <n v="1628.224517291761"/>
    <n v="2.7692407277988208E-2"/>
    <n v="1.0298700299125623"/>
  </r>
  <r>
    <d v="2016-09-29T00:00:00"/>
    <n v="57019.389671394638"/>
    <n v="55187.383906271898"/>
    <n v="1534"/>
    <n v="37.170397438979556"/>
    <n v="1832.0057651227398"/>
    <n v="3.2129522530505383E-2"/>
    <n v="1.1942671219835332"/>
  </r>
  <r>
    <d v="2016-09-30T00:00:00"/>
    <n v="155918.3825994826"/>
    <n v="151036.44551858699"/>
    <n v="4216"/>
    <n v="36.982538567239708"/>
    <n v="4881.9370808956155"/>
    <n v="3.1310849942794469E-2"/>
    <n v="1.1579547155824514"/>
  </r>
  <r>
    <d v="2016-10-01T00:00:00"/>
    <n v="208489.09032479019"/>
    <n v="201416.83759006459"/>
    <n v="5632"/>
    <n v="37.018659503691438"/>
    <n v="7072.2527347255964"/>
    <n v="3.392145231056571E-2"/>
    <n v="1.2557266929555391"/>
  </r>
  <r>
    <d v="2016-10-02T00:00:00"/>
    <n v="118580.4725762977"/>
    <n v="113346.95726852609"/>
    <n v="3173"/>
    <n v="37.371721580932146"/>
    <n v="5233.5153077716095"/>
    <n v="4.4134714545046465E-2"/>
    <n v="1.6493902640313929"/>
  </r>
  <r>
    <d v="2016-10-03T00:00:00"/>
    <n v="142758.8811215114"/>
    <n v="126506.34468214821"/>
    <n v="3540"/>
    <n v="40.327367548449544"/>
    <n v="16252.53643936319"/>
    <n v="0.11384606205711011"/>
    <n v="4.5911119885206748"/>
  </r>
  <r>
    <d v="2016-10-04T00:00:00"/>
    <n v="96620.986929783307"/>
    <n v="85491.833244422392"/>
    <n v="2397"/>
    <n v="40.30913096778611"/>
    <n v="11129.153685360914"/>
    <n v="0.11518360595352567"/>
    <n v="4.6429510577225344"/>
  </r>
  <r>
    <d v="2016-10-05T00:00:00"/>
    <n v="78861.594940484283"/>
    <n v="69675.429153985417"/>
    <n v="1955"/>
    <n v="40.338411734263062"/>
    <n v="9186.1657864988665"/>
    <n v="0.11648465635816184"/>
    <n v="4.6988060288996758"/>
  </r>
  <r>
    <d v="2016-10-06T00:00:00"/>
    <n v="70279.474392869641"/>
    <n v="61976.305791476298"/>
    <n v="1740"/>
    <n v="40.390502524637725"/>
    <n v="8303.1686013933431"/>
    <n v="0.11814500141218699"/>
    <n v="4.7719359778122659"/>
  </r>
  <r>
    <d v="2016-10-07T00:00:00"/>
    <n v="87748.862891213546"/>
    <n v="77446.609435800405"/>
    <n v="2176"/>
    <n v="40.325764196329757"/>
    <n v="10302.253455413142"/>
    <n v="0.11740611919023199"/>
    <n v="4.7344914776714804"/>
  </r>
  <r>
    <d v="2016-10-08T00:00:00"/>
    <n v="92053.325769973191"/>
    <n v="81209.248347010551"/>
    <n v="2283"/>
    <n v="40.321211462975555"/>
    <n v="10844.07742296264"/>
    <n v="0.1178021253687269"/>
    <n v="4.7499244077803944"/>
  </r>
  <r>
    <d v="2016-10-09T00:00:00"/>
    <n v="51751.383246910009"/>
    <n v="45607.234099697387"/>
    <n v="1284"/>
    <n v="40.304815612858263"/>
    <n v="6144.1491472126218"/>
    <n v="0.11872434632130299"/>
    <n v="4.7851628872372443"/>
  </r>
  <r>
    <d v="2016-10-10T00:00:00"/>
    <n v="50934.983193855121"/>
    <n v="44983.777302442017"/>
    <n v="1263"/>
    <n v="40.328569432981091"/>
    <n v="5951.2058914131048"/>
    <n v="0.11683926288467035"/>
    <n v="4.7119603257427594"/>
  </r>
  <r>
    <d v="2016-10-11T00:00:00"/>
    <n v="36113.934872670237"/>
    <n v="31885.288450330809"/>
    <n v="896"/>
    <n v="40.305730884676606"/>
    <n v="4228.6464223394287"/>
    <n v="0.11709182168181624"/>
    <n v="4.7194714535038269"/>
  </r>
  <r>
    <d v="2016-10-12T00:00:00"/>
    <n v="31023.359765175119"/>
    <n v="27817.642466410722"/>
    <n v="768"/>
    <n v="40.394999694238436"/>
    <n v="3205.7172987643971"/>
    <n v="0.10333237028579137"/>
    <n v="4.1741110660994751"/>
  </r>
  <r>
    <d v="2016-10-13T00:00:00"/>
    <n v="22334.212530659999"/>
    <n v="19704.093150736491"/>
    <n v="521"/>
    <n v="42.86797030836852"/>
    <n v="2630.1193799235079"/>
    <n v="0.11776190346146873"/>
    <n v="5.0482137810432013"/>
  </r>
  <r>
    <d v="2016-10-14T00:00:00"/>
    <n v="69440.928795190252"/>
    <n v="62070.751184300032"/>
    <n v="1618"/>
    <n v="42.917755744864188"/>
    <n v="7370.1776108902195"/>
    <n v="0.10613593076538323"/>
    <n v="4.5551159523425335"/>
  </r>
  <r>
    <d v="2016-10-15T00:00:00"/>
    <n v="92159.029791471577"/>
    <n v="83371.817021350085"/>
    <n v="2147"/>
    <n v="42.924559753829335"/>
    <n v="8787.2127701214922"/>
    <n v="9.534836456074175E-2"/>
    <n v="4.092786572017463"/>
  </r>
  <r>
    <d v="2016-10-16T00:00:00"/>
    <n v="57296.28785375024"/>
    <n v="52701.294613812352"/>
    <n v="1335"/>
    <n v="42.918567680711789"/>
    <n v="4594.9932399378886"/>
    <n v="8.0197049618060554E-2"/>
    <n v="3.4419425018261336"/>
  </r>
  <r>
    <d v="2016-10-17T00:00:00"/>
    <n v="57184.941268830247"/>
    <n v="51764.937371772758"/>
    <n v="1332"/>
    <n v="42.931637589211896"/>
    <n v="5420.0038970574897"/>
    <n v="9.4780265167672156E-2"/>
    <n v="4.0690719947879055"/>
  </r>
  <r>
    <d v="2016-10-18T00:00:00"/>
    <n v="40951.10427692964"/>
    <n v="37288.624545278682"/>
    <n v="954"/>
    <n v="42.925685824873838"/>
    <n v="3662.4797316509575"/>
    <n v="8.9435432726884118E-2"/>
    <n v="3.8390772868458676"/>
  </r>
  <r>
    <d v="2016-10-19T00:00:00"/>
    <n v="37672.447294289763"/>
    <n v="33678.459271288069"/>
    <n v="877"/>
    <n v="42.956040244344088"/>
    <n v="3993.9880230016934"/>
    <n v="0.10601880976304627"/>
    <n v="4.5541482588388753"/>
  </r>
  <r>
    <d v="2016-10-20T00:00:00"/>
    <n v="38648.137519559627"/>
    <n v="35038.068691629327"/>
    <n v="906"/>
    <n v="42.657988432185022"/>
    <n v="3610.0688279302994"/>
    <n v="9.3408610598719327E-2"/>
    <n v="3.9846234303866441"/>
  </r>
  <r>
    <d v="2016-10-21T00:00:00"/>
    <n v="96020.545374096837"/>
    <n v="86810.277533434695"/>
    <n v="2249"/>
    <n v="42.694773398886987"/>
    <n v="9210.2678406621417"/>
    <n v="9.5919761804922704E-2"/>
    <n v="4.0952724947363901"/>
  </r>
  <r>
    <d v="2016-10-22T00:00:00"/>
    <n v="105662.59415837259"/>
    <n v="95930.016514689429"/>
    <n v="2472"/>
    <n v="42.743767863419336"/>
    <n v="9732.5776436831657"/>
    <n v="9.2109963049889457E-2"/>
    <n v="3.9371268785126077"/>
  </r>
  <r>
    <d v="2016-10-23T00:00:00"/>
    <n v="54738.483516835127"/>
    <n v="49990.519289317977"/>
    <n v="1280"/>
    <n v="42.764440247527446"/>
    <n v="4747.96422751715"/>
    <n v="8.6739053084232534E-2"/>
    <n v="3.7093470527477734"/>
  </r>
  <r>
    <d v="2016-10-24T00:00:00"/>
    <n v="40131.573511264643"/>
    <n v="36347.698715160222"/>
    <n v="940"/>
    <n v="42.693163309856004"/>
    <n v="3783.874796104421"/>
    <n v="9.4286729002597283E-2"/>
    <n v="4.0253987192600222"/>
  </r>
  <r>
    <d v="2016-10-25T00:00:00"/>
    <n v="70402.991926425369"/>
    <n v="63452.761037813718"/>
    <n v="1650"/>
    <n v="42.668479955409317"/>
    <n v="6950.2308886116516"/>
    <n v="9.8720675051352777E-2"/>
    <n v="4.2122611446131222"/>
  </r>
  <r>
    <d v="2016-10-26T00:00:00"/>
    <n v="62501.740698760252"/>
    <n v="56100.874288607927"/>
    <n v="1467"/>
    <n v="42.605140217287151"/>
    <n v="6400.8664101523245"/>
    <n v="0.10241101029493868"/>
    <n v="4.3632354534099012"/>
  </r>
  <r>
    <d v="2016-10-27T00:00:00"/>
    <n v="53675.218280300003"/>
    <n v="48201.940975749021"/>
    <n v="1257"/>
    <n v="42.701048751233095"/>
    <n v="5473.2773045509821"/>
    <n v="0.10197028498270302"/>
    <n v="4.3542381102235339"/>
  </r>
  <r>
    <d v="2016-10-28T00:00:00"/>
    <n v="102606.3269819471"/>
    <n v="92657.699525096017"/>
    <n v="2405"/>
    <n v="42.66375342284703"/>
    <n v="9948.6274568510853"/>
    <n v="9.6959200757683092E-2"/>
    <n v="4.1366434332021145"/>
  </r>
  <r>
    <d v="2016-10-29T00:00:00"/>
    <n v="124988.1554671887"/>
    <n v="113187.8460229753"/>
    <n v="2929"/>
    <n v="42.672637578418815"/>
    <n v="11800.309444213402"/>
    <n v="9.4411421627157016E-2"/>
    <n v="4.0287843783589627"/>
  </r>
  <r>
    <d v="2016-10-30T00:00:00"/>
    <n v="67521.037488925373"/>
    <n v="61233.718874185091"/>
    <n v="1582"/>
    <n v="42.680807515123497"/>
    <n v="6287.3186147402812"/>
    <n v="9.3116439684024568E-2"/>
    <n v="3.9742848386474598"/>
  </r>
  <r>
    <d v="2016-10-31T00:00:00"/>
    <n v="70020.596009840374"/>
    <n v="62316.15133820178"/>
    <n v="1639"/>
    <n v="42.721535088371184"/>
    <n v="7704.4446716385937"/>
    <n v="0.11003112099411216"/>
    <n v="4.7006983963627782"/>
  </r>
  <r>
    <d v="2016-11-01T00:00:00"/>
    <n v="126954.1701789974"/>
    <n v="110698.74289754211"/>
    <n v="2971"/>
    <n v="42.73112426085406"/>
    <n v="16255.427281455297"/>
    <n v="0.12804169613756025"/>
    <n v="5.4713656282246035"/>
  </r>
  <r>
    <d v="2016-11-02T00:00:00"/>
    <n v="97558.247051041471"/>
    <n v="86203.875203719464"/>
    <n v="2284"/>
    <n v="42.713768411139"/>
    <n v="11354.371847322007"/>
    <n v="0.1163855664747801"/>
    <n v="4.9712661328029801"/>
  </r>
  <r>
    <d v="2016-11-03T00:00:00"/>
    <n v="97039.009870491587"/>
    <n v="89413.415966019093"/>
    <n v="2266"/>
    <n v="42.823923155556749"/>
    <n v="7625.5939044724946"/>
    <n v="7.8582767019672026E-2"/>
    <n v="3.3652223762014541"/>
  </r>
  <r>
    <d v="2016-11-04T00:00:00"/>
    <n v="168349.26532293609"/>
    <n v="156675.5901244042"/>
    <n v="3938"/>
    <n v="42.749940407043191"/>
    <n v="11673.675198531884"/>
    <n v="6.9342002628516669E-2"/>
    <n v="2.9643664800741201"/>
  </r>
  <r>
    <d v="2016-11-05T00:00:00"/>
    <n v="202017.4219781323"/>
    <n v="189394.69373774901"/>
    <n v="4720"/>
    <n v="42.800301266553454"/>
    <n v="12622.728240383294"/>
    <n v="6.2483364636489923E-2"/>
    <n v="2.6743068305896811"/>
  </r>
  <r>
    <d v="2016-11-06T00:00:00"/>
    <n v="108459.00005362221"/>
    <n v="102250.16777596821"/>
    <n v="2537"/>
    <n v="42.750886895397009"/>
    <n v="6208.8322776540008"/>
    <n v="5.7245892683727026E-2"/>
    <n v="2.447312683348049"/>
  </r>
  <r>
    <d v="2016-11-07T00:00:00"/>
    <n v="112536.3770572526"/>
    <n v="105978.4824783128"/>
    <n v="2621"/>
    <n v="42.936427721195194"/>
    <n v="6557.8945789397985"/>
    <n v="5.8273553409343239E-2"/>
    <n v="2.5020582140174739"/>
  </r>
  <r>
    <d v="2016-11-08T00:00:00"/>
    <n v="100479.92998887179"/>
    <n v="94692.479289428011"/>
    <n v="2341"/>
    <n v="42.921798372008453"/>
    <n v="5787.4506994437834"/>
    <n v="5.7598076552051208E-2"/>
    <n v="2.47221302838265"/>
  </r>
  <r>
    <d v="2016-11-09T00:00:00"/>
    <n v="81649.688672410848"/>
    <n v="77081.66057395043"/>
    <n v="1901"/>
    <n v="42.9509146093692"/>
    <n v="4568.0280984604178"/>
    <n v="5.5946668906331529E-2"/>
    <n v="2.4029605988744964"/>
  </r>
  <r>
    <d v="2016-11-10T00:00:00"/>
    <n v="71529.162644240496"/>
    <n v="67551.25097109293"/>
    <n v="1666"/>
    <n v="42.934671455126349"/>
    <n v="3977.911673147566"/>
    <n v="5.5612445694803142E-2"/>
    <n v="2.3877020847224286"/>
  </r>
  <r>
    <d v="2016-11-11T00:00:00"/>
    <n v="160938.60161507491"/>
    <n v="152555.41733723061"/>
    <n v="3748"/>
    <n v="42.93986169025478"/>
    <n v="8383.1842778442951"/>
    <n v="5.2089332165907505E-2"/>
    <n v="2.2367087187418075"/>
  </r>
  <r>
    <d v="2016-11-12T00:00:00"/>
    <n v="164998.84464116491"/>
    <n v="156263.1494739097"/>
    <n v="3843"/>
    <n v="42.934906229811318"/>
    <n v="8735.6951672552095"/>
    <n v="5.2943977797258922E-2"/>
    <n v="2.2731447221585244"/>
  </r>
  <r>
    <d v="2016-11-13T00:00:00"/>
    <n v="97946.783047396821"/>
    <n v="93112.608909273331"/>
    <n v="2281"/>
    <n v="42.940281914685144"/>
    <n v="4834.1741381234897"/>
    <n v="4.9355108842974602E-2"/>
    <n v="2.1193222876472992"/>
  </r>
  <r>
    <d v="2016-11-14T00:00:00"/>
    <n v="87834.253684381343"/>
    <n v="83068.269026507172"/>
    <n v="2046"/>
    <n v="42.929742758739657"/>
    <n v="4765.9846578741708"/>
    <n v="5.4261116340784218E-2"/>
    <n v="2.3294157663119113"/>
  </r>
  <r>
    <d v="2016-11-15T00:00:00"/>
    <n v="95509.134975070017"/>
    <n v="88104.204530400457"/>
    <n v="2181"/>
    <n v="43.791441987652462"/>
    <n v="7404.9304446695605"/>
    <n v="7.7531122510976672E-2"/>
    <n v="3.3951996536770106"/>
  </r>
  <r>
    <d v="2016-11-16T00:00:00"/>
    <n v="77229.971885239516"/>
    <n v="71428.870002172305"/>
    <n v="1763"/>
    <n v="43.805996531616287"/>
    <n v="5801.101883067211"/>
    <n v="7.5114644502103464E-2"/>
    <n v="3.290471856532734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
  <r>
    <x v="0"/>
    <x v="0"/>
    <x v="0"/>
    <x v="0"/>
    <x v="0"/>
    <x v="0"/>
    <n v="-2.438049303994622E-2"/>
  </r>
  <r>
    <x v="1"/>
    <x v="1"/>
    <x v="1"/>
    <x v="1"/>
    <x v="1"/>
    <x v="1"/>
    <n v="3.1088034678164911E-3"/>
  </r>
  <r>
    <x v="2"/>
    <x v="2"/>
    <x v="2"/>
    <x v="2"/>
    <x v="2"/>
    <x v="2"/>
    <n v="-2.3006951061080447E-2"/>
  </r>
  <r>
    <x v="3"/>
    <x v="3"/>
    <x v="3"/>
    <x v="3"/>
    <x v="3"/>
    <x v="3"/>
    <n v="-1.644260653953486E-2"/>
  </r>
  <r>
    <x v="4"/>
    <x v="4"/>
    <x v="4"/>
    <x v="4"/>
    <x v="4"/>
    <x v="4"/>
    <n v="-6.8213335154870235E-3"/>
  </r>
  <r>
    <x v="5"/>
    <x v="5"/>
    <x v="5"/>
    <x v="5"/>
    <x v="5"/>
    <x v="5"/>
    <n v="-4.1889304062889023E-2"/>
  </r>
  <r>
    <x v="6"/>
    <x v="6"/>
    <x v="6"/>
    <x v="6"/>
    <x v="6"/>
    <x v="6"/>
    <n v="-2.9255328946309715E-2"/>
  </r>
  <r>
    <x v="7"/>
    <x v="7"/>
    <x v="7"/>
    <x v="7"/>
    <x v="7"/>
    <x v="7"/>
    <n v="-1.4428105760186796E-2"/>
  </r>
  <r>
    <x v="8"/>
    <x v="8"/>
    <x v="8"/>
    <x v="8"/>
    <x v="8"/>
    <x v="8"/>
    <n v="-5.1352118989841024E-2"/>
  </r>
  <r>
    <x v="9"/>
    <x v="9"/>
    <x v="9"/>
    <x v="9"/>
    <x v="9"/>
    <x v="9"/>
    <n v="-7.1971054986953595E-2"/>
  </r>
  <r>
    <x v="10"/>
    <x v="10"/>
    <x v="10"/>
    <x v="10"/>
    <x v="10"/>
    <x v="10"/>
    <n v="-1.9204053419722044E-2"/>
  </r>
  <r>
    <x v="11"/>
    <x v="11"/>
    <x v="11"/>
    <x v="11"/>
    <x v="11"/>
    <x v="11"/>
    <n v="4.3410554468196888E-2"/>
  </r>
  <r>
    <x v="12"/>
    <x v="12"/>
    <x v="12"/>
    <x v="12"/>
    <x v="12"/>
    <x v="12"/>
    <n v="-5.6837321667892571E-2"/>
  </r>
  <r>
    <x v="13"/>
    <x v="13"/>
    <x v="13"/>
    <x v="13"/>
    <x v="13"/>
    <x v="13"/>
    <n v="-4.1953713231711438E-2"/>
  </r>
  <r>
    <x v="14"/>
    <x v="14"/>
    <x v="14"/>
    <x v="14"/>
    <x v="14"/>
    <x v="14"/>
    <n v="-5.1056028753481066E-2"/>
  </r>
  <r>
    <x v="15"/>
    <x v="15"/>
    <x v="15"/>
    <x v="15"/>
    <x v="15"/>
    <x v="15"/>
    <n v="-6.267895846462182E-2"/>
  </r>
  <r>
    <x v="16"/>
    <x v="16"/>
    <x v="16"/>
    <x v="16"/>
    <x v="16"/>
    <x v="16"/>
    <n v="-5.4104631625757599E-2"/>
  </r>
  <r>
    <x v="17"/>
    <x v="17"/>
    <x v="17"/>
    <x v="17"/>
    <x v="17"/>
    <x v="17"/>
    <n v="-7.0289699927546093E-2"/>
  </r>
  <r>
    <x v="18"/>
    <x v="18"/>
    <x v="18"/>
    <x v="18"/>
    <x v="18"/>
    <x v="18"/>
    <n v="-3.5411329654711103E-2"/>
  </r>
  <r>
    <x v="19"/>
    <x v="19"/>
    <x v="19"/>
    <x v="19"/>
    <x v="19"/>
    <x v="19"/>
    <n v="-4.1193268695092856E-2"/>
  </r>
  <r>
    <x v="20"/>
    <x v="20"/>
    <x v="20"/>
    <x v="20"/>
    <x v="20"/>
    <x v="20"/>
    <n v="-7.0211488791107599E-2"/>
  </r>
  <r>
    <x v="21"/>
    <x v="21"/>
    <x v="21"/>
    <x v="21"/>
    <x v="21"/>
    <x v="21"/>
    <n v="-7.5932000054241777E-2"/>
  </r>
  <r>
    <x v="22"/>
    <x v="22"/>
    <x v="22"/>
    <x v="22"/>
    <x v="22"/>
    <x v="22"/>
    <n v="-7.1758290791920018E-2"/>
  </r>
  <r>
    <x v="23"/>
    <x v="23"/>
    <x v="23"/>
    <x v="23"/>
    <x v="23"/>
    <x v="23"/>
    <n v="-9.1873798235030002E-2"/>
  </r>
  <r>
    <x v="24"/>
    <x v="24"/>
    <x v="24"/>
    <x v="24"/>
    <x v="24"/>
    <x v="24"/>
    <n v="-4.8914062753125612E-2"/>
  </r>
  <r>
    <x v="25"/>
    <x v="25"/>
    <x v="25"/>
    <x v="25"/>
    <x v="25"/>
    <x v="25"/>
    <n v="-4.7056810475161366E-2"/>
  </r>
  <r>
    <x v="26"/>
    <x v="26"/>
    <x v="26"/>
    <x v="26"/>
    <x v="26"/>
    <x v="26"/>
    <n v="5.2713133399974097E-4"/>
  </r>
  <r>
    <x v="27"/>
    <x v="27"/>
    <x v="27"/>
    <x v="27"/>
    <x v="27"/>
    <x v="27"/>
    <n v="1.1536644883618696E-2"/>
  </r>
  <r>
    <x v="28"/>
    <x v="28"/>
    <x v="28"/>
    <x v="28"/>
    <x v="28"/>
    <x v="28"/>
    <n v="-7.0731591467100743E-2"/>
  </r>
  <r>
    <x v="29"/>
    <x v="29"/>
    <x v="29"/>
    <x v="29"/>
    <x v="29"/>
    <x v="29"/>
    <n v="-3.2525190706358773E-2"/>
  </r>
  <r>
    <x v="30"/>
    <x v="30"/>
    <x v="30"/>
    <x v="30"/>
    <x v="30"/>
    <x v="30"/>
    <n v="-5.8662941523501613E-2"/>
  </r>
  <r>
    <x v="31"/>
    <x v="31"/>
    <x v="31"/>
    <x v="31"/>
    <x v="31"/>
    <x v="31"/>
    <n v="1.6971765946619959E-2"/>
  </r>
  <r>
    <x v="32"/>
    <x v="32"/>
    <x v="32"/>
    <x v="32"/>
    <x v="32"/>
    <x v="32"/>
    <n v="-3.1417888947278448E-2"/>
  </r>
  <r>
    <x v="33"/>
    <x v="33"/>
    <x v="33"/>
    <x v="33"/>
    <x v="33"/>
    <x v="33"/>
    <n v="1.5138693290048837E-2"/>
  </r>
  <r>
    <x v="34"/>
    <x v="34"/>
    <x v="34"/>
    <x v="34"/>
    <x v="34"/>
    <x v="34"/>
    <n v="9.4437670813696459E-2"/>
  </r>
  <r>
    <x v="35"/>
    <x v="35"/>
    <x v="35"/>
    <x v="35"/>
    <x v="35"/>
    <x v="35"/>
    <n v="6.8371119732419869E-2"/>
  </r>
  <r>
    <x v="36"/>
    <x v="36"/>
    <x v="36"/>
    <x v="36"/>
    <x v="36"/>
    <x v="36"/>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3">
  <r>
    <x v="0"/>
    <n v="6827"/>
  </r>
  <r>
    <x v="1"/>
    <n v="9268"/>
  </r>
  <r>
    <x v="2"/>
    <n v="2678"/>
  </r>
  <r>
    <x v="3"/>
    <n v="6175"/>
  </r>
  <r>
    <x v="4"/>
    <n v="10084"/>
  </r>
  <r>
    <x v="5"/>
    <n v="9470"/>
  </r>
  <r>
    <x v="6"/>
    <n v="5524"/>
  </r>
  <r>
    <x v="7"/>
    <n v="9448"/>
  </r>
  <r>
    <x v="8"/>
    <n v="6911"/>
  </r>
  <r>
    <x v="9"/>
    <n v="2990"/>
  </r>
  <r>
    <x v="10"/>
    <n v="3159"/>
  </r>
  <r>
    <x v="11"/>
    <n v="4246"/>
  </r>
  <r>
    <x v="12"/>
    <n v="4297"/>
  </r>
  <r>
    <x v="13"/>
    <n v="2796"/>
  </r>
  <r>
    <x v="14"/>
    <n v="3369"/>
  </r>
  <r>
    <x v="15"/>
    <n v="2348"/>
  </r>
  <r>
    <x v="16"/>
    <n v="2903"/>
  </r>
  <r>
    <x v="17"/>
    <n v="2491"/>
  </r>
  <r>
    <x v="18"/>
    <n v="3968"/>
  </r>
  <r>
    <x v="19"/>
    <n v="4393"/>
  </r>
  <r>
    <x v="20"/>
    <n v="2176"/>
  </r>
  <r>
    <x v="21"/>
    <n v="2443"/>
  </r>
  <r>
    <x v="22"/>
    <n v="2638"/>
  </r>
  <r>
    <x v="23"/>
    <n v="1704"/>
  </r>
  <r>
    <x v="24"/>
    <n v="1872"/>
  </r>
  <r>
    <x v="25"/>
    <n v="3423"/>
  </r>
  <r>
    <x v="26"/>
    <n v="4544"/>
  </r>
  <r>
    <x v="27"/>
    <n v="2426"/>
  </r>
  <r>
    <x v="28"/>
    <n v="2117"/>
  </r>
  <r>
    <x v="29"/>
    <n v="1476"/>
  </r>
  <r>
    <x v="30"/>
    <n v="1974"/>
  </r>
  <r>
    <x v="31"/>
    <n v="1892"/>
  </r>
  <r>
    <x v="32"/>
    <n v="4030"/>
  </r>
  <r>
    <x v="33"/>
    <n v="5304"/>
  </r>
  <r>
    <x v="34"/>
    <n v="3320"/>
  </r>
  <r>
    <x v="35"/>
    <n v="4191"/>
  </r>
  <r>
    <x v="36"/>
    <n v="3809"/>
  </r>
  <r>
    <x v="37"/>
    <n v="5764"/>
  </r>
  <r>
    <x v="38"/>
    <n v="3028"/>
  </r>
  <r>
    <x v="39"/>
    <n v="9284"/>
  </r>
  <r>
    <x v="40"/>
    <n v="9737"/>
  </r>
  <r>
    <x v="41"/>
    <n v="4163"/>
  </r>
  <r>
    <x v="42"/>
    <n v="4552"/>
  </r>
  <r>
    <x v="43"/>
    <n v="4172"/>
  </r>
  <r>
    <x v="44"/>
    <n v="5037"/>
  </r>
  <r>
    <x v="45"/>
    <n v="4259"/>
  </r>
  <r>
    <x v="46"/>
    <n v="10381"/>
  </r>
  <r>
    <x v="47"/>
    <n v="11332"/>
  </r>
  <r>
    <x v="48"/>
    <n v="4127"/>
  </r>
  <r>
    <x v="49"/>
    <n v="4649"/>
  </r>
  <r>
    <x v="50"/>
    <n v="1627"/>
  </r>
  <r>
    <x v="51"/>
    <n v="3281"/>
  </r>
  <r>
    <x v="52"/>
    <n v="2310"/>
  </r>
  <r>
    <x v="53"/>
    <n v="9802"/>
  </r>
  <r>
    <x v="54"/>
    <n v="9772"/>
  </r>
  <r>
    <x v="55"/>
    <n v="4270"/>
  </r>
  <r>
    <x v="56"/>
    <n v="4106"/>
  </r>
  <r>
    <x v="57"/>
    <n v="6937"/>
  </r>
  <r>
    <x v="58"/>
    <n v="6934"/>
  </r>
  <r>
    <x v="59"/>
    <n v="11082"/>
  </r>
  <r>
    <x v="60"/>
    <n v="20805"/>
  </r>
  <r>
    <x v="61"/>
    <n v="26410"/>
  </r>
  <r>
    <x v="62"/>
    <n v="15004"/>
  </r>
  <r>
    <x v="63"/>
    <n v="16884"/>
  </r>
  <r>
    <x v="64"/>
    <n v="9789"/>
  </r>
  <r>
    <x v="65"/>
    <n v="8079"/>
  </r>
  <r>
    <x v="66"/>
    <n v="5072"/>
  </r>
  <r>
    <x v="67"/>
    <n v="14551"/>
  </r>
  <r>
    <x v="68"/>
    <n v="16262"/>
  </r>
  <r>
    <x v="69"/>
    <n v="7014"/>
  </r>
  <r>
    <x v="70"/>
    <n v="8932"/>
  </r>
  <r>
    <x v="71"/>
    <n v="5737"/>
  </r>
  <r>
    <x v="72"/>
    <n v="5903"/>
  </r>
  <r>
    <x v="73"/>
    <n v="5056"/>
  </r>
  <r>
    <x v="74"/>
    <n v="12167"/>
  </r>
  <r>
    <x v="75"/>
    <n v="15971"/>
  </r>
  <r>
    <x v="76"/>
    <n v="6968"/>
  </r>
  <r>
    <x v="77"/>
    <n v="7494"/>
  </r>
  <r>
    <x v="78"/>
    <n v="2707"/>
  </r>
  <r>
    <x v="79"/>
    <n v="2637"/>
  </r>
  <r>
    <x v="80"/>
    <n v="5149"/>
  </r>
  <r>
    <x v="81"/>
    <n v="5735"/>
  </r>
  <r>
    <x v="82"/>
    <n v="4936"/>
  </r>
  <r>
    <x v="83"/>
    <n v="2003"/>
  </r>
  <r>
    <x v="84"/>
    <n v="2323"/>
  </r>
  <r>
    <x v="85"/>
    <n v="3822"/>
  </r>
  <r>
    <x v="86"/>
    <n v="3666"/>
  </r>
  <r>
    <x v="87"/>
    <n v="3543"/>
  </r>
  <r>
    <x v="88"/>
    <n v="8130"/>
  </r>
  <r>
    <x v="89"/>
    <n v="10518"/>
  </r>
  <r>
    <x v="90"/>
    <n v="4791"/>
  </r>
  <r>
    <x v="91"/>
    <n v="5583"/>
  </r>
  <r>
    <x v="92"/>
    <n v="7155"/>
  </r>
  <r>
    <x v="93"/>
    <n v="4575"/>
  </r>
  <r>
    <x v="94"/>
    <n v="3997"/>
  </r>
  <r>
    <x v="95"/>
    <n v="5558"/>
  </r>
  <r>
    <x v="96"/>
    <n v="6320"/>
  </r>
  <r>
    <x v="97"/>
    <n v="3447"/>
  </r>
  <r>
    <x v="98"/>
    <n v="3854"/>
  </r>
  <r>
    <x v="99"/>
    <n v="3394"/>
  </r>
  <r>
    <x v="100"/>
    <n v="3563"/>
  </r>
  <r>
    <x v="101"/>
    <n v="5380"/>
  </r>
  <r>
    <x v="102"/>
    <n v="9573"/>
  </r>
  <r>
    <x v="103"/>
    <n v="11250"/>
  </r>
  <r>
    <x v="104"/>
    <n v="4990"/>
  </r>
  <r>
    <x v="105"/>
    <n v="5810"/>
  </r>
  <r>
    <x v="106"/>
    <n v="7497"/>
  </r>
  <r>
    <x v="107"/>
    <n v="8821"/>
  </r>
  <r>
    <x v="108"/>
    <n v="18366"/>
  </r>
  <r>
    <x v="109"/>
    <n v="13940"/>
  </r>
  <r>
    <x v="110"/>
    <n v="10814"/>
  </r>
  <r>
    <x v="111"/>
    <n v="3429"/>
  </r>
  <r>
    <x v="112"/>
    <n v="4834"/>
  </r>
  <r>
    <x v="113"/>
    <n v="5475"/>
  </r>
  <r>
    <x v="114"/>
    <n v="3121"/>
  </r>
  <r>
    <x v="115"/>
    <n v="2809"/>
  </r>
  <r>
    <x v="116"/>
    <n v="8537"/>
  </r>
  <r>
    <x v="117"/>
    <n v="8209"/>
  </r>
  <r>
    <x v="118"/>
    <n v="3592"/>
  </r>
  <r>
    <x v="119"/>
    <n v="3576"/>
  </r>
  <r>
    <x v="120"/>
    <n v="3807"/>
  </r>
  <r>
    <x v="121"/>
    <n v="4398"/>
  </r>
  <r>
    <x v="122"/>
    <n v="5124"/>
  </r>
  <r>
    <x v="123"/>
    <n v="4581"/>
  </r>
  <r>
    <x v="124"/>
    <n v="3697"/>
  </r>
  <r>
    <x v="125"/>
    <n v="2642"/>
  </r>
  <r>
    <x v="126"/>
    <n v="3154"/>
  </r>
  <r>
    <x v="127"/>
    <n v="3324"/>
  </r>
  <r>
    <x v="128"/>
    <n v="2677"/>
  </r>
  <r>
    <x v="129"/>
    <n v="2683"/>
  </r>
  <r>
    <x v="130"/>
    <n v="9328"/>
  </r>
  <r>
    <x v="131"/>
    <n v="13306"/>
  </r>
  <r>
    <x v="132"/>
    <n v="6173"/>
  </r>
  <r>
    <x v="133"/>
    <n v="5653"/>
  </r>
  <r>
    <x v="134"/>
    <n v="4503"/>
  </r>
  <r>
    <x v="135"/>
    <n v="6253"/>
  </r>
  <r>
    <x v="136"/>
    <n v="8408"/>
  </r>
  <r>
    <x v="137"/>
    <n v="12949"/>
  </r>
  <r>
    <x v="138"/>
    <n v="15508"/>
  </r>
  <r>
    <x v="139"/>
    <n v="5141"/>
  </r>
  <r>
    <x v="140"/>
    <n v="5194"/>
  </r>
  <r>
    <x v="141"/>
    <n v="5550"/>
  </r>
  <r>
    <x v="142"/>
    <n v="6070"/>
  </r>
  <r>
    <x v="143"/>
    <n v="3421"/>
  </r>
  <r>
    <x v="144"/>
    <n v="13384"/>
  </r>
  <r>
    <x v="145"/>
    <n v="18356"/>
  </r>
  <r>
    <x v="146"/>
    <n v="6500"/>
  </r>
  <r>
    <x v="147"/>
    <n v="6752"/>
  </r>
  <r>
    <x v="148"/>
    <n v="7023"/>
  </r>
  <r>
    <x v="149"/>
    <n v="7579"/>
  </r>
  <r>
    <x v="150"/>
    <n v="6448"/>
  </r>
  <r>
    <x v="151"/>
    <n v="15637"/>
  </r>
  <r>
    <x v="152"/>
    <n v="18775"/>
  </r>
  <r>
    <x v="153"/>
    <n v="14188"/>
  </r>
  <r>
    <x v="154"/>
    <n v="13256"/>
  </r>
  <r>
    <x v="155"/>
    <n v="10223"/>
  </r>
  <r>
    <x v="156"/>
    <n v="8904"/>
  </r>
  <r>
    <x v="157"/>
    <n v="5783"/>
  </r>
  <r>
    <x v="158"/>
    <n v="9005"/>
  </r>
  <r>
    <x v="159"/>
    <n v="12222"/>
  </r>
  <r>
    <x v="160"/>
    <n v="6037"/>
  </r>
  <r>
    <x v="161"/>
    <n v="6607"/>
  </r>
  <r>
    <x v="162"/>
    <n v="5857"/>
  </r>
  <r>
    <x v="163"/>
    <n v="5429"/>
  </r>
  <r>
    <x v="164"/>
    <n v="6232"/>
  </r>
  <r>
    <x v="165"/>
    <n v="14585"/>
  </r>
  <r>
    <x v="166"/>
    <n v="14745"/>
  </r>
  <r>
    <x v="167"/>
    <n v="6991"/>
  </r>
  <r>
    <x v="168"/>
    <n v="5788"/>
  </r>
  <r>
    <x v="169"/>
    <n v="6632"/>
  </r>
  <r>
    <x v="170"/>
    <n v="5752"/>
  </r>
  <r>
    <x v="171"/>
    <n v="3578"/>
  </r>
  <r>
    <x v="172"/>
    <n v="6119"/>
  </r>
  <r>
    <x v="173"/>
    <n v="6161"/>
  </r>
  <r>
    <x v="174"/>
    <n v="4015"/>
  </r>
  <r>
    <x v="175"/>
    <n v="4133"/>
  </r>
  <r>
    <x v="176"/>
    <n v="1047"/>
  </r>
  <r>
    <x v="177"/>
    <n v="1601"/>
  </r>
  <r>
    <x v="178"/>
    <n v="1592"/>
  </r>
  <r>
    <x v="179"/>
    <n v="3759"/>
  </r>
  <r>
    <x v="180"/>
    <n v="4172"/>
  </r>
  <r>
    <x v="181"/>
    <n v="1772"/>
  </r>
  <r>
    <x v="182"/>
    <n v="2672"/>
  </r>
  <r>
    <x v="183"/>
    <n v="5143"/>
  </r>
  <r>
    <x v="184"/>
    <n v="2990"/>
  </r>
  <r>
    <x v="185"/>
    <n v="2667"/>
  </r>
  <r>
    <x v="186"/>
    <n v="2799"/>
  </r>
  <r>
    <x v="187"/>
    <n v="3355"/>
  </r>
  <r>
    <x v="188"/>
    <n v="2002"/>
  </r>
  <r>
    <x v="189"/>
    <n v="1967"/>
  </r>
  <r>
    <x v="190"/>
    <n v="3094"/>
  </r>
  <r>
    <x v="191"/>
    <n v="2335"/>
  </r>
  <r>
    <x v="192"/>
    <n v="2968"/>
  </r>
  <r>
    <x v="193"/>
    <n v="3825"/>
  </r>
  <r>
    <x v="194"/>
    <n v="2833"/>
  </r>
  <r>
    <x v="195"/>
    <n v="1419"/>
  </r>
  <r>
    <x v="196"/>
    <n v="2151"/>
  </r>
  <r>
    <x v="197"/>
    <n v="3148"/>
  </r>
  <r>
    <x v="198"/>
    <n v="4825"/>
  </r>
  <r>
    <x v="199"/>
    <n v="2307"/>
  </r>
  <r>
    <x v="200"/>
    <n v="3557"/>
  </r>
  <r>
    <x v="201"/>
    <n v="7485"/>
  </r>
  <r>
    <x v="202"/>
    <n v="2428"/>
  </r>
  <r>
    <x v="203"/>
    <n v="2475"/>
  </r>
  <r>
    <x v="204"/>
    <n v="1618"/>
  </r>
  <r>
    <x v="205"/>
    <n v="5106"/>
  </r>
  <r>
    <x v="206"/>
    <n v="2729"/>
  </r>
  <r>
    <x v="207"/>
    <n v="15897"/>
  </r>
  <r>
    <x v="208"/>
    <n v="17343"/>
  </r>
  <r>
    <x v="209"/>
    <n v="8207"/>
  </r>
  <r>
    <x v="210"/>
    <n v="9018"/>
  </r>
  <r>
    <x v="211"/>
    <n v="6548"/>
  </r>
  <r>
    <x v="212"/>
    <n v="6102"/>
  </r>
  <r>
    <x v="213"/>
    <n v="9108"/>
  </r>
  <r>
    <x v="214"/>
    <n v="18867"/>
  </r>
  <r>
    <x v="215"/>
    <n v="19384"/>
  </r>
  <r>
    <x v="216"/>
    <n v="9473"/>
  </r>
  <r>
    <x v="217"/>
    <n v="11170"/>
  </r>
  <r>
    <x v="218"/>
    <n v="8091"/>
  </r>
  <r>
    <x v="219"/>
    <n v="2303"/>
  </r>
  <r>
    <x v="220"/>
    <n v="2947"/>
  </r>
  <r>
    <x v="221"/>
    <n v="13542"/>
  </r>
  <r>
    <x v="222"/>
    <n v="12588"/>
  </r>
  <r>
    <x v="223"/>
    <n v="6032"/>
  </r>
  <r>
    <x v="224"/>
    <n v="7158"/>
  </r>
  <r>
    <x v="225"/>
    <n v="5863"/>
  </r>
  <r>
    <x v="226"/>
    <n v="6092"/>
  </r>
  <r>
    <x v="227"/>
    <n v="5485"/>
  </r>
  <r>
    <x v="228"/>
    <n v="14587"/>
  </r>
  <r>
    <x v="229"/>
    <n v="16686"/>
  </r>
  <r>
    <x v="230"/>
    <n v="7380"/>
  </r>
  <r>
    <x v="231"/>
    <n v="7864"/>
  </r>
  <r>
    <x v="232"/>
    <n v="4941"/>
  </r>
  <r>
    <x v="233"/>
    <n v="5151"/>
  </r>
  <r>
    <x v="234"/>
    <n v="4928"/>
  </r>
  <r>
    <x v="235"/>
    <n v="11309"/>
  </r>
  <r>
    <x v="236"/>
    <n v="13613"/>
  </r>
  <r>
    <x v="237"/>
    <n v="6424"/>
  </r>
  <r>
    <x v="238"/>
    <n v="9493"/>
  </r>
  <r>
    <x v="239"/>
    <n v="7619"/>
  </r>
  <r>
    <x v="240"/>
    <n v="8909"/>
  </r>
  <r>
    <x v="241"/>
    <n v="8400"/>
  </r>
  <r>
    <x v="242"/>
    <n v="19317"/>
  </r>
  <r>
    <x v="243"/>
    <n v="23310"/>
  </r>
  <r>
    <x v="244"/>
    <n v="11646"/>
  </r>
  <r>
    <x v="245"/>
    <n v="19366"/>
  </r>
  <r>
    <x v="246"/>
    <n v="15291"/>
  </r>
  <r>
    <x v="247"/>
    <n v="15100"/>
  </r>
  <r>
    <x v="248"/>
    <n v="10164"/>
  </r>
  <r>
    <x v="249"/>
    <n v="16310"/>
  </r>
  <r>
    <x v="250"/>
    <n v="17985"/>
  </r>
  <r>
    <x v="251"/>
    <n v="7620"/>
  </r>
  <r>
    <x v="252"/>
    <n v="7958"/>
  </r>
  <r>
    <x v="253"/>
    <n v="3503"/>
  </r>
  <r>
    <x v="254"/>
    <n v="2247"/>
  </r>
  <r>
    <x v="255"/>
    <n v="2023"/>
  </r>
  <r>
    <x v="256"/>
    <n v="4242"/>
  </r>
  <r>
    <x v="257"/>
    <n v="4901"/>
  </r>
  <r>
    <x v="258"/>
    <n v="2467"/>
  </r>
  <r>
    <x v="259"/>
    <n v="3432"/>
  </r>
  <r>
    <x v="260"/>
    <n v="2375"/>
  </r>
  <r>
    <x v="261"/>
    <n v="2105"/>
  </r>
  <r>
    <x v="262"/>
    <n v="1982"/>
  </r>
  <r>
    <x v="263"/>
    <n v="3915"/>
  </r>
  <r>
    <x v="264"/>
    <n v="4383"/>
  </r>
  <r>
    <x v="265"/>
    <n v="2159"/>
  </r>
  <r>
    <x v="266"/>
    <n v="2592"/>
  </r>
  <r>
    <x v="267"/>
    <n v="3143"/>
  </r>
  <r>
    <x v="268"/>
    <n v="6457"/>
  </r>
  <r>
    <x v="269"/>
    <n v="11039"/>
  </r>
  <r>
    <x v="270"/>
    <n v="18036"/>
  </r>
  <r>
    <x v="271"/>
    <n v="19017"/>
  </r>
  <r>
    <x v="272"/>
    <n v="8747"/>
  </r>
  <r>
    <x v="273"/>
    <n v="8147"/>
  </r>
  <r>
    <x v="274"/>
    <n v="11036"/>
  </r>
  <r>
    <x v="275"/>
    <n v="18330"/>
  </r>
  <r>
    <x v="276"/>
    <n v="14503"/>
  </r>
  <r>
    <x v="277"/>
    <n v="15986"/>
  </r>
  <r>
    <x v="278"/>
    <n v="20223"/>
  </r>
  <r>
    <x v="279"/>
    <n v="8631"/>
  </r>
  <r>
    <x v="280"/>
    <n v="11579"/>
  </r>
  <r>
    <x v="281"/>
    <n v="2127"/>
  </r>
  <r>
    <x v="282"/>
    <n v="1923"/>
  </r>
  <r>
    <x v="283"/>
    <n v="2809"/>
  </r>
  <r>
    <x v="284"/>
    <n v="4891"/>
  </r>
  <r>
    <x v="285"/>
    <n v="3758"/>
  </r>
  <r>
    <x v="286"/>
    <n v="1661"/>
  </r>
  <r>
    <x v="287"/>
    <n v="2360"/>
  </r>
  <r>
    <x v="288"/>
    <n v="1894"/>
  </r>
  <r>
    <x v="289"/>
    <n v="3548"/>
  </r>
  <r>
    <x v="290"/>
    <n v="2591"/>
  </r>
  <r>
    <x v="291"/>
    <n v="3293"/>
  </r>
  <r>
    <x v="292"/>
    <n v="4611"/>
  </r>
  <r>
    <x v="293"/>
    <n v="2468"/>
  </r>
  <r>
    <x v="294"/>
    <n v="2773"/>
  </r>
  <r>
    <x v="295"/>
    <n v="2815"/>
  </r>
  <r>
    <x v="296"/>
    <n v="2701"/>
  </r>
  <r>
    <x v="297"/>
    <n v="2651"/>
  </r>
  <r>
    <x v="298"/>
    <n v="6781"/>
  </r>
  <r>
    <x v="299"/>
    <n v="8249"/>
  </r>
  <r>
    <x v="300"/>
    <n v="3502"/>
  </r>
  <r>
    <x v="301"/>
    <n v="3949"/>
  </r>
  <r>
    <x v="302"/>
    <n v="2435"/>
  </r>
  <r>
    <x v="303"/>
    <n v="2232"/>
  </r>
  <r>
    <x v="304"/>
    <n v="1898"/>
  </r>
  <r>
    <x v="305"/>
    <n v="4537"/>
  </r>
  <r>
    <x v="306"/>
    <n v="6730"/>
  </r>
  <r>
    <x v="307"/>
    <n v="4038"/>
  </r>
  <r>
    <x v="308"/>
    <n v="5581"/>
  </r>
  <r>
    <x v="309"/>
    <n v="2519"/>
  </r>
  <r>
    <x v="310"/>
    <n v="1847"/>
  </r>
  <r>
    <x v="311"/>
    <n v="2309"/>
  </r>
  <r>
    <x v="312"/>
    <n v="3722"/>
  </r>
  <r>
    <x v="313"/>
    <n v="4268"/>
  </r>
  <r>
    <x v="314"/>
    <n v="1968"/>
  </r>
  <r>
    <x v="315"/>
    <n v="2016"/>
  </r>
  <r>
    <x v="316"/>
    <n v="1497"/>
  </r>
  <r>
    <x v="317"/>
    <n v="1314"/>
  </r>
  <r>
    <x v="318"/>
    <n v="1466"/>
  </r>
  <r>
    <x v="319"/>
    <n v="3984"/>
  </r>
  <r>
    <x v="320"/>
    <n v="4802"/>
  </r>
  <r>
    <x v="321"/>
    <n v="2017"/>
  </r>
  <r>
    <x v="322"/>
    <n v="2297"/>
  </r>
  <r>
    <x v="323"/>
    <n v="1665"/>
  </r>
  <r>
    <x v="324"/>
    <n v="1291"/>
  </r>
  <r>
    <x v="325"/>
    <n v="1361"/>
  </r>
  <r>
    <x v="326"/>
    <n v="1281"/>
  </r>
  <r>
    <x v="327"/>
    <n v="1122"/>
  </r>
  <r>
    <x v="328"/>
    <n v="737"/>
  </r>
  <r>
    <x v="329"/>
    <n v="641"/>
  </r>
  <r>
    <x v="330"/>
    <n v="968"/>
  </r>
  <r>
    <x v="331"/>
    <n v="709"/>
  </r>
  <r>
    <x v="332"/>
    <n v="880"/>
  </r>
  <r>
    <x v="333"/>
    <n v="1096"/>
  </r>
  <r>
    <x v="334"/>
    <n v="2068"/>
  </r>
  <r>
    <x v="335"/>
    <n v="2375"/>
  </r>
  <r>
    <x v="336"/>
    <n v="2492"/>
  </r>
  <r>
    <x v="337"/>
    <n v="2170"/>
  </r>
  <r>
    <x v="338"/>
    <n v="1784"/>
  </r>
  <r>
    <x v="339"/>
    <n v="1368"/>
  </r>
  <r>
    <x v="340"/>
    <n v="1914"/>
  </r>
  <r>
    <x v="341"/>
    <n v="3765"/>
  </r>
  <r>
    <x v="342"/>
    <n v="2712"/>
  </r>
  <r>
    <x v="343"/>
    <n v="2222"/>
  </r>
  <r>
    <x v="344"/>
    <n v="1861"/>
  </r>
  <r>
    <x v="345"/>
    <n v="4095"/>
  </r>
  <r>
    <x v="346"/>
    <n v="4157"/>
  </r>
  <r>
    <x v="347"/>
    <n v="7259"/>
  </r>
  <r>
    <x v="348"/>
    <n v="9654"/>
  </r>
  <r>
    <x v="349"/>
    <n v="4632"/>
  </r>
  <r>
    <x v="350"/>
    <n v="7341"/>
  </r>
  <r>
    <x v="351"/>
    <n v="4308"/>
  </r>
  <r>
    <x v="352"/>
    <n v="3865"/>
  </r>
  <r>
    <x v="353"/>
    <n v="5288"/>
  </r>
  <r>
    <x v="354"/>
    <n v="7141"/>
  </r>
  <r>
    <x v="355"/>
    <n v="8268"/>
  </r>
  <r>
    <x v="356"/>
    <n v="4541"/>
  </r>
  <r>
    <x v="357"/>
    <n v="5014"/>
  </r>
  <r>
    <x v="358"/>
    <n v="7778"/>
  </r>
  <r>
    <x v="359"/>
    <n v="11809"/>
  </r>
  <r>
    <x v="360"/>
    <n v="3344"/>
  </r>
  <r>
    <x v="361"/>
    <n v="1169"/>
  </r>
  <r>
    <x v="362"/>
    <n v="2676"/>
  </r>
  <r>
    <x v="363"/>
    <n v="1677"/>
  </r>
  <r>
    <x v="364"/>
    <n v="3237"/>
  </r>
  <r>
    <x v="365"/>
    <n v="5607"/>
  </r>
  <r>
    <x v="366"/>
    <n v="9464"/>
  </r>
  <r>
    <x v="367"/>
    <n v="2905"/>
  </r>
  <r>
    <x v="368"/>
    <n v="7023"/>
  </r>
  <r>
    <x v="369"/>
    <n v="6371"/>
  </r>
  <r>
    <x v="370"/>
    <n v="4624"/>
  </r>
  <r>
    <x v="371"/>
    <n v="5717"/>
  </r>
  <r>
    <x v="372"/>
    <n v="4705"/>
  </r>
  <r>
    <x v="373"/>
    <n v="2020"/>
  </r>
  <r>
    <x v="374"/>
    <n v="1868"/>
  </r>
  <r>
    <x v="375"/>
    <n v="3008"/>
  </r>
  <r>
    <x v="376"/>
    <n v="2934"/>
  </r>
  <r>
    <x v="377"/>
    <n v="1690"/>
  </r>
  <r>
    <x v="378"/>
    <n v="2058"/>
  </r>
  <r>
    <x v="379"/>
    <n v="1570"/>
  </r>
  <r>
    <x v="380"/>
    <n v="1446"/>
  </r>
  <r>
    <x v="381"/>
    <n v="1921"/>
  </r>
  <r>
    <x v="382"/>
    <n v="3629"/>
  </r>
  <r>
    <x v="383"/>
    <n v="4144"/>
  </r>
  <r>
    <x v="384"/>
    <n v="1815"/>
  </r>
  <r>
    <x v="385"/>
    <n v="2189"/>
  </r>
  <r>
    <x v="386"/>
    <n v="2376"/>
  </r>
  <r>
    <x v="387"/>
    <n v="1525"/>
  </r>
  <r>
    <x v="388"/>
    <n v="1616"/>
  </r>
  <r>
    <x v="389"/>
    <n v="3757"/>
  </r>
  <r>
    <x v="390"/>
    <n v="3855"/>
  </r>
  <r>
    <x v="391"/>
    <n v="1897"/>
  </r>
  <r>
    <x v="392"/>
    <n v="2230"/>
  </r>
  <r>
    <x v="393"/>
    <n v="1870"/>
  </r>
  <r>
    <x v="394"/>
    <n v="1455"/>
  </r>
  <r>
    <x v="395"/>
    <n v="1392"/>
  </r>
  <r>
    <x v="396"/>
    <n v="3268"/>
  </r>
  <r>
    <x v="397"/>
    <n v="4862"/>
  </r>
  <r>
    <x v="398"/>
    <n v="4165"/>
  </r>
  <r>
    <x v="399"/>
    <n v="3685"/>
  </r>
  <r>
    <x v="400"/>
    <n v="2479"/>
  </r>
  <r>
    <x v="401"/>
    <n v="2005"/>
  </r>
  <r>
    <x v="402"/>
    <n v="1122"/>
  </r>
  <r>
    <x v="403"/>
    <n v="2082"/>
  </r>
  <r>
    <x v="404"/>
    <n v="2573"/>
  </r>
  <r>
    <x v="405"/>
    <n v="1774"/>
  </r>
  <r>
    <x v="406"/>
    <n v="2378"/>
  </r>
  <r>
    <x v="407"/>
    <n v="3677"/>
  </r>
  <r>
    <x v="408"/>
    <n v="4299"/>
  </r>
  <r>
    <x v="409"/>
    <n v="3674"/>
  </r>
  <r>
    <x v="410"/>
    <n v="9505"/>
  </r>
  <r>
    <x v="411"/>
    <n v="11237"/>
  </r>
  <r>
    <x v="412"/>
    <n v="5406"/>
  </r>
  <r>
    <x v="413"/>
    <n v="5846"/>
  </r>
  <r>
    <x v="414"/>
    <n v="3713"/>
  </r>
  <r>
    <x v="415"/>
    <n v="4270"/>
  </r>
  <r>
    <x v="416"/>
    <n v="3827"/>
  </r>
  <r>
    <x v="417"/>
    <n v="7770"/>
  </r>
  <r>
    <x v="418"/>
    <n v="7102"/>
  </r>
  <r>
    <x v="419"/>
    <n v="3608"/>
  </r>
  <r>
    <x v="420"/>
    <n v="2150"/>
  </r>
  <r>
    <x v="421"/>
    <n v="2530"/>
  </r>
  <r>
    <x v="422"/>
    <n v="5253"/>
  </r>
  <r>
    <x v="423"/>
    <n v="4171"/>
  </r>
  <r>
    <x v="424"/>
    <n v="8156"/>
  </r>
  <r>
    <x v="425"/>
    <n v="9296"/>
  </r>
  <r>
    <x v="426"/>
    <n v="6803"/>
  </r>
  <r>
    <x v="427"/>
    <n v="6221"/>
  </r>
  <r>
    <x v="428"/>
    <n v="6611"/>
  </r>
  <r>
    <x v="429"/>
    <n v="6843"/>
  </r>
  <r>
    <x v="430"/>
    <n v="3858"/>
  </r>
  <r>
    <x v="431"/>
    <n v="7128"/>
  </r>
  <r>
    <x v="432"/>
    <n v="8127"/>
  </r>
  <r>
    <x v="433"/>
    <n v="2966"/>
  </r>
  <r>
    <x v="434"/>
    <n v="2858"/>
  </r>
  <r>
    <x v="435"/>
    <n v="1518"/>
  </r>
  <r>
    <x v="436"/>
    <n v="1386"/>
  </r>
  <r>
    <x v="437"/>
    <n v="1166"/>
  </r>
  <r>
    <x v="438"/>
    <n v="2853"/>
  </r>
  <r>
    <x v="439"/>
    <n v="3657"/>
  </r>
  <r>
    <x v="440"/>
    <n v="1631"/>
  </r>
  <r>
    <x v="441"/>
    <n v="1959"/>
  </r>
  <r>
    <x v="442"/>
    <n v="1230"/>
  </r>
  <r>
    <x v="443"/>
    <n v="1182"/>
  </r>
  <r>
    <x v="444"/>
    <n v="1050"/>
  </r>
  <r>
    <x v="445"/>
    <n v="2353"/>
  </r>
  <r>
    <x v="446"/>
    <n v="2947"/>
  </r>
  <r>
    <x v="447"/>
    <n v="1626"/>
  </r>
  <r>
    <x v="448"/>
    <n v="1976"/>
  </r>
  <r>
    <x v="449"/>
    <n v="3312"/>
  </r>
  <r>
    <x v="450"/>
    <n v="6704"/>
  </r>
  <r>
    <x v="451"/>
    <n v="6077"/>
  </r>
  <r>
    <x v="452"/>
    <n v="9386"/>
  </r>
  <r>
    <x v="453"/>
    <n v="12181"/>
  </r>
  <r>
    <x v="454"/>
    <n v="5937"/>
  </r>
  <r>
    <x v="455"/>
    <n v="5706"/>
  </r>
  <r>
    <x v="456"/>
    <n v="9421"/>
  </r>
  <r>
    <x v="457"/>
    <n v="13207"/>
  </r>
  <r>
    <x v="458"/>
    <n v="18936"/>
  </r>
  <r>
    <x v="459"/>
    <n v="13503"/>
  </r>
  <r>
    <x v="460"/>
    <n v="10600"/>
  </r>
  <r>
    <x v="461"/>
    <n v="3591"/>
  </r>
  <r>
    <x v="462"/>
    <n v="4836"/>
  </r>
  <r>
    <x v="463"/>
    <n v="4348"/>
  </r>
  <r>
    <x v="464"/>
    <n v="2451"/>
  </r>
  <r>
    <x v="465"/>
    <n v="1814"/>
  </r>
  <r>
    <x v="466"/>
    <n v="2770"/>
  </r>
  <r>
    <x v="467"/>
    <n v="3072"/>
  </r>
  <r>
    <x v="468"/>
    <n v="1934"/>
  </r>
  <r>
    <x v="469"/>
    <n v="2019"/>
  </r>
  <r>
    <x v="470"/>
    <n v="979"/>
  </r>
  <r>
    <x v="471"/>
    <n v="1398"/>
  </r>
  <r>
    <x v="472"/>
    <n v="1198"/>
  </r>
  <r>
    <x v="473"/>
    <n v="2485"/>
  </r>
  <r>
    <x v="474"/>
    <n v="3172"/>
  </r>
  <r>
    <x v="475"/>
    <n v="1497"/>
  </r>
  <r>
    <x v="476"/>
    <n v="1365"/>
  </r>
  <r>
    <x v="477"/>
    <n v="1353"/>
  </r>
  <r>
    <x v="478"/>
    <n v="3439"/>
  </r>
  <r>
    <x v="479"/>
    <n v="1434"/>
  </r>
  <r>
    <x v="480"/>
    <n v="8892"/>
  </r>
  <r>
    <x v="481"/>
    <n v="13144"/>
  </r>
  <r>
    <x v="482"/>
    <n v="5179"/>
  </r>
  <r>
    <x v="483"/>
    <n v="5014"/>
  </r>
  <r>
    <x v="484"/>
    <n v="4936"/>
  </r>
  <r>
    <x v="485"/>
    <n v="5150"/>
  </r>
  <r>
    <x v="486"/>
    <n v="9986"/>
  </r>
  <r>
    <x v="487"/>
    <n v="12937"/>
  </r>
  <r>
    <x v="488"/>
    <n v="12217"/>
  </r>
  <r>
    <x v="489"/>
    <n v="6721"/>
  </r>
  <r>
    <x v="490"/>
    <n v="8283"/>
  </r>
  <r>
    <x v="491"/>
    <n v="6191"/>
  </r>
  <r>
    <x v="492"/>
    <n v="5959"/>
  </r>
  <r>
    <x v="493"/>
    <n v="2848"/>
  </r>
  <r>
    <x v="494"/>
    <n v="8748"/>
  </r>
  <r>
    <x v="495"/>
    <n v="10329"/>
  </r>
  <r>
    <x v="496"/>
    <n v="4410"/>
  </r>
  <r>
    <x v="497"/>
    <n v="5257"/>
  </r>
  <r>
    <x v="498"/>
    <n v="5118"/>
  </r>
  <r>
    <x v="499"/>
    <n v="4410"/>
  </r>
  <r>
    <x v="500"/>
    <n v="3952"/>
  </r>
  <r>
    <x v="501"/>
    <n v="10084"/>
  </r>
  <r>
    <x v="502"/>
    <n v="10964"/>
  </r>
  <r>
    <x v="503"/>
    <n v="4695"/>
  </r>
  <r>
    <x v="504"/>
    <n v="5205"/>
  </r>
  <r>
    <x v="505"/>
    <n v="3638"/>
  </r>
  <r>
    <x v="506"/>
    <n v="4394"/>
  </r>
  <r>
    <x v="507"/>
    <n v="2012"/>
  </r>
  <r>
    <x v="508"/>
    <n v="8526"/>
  </r>
  <r>
    <x v="509"/>
    <n v="11096"/>
  </r>
  <r>
    <x v="510"/>
    <n v="4489"/>
  </r>
  <r>
    <x v="511"/>
    <n v="6795"/>
  </r>
  <r>
    <x v="512"/>
    <n v="5283"/>
  </r>
  <r>
    <x v="513"/>
    <n v="6453"/>
  </r>
  <r>
    <x v="514"/>
    <n v="5770"/>
  </r>
  <r>
    <x v="515"/>
    <n v="12507"/>
  </r>
  <r>
    <x v="516"/>
    <n v="14475"/>
  </r>
  <r>
    <x v="517"/>
    <n v="7009"/>
  </r>
  <r>
    <x v="518"/>
    <n v="11688"/>
  </r>
  <r>
    <x v="519"/>
    <n v="8863"/>
  </r>
  <r>
    <x v="520"/>
    <n v="7148"/>
  </r>
  <r>
    <x v="521"/>
    <n v="5326"/>
  </r>
  <r>
    <x v="522"/>
    <n v="7775"/>
  </r>
  <r>
    <x v="523"/>
    <n v="9255"/>
  </r>
  <r>
    <x v="524"/>
    <n v="4758"/>
  </r>
  <r>
    <x v="525"/>
    <n v="2613"/>
  </r>
  <r>
    <x v="526"/>
    <n v="1830"/>
  </r>
  <r>
    <x v="527"/>
    <n v="1694"/>
  </r>
  <r>
    <x v="528"/>
    <n v="1642"/>
  </r>
  <r>
    <x v="529"/>
    <n v="3690"/>
  </r>
  <r>
    <x v="530"/>
    <n v="4404"/>
  </r>
  <r>
    <x v="531"/>
    <n v="1992"/>
  </r>
  <r>
    <x v="532"/>
    <n v="3557"/>
  </r>
  <r>
    <x v="533"/>
    <n v="2395"/>
  </r>
  <r>
    <x v="534"/>
    <n v="2120"/>
  </r>
  <r>
    <x v="535"/>
    <n v="1875"/>
  </r>
  <r>
    <x v="536"/>
    <n v="3376"/>
  </r>
  <r>
    <x v="537"/>
    <n v="4027"/>
  </r>
  <r>
    <x v="538"/>
    <n v="2128"/>
  </r>
  <r>
    <x v="539"/>
    <n v="2046"/>
  </r>
  <r>
    <x v="540"/>
    <n v="1546"/>
  </r>
  <r>
    <x v="541"/>
    <n v="2822"/>
  </r>
  <r>
    <x v="542"/>
    <n v="4865"/>
  </r>
  <r>
    <x v="543"/>
    <n v="8450"/>
  </r>
  <r>
    <x v="544"/>
    <n v="9770"/>
  </r>
  <r>
    <x v="545"/>
    <n v="4914"/>
  </r>
  <r>
    <x v="546"/>
    <n v="4385"/>
  </r>
  <r>
    <x v="547"/>
    <n v="5627"/>
  </r>
  <r>
    <x v="548"/>
    <n v="8086"/>
  </r>
  <r>
    <x v="549"/>
    <n v="6639"/>
  </r>
  <r>
    <x v="550"/>
    <n v="7104"/>
  </r>
  <r>
    <x v="551"/>
    <n v="8364"/>
  </r>
  <r>
    <x v="552"/>
    <n v="4146"/>
  </r>
  <r>
    <x v="553"/>
    <n v="4601"/>
  </r>
  <r>
    <x v="554"/>
    <n v="3593"/>
  </r>
  <r>
    <x v="555"/>
    <n v="2114"/>
  </r>
  <r>
    <x v="556"/>
    <n v="1797"/>
  </r>
  <r>
    <x v="557"/>
    <n v="3195"/>
  </r>
  <r>
    <x v="558"/>
    <n v="3595"/>
  </r>
  <r>
    <x v="559"/>
    <n v="1467"/>
  </r>
  <r>
    <x v="560"/>
    <n v="1610"/>
  </r>
  <r>
    <x v="561"/>
    <n v="1307"/>
  </r>
  <r>
    <x v="562"/>
    <n v="2050"/>
  </r>
  <r>
    <x v="563"/>
    <n v="1849"/>
  </r>
  <r>
    <x v="564"/>
    <n v="3070"/>
  </r>
  <r>
    <x v="565"/>
    <n v="3322"/>
  </r>
  <r>
    <x v="566"/>
    <n v="1982"/>
  </r>
  <r>
    <x v="567"/>
    <n v="1787"/>
  </r>
  <r>
    <x v="568"/>
    <n v="1846"/>
  </r>
  <r>
    <x v="569"/>
    <n v="1142"/>
  </r>
  <r>
    <x v="570"/>
    <n v="1734"/>
  </r>
  <r>
    <x v="571"/>
    <n v="3259"/>
  </r>
  <r>
    <x v="572"/>
    <n v="3572"/>
  </r>
  <r>
    <x v="573"/>
    <n v="2109"/>
  </r>
  <r>
    <x v="574"/>
    <n v="2242"/>
  </r>
  <r>
    <x v="575"/>
    <n v="1474"/>
  </r>
  <r>
    <x v="576"/>
    <n v="1381"/>
  </r>
  <r>
    <x v="577"/>
    <n v="1423"/>
  </r>
  <r>
    <x v="578"/>
    <n v="3740"/>
  </r>
  <r>
    <x v="579"/>
    <n v="4453"/>
  </r>
  <r>
    <x v="580"/>
    <n v="2258"/>
  </r>
  <r>
    <x v="581"/>
    <n v="2074"/>
  </r>
  <r>
    <x v="582"/>
    <n v="2007"/>
  </r>
  <r>
    <x v="583"/>
    <n v="1948"/>
  </r>
  <r>
    <x v="584"/>
    <n v="1922"/>
  </r>
  <r>
    <x v="585"/>
    <n v="3088"/>
  </r>
  <r>
    <x v="586"/>
    <n v="3388"/>
  </r>
  <r>
    <x v="587"/>
    <n v="1944"/>
  </r>
  <r>
    <x v="588"/>
    <n v="1812"/>
  </r>
  <r>
    <x v="589"/>
    <n v="1563"/>
  </r>
  <r>
    <x v="590"/>
    <n v="1171"/>
  </r>
  <r>
    <x v="591"/>
    <n v="1035"/>
  </r>
  <r>
    <x v="592"/>
    <n v="2247"/>
  </r>
  <r>
    <x v="593"/>
    <n v="3068"/>
  </r>
  <r>
    <x v="594"/>
    <n v="1866"/>
  </r>
  <r>
    <x v="595"/>
    <n v="1690"/>
  </r>
  <r>
    <x v="596"/>
    <n v="922"/>
  </r>
  <r>
    <x v="597"/>
    <n v="604"/>
  </r>
  <r>
    <x v="598"/>
    <n v="643"/>
  </r>
  <r>
    <x v="599"/>
    <n v="2006"/>
  </r>
  <r>
    <x v="600"/>
    <n v="2677"/>
  </r>
  <r>
    <x v="601"/>
    <n v="1467"/>
  </r>
  <r>
    <x v="602"/>
    <n v="1528"/>
  </r>
  <r>
    <x v="603"/>
    <n v="6360"/>
  </r>
  <r>
    <x v="604"/>
    <n v="8035"/>
  </r>
  <r>
    <x v="605"/>
    <n v="6675"/>
  </r>
  <r>
    <x v="606"/>
    <n v="11330"/>
  </r>
  <r>
    <x v="607"/>
    <n v="13484"/>
  </r>
  <r>
    <x v="608"/>
    <n v="5913"/>
  </r>
  <r>
    <x v="609"/>
    <n v="9721"/>
  </r>
  <r>
    <x v="610"/>
    <n v="11257"/>
  </r>
  <r>
    <x v="611"/>
    <n v="10102"/>
  </r>
  <r>
    <x v="612"/>
    <n v="7938"/>
  </r>
  <r>
    <x v="613"/>
    <n v="9936"/>
  </r>
  <r>
    <x v="614"/>
    <n v="10643"/>
  </r>
  <r>
    <x v="615"/>
    <n v="4800"/>
  </r>
  <r>
    <x v="616"/>
    <n v="5228"/>
  </r>
  <r>
    <x v="617"/>
    <n v="1810"/>
  </r>
  <r>
    <x v="618"/>
    <n v="1961"/>
  </r>
  <r>
    <x v="619"/>
    <n v="1232"/>
  </r>
  <r>
    <x v="620"/>
    <n v="2194"/>
  </r>
  <r>
    <x v="621"/>
    <n v="1469"/>
  </r>
  <r>
    <x v="622"/>
    <n v="829"/>
  </r>
  <r>
    <x v="623"/>
    <n v="1329"/>
  </r>
  <r>
    <x v="624"/>
    <n v="1300"/>
  </r>
  <r>
    <x v="625"/>
    <n v="773"/>
  </r>
  <r>
    <x v="626"/>
    <n v="760"/>
  </r>
  <r>
    <x v="627"/>
    <n v="1755"/>
  </r>
  <r>
    <x v="628"/>
    <n v="1766"/>
  </r>
  <r>
    <x v="629"/>
    <n v="1078"/>
  </r>
  <r>
    <x v="630"/>
    <n v="1124"/>
  </r>
  <r>
    <x v="631"/>
    <n v="1182"/>
  </r>
  <r>
    <x v="632"/>
    <n v="3725"/>
  </r>
  <r>
    <x v="633"/>
    <n v="4492"/>
  </r>
  <r>
    <x v="634"/>
    <n v="11030"/>
  </r>
  <r>
    <x v="635"/>
    <n v="10528"/>
  </r>
  <r>
    <x v="636"/>
    <n v="4895"/>
  </r>
  <r>
    <x v="637"/>
    <n v="5720"/>
  </r>
  <r>
    <x v="638"/>
    <n v="4288"/>
  </r>
  <r>
    <x v="639"/>
    <n v="9693"/>
  </r>
  <r>
    <x v="640"/>
    <n v="12065"/>
  </r>
  <r>
    <x v="641"/>
    <n v="11758"/>
  </r>
  <r>
    <x v="642"/>
    <n v="13508"/>
  </r>
  <r>
    <x v="643"/>
    <n v="6085"/>
  </r>
  <r>
    <x v="644"/>
    <n v="8828"/>
  </r>
  <r>
    <x v="645"/>
    <n v="6636"/>
  </r>
  <r>
    <x v="646"/>
    <n v="1622"/>
  </r>
  <r>
    <x v="647"/>
    <n v="1512"/>
  </r>
  <r>
    <x v="648"/>
    <n v="3211"/>
  </r>
  <r>
    <x v="649"/>
    <n v="3037"/>
  </r>
  <r>
    <x v="650"/>
    <n v="1456"/>
  </r>
  <r>
    <x v="651"/>
    <n v="1465"/>
  </r>
  <r>
    <x v="652"/>
    <n v="1018"/>
  </r>
  <r>
    <x v="653"/>
    <n v="1070"/>
  </r>
  <r>
    <x v="654"/>
    <n v="1357"/>
  </r>
  <r>
    <x v="655"/>
    <n v="2810"/>
  </r>
  <r>
    <x v="656"/>
    <n v="2829"/>
  </r>
  <r>
    <x v="657"/>
    <n v="1517"/>
  </r>
  <r>
    <x v="658"/>
    <n v="1399"/>
  </r>
  <r>
    <x v="659"/>
    <n v="1067"/>
  </r>
  <r>
    <x v="660"/>
    <n v="1361"/>
  </r>
  <r>
    <x v="661"/>
    <n v="1419"/>
  </r>
  <r>
    <x v="662"/>
    <n v="5042"/>
  </r>
  <r>
    <x v="663"/>
    <n v="6872"/>
  </r>
  <r>
    <x v="664"/>
    <n v="3218"/>
  </r>
  <r>
    <x v="665"/>
    <n v="3347"/>
  </r>
  <r>
    <x v="666"/>
    <n v="3177"/>
  </r>
  <r>
    <x v="667"/>
    <n v="4532"/>
  </r>
  <r>
    <x v="668"/>
    <n v="3231"/>
  </r>
  <r>
    <x v="669"/>
    <n v="7731"/>
  </r>
  <r>
    <x v="670"/>
    <n v="11148"/>
  </r>
  <r>
    <x v="671"/>
    <n v="7459"/>
  </r>
  <r>
    <x v="672"/>
    <n v="7316"/>
  </r>
  <r>
    <x v="673"/>
    <n v="5211"/>
  </r>
  <r>
    <x v="674"/>
    <n v="5731"/>
  </r>
  <r>
    <x v="675"/>
    <n v="3036"/>
  </r>
  <r>
    <x v="676"/>
    <n v="5822"/>
  </r>
  <r>
    <x v="677"/>
    <n v="7987"/>
  </r>
  <r>
    <x v="678"/>
    <n v="3640"/>
  </r>
  <r>
    <x v="679"/>
    <n v="2338"/>
  </r>
  <r>
    <x v="680"/>
    <n v="3744"/>
  </r>
  <r>
    <x v="681"/>
    <n v="4216"/>
  </r>
  <r>
    <x v="682"/>
    <n v="4000"/>
  </r>
  <r>
    <x v="683"/>
    <n v="10204"/>
  </r>
  <r>
    <x v="684"/>
    <n v="10769"/>
  </r>
  <r>
    <x v="685"/>
    <n v="4803"/>
  </r>
  <r>
    <x v="686"/>
    <n v="5042"/>
  </r>
  <r>
    <x v="687"/>
    <n v="4342"/>
  </r>
  <r>
    <x v="688"/>
    <n v="4202"/>
  </r>
  <r>
    <x v="689"/>
    <n v="4151"/>
  </r>
  <r>
    <x v="690"/>
    <n v="8567"/>
  </r>
  <r>
    <x v="691"/>
    <n v="8811"/>
  </r>
  <r>
    <x v="692"/>
    <n v="4345"/>
  </r>
  <r>
    <x v="693"/>
    <n v="1937"/>
  </r>
  <r>
    <x v="694"/>
    <n v="3160"/>
  </r>
  <r>
    <x v="695"/>
    <n v="6924"/>
  </r>
  <r>
    <x v="696"/>
    <n v="9273"/>
  </r>
  <r>
    <x v="697"/>
    <n v="11257"/>
  </r>
  <r>
    <x v="698"/>
    <n v="13019"/>
  </r>
  <r>
    <x v="699"/>
    <n v="7139"/>
  </r>
  <r>
    <x v="700"/>
    <n v="7423"/>
  </r>
  <r>
    <x v="701"/>
    <n v="7474"/>
  </r>
  <r>
    <x v="702"/>
    <n v="7056"/>
  </r>
  <r>
    <x v="703"/>
    <n v="5732"/>
  </r>
  <r>
    <x v="704"/>
    <n v="9038"/>
  </r>
  <r>
    <x v="705"/>
    <n v="10737"/>
  </r>
  <r>
    <x v="706"/>
    <n v="5505"/>
  </r>
  <r>
    <x v="707"/>
    <n v="2198"/>
  </r>
  <r>
    <x v="708"/>
    <n v="3190"/>
  </r>
  <r>
    <x v="709"/>
    <n v="3814"/>
  </r>
  <r>
    <x v="710"/>
    <n v="3610"/>
  </r>
  <r>
    <x v="711"/>
    <n v="6227"/>
  </r>
  <r>
    <x v="712"/>
    <n v="9422"/>
  </r>
  <r>
    <x v="713"/>
    <n v="5014"/>
  </r>
  <r>
    <x v="714"/>
    <n v="4715"/>
  </r>
  <r>
    <x v="715"/>
    <n v="6212"/>
  </r>
  <r>
    <x v="716"/>
    <n v="6585"/>
  </r>
  <r>
    <x v="717"/>
    <n v="6051"/>
  </r>
  <r>
    <x v="718"/>
    <n v="7750"/>
  </r>
  <r>
    <x v="719"/>
    <n v="9490"/>
  </r>
  <r>
    <x v="720"/>
    <n v="4382"/>
  </r>
  <r>
    <x v="721"/>
    <n v="8196"/>
  </r>
  <r>
    <x v="722"/>
    <n v="8863"/>
  </r>
  <r>
    <x v="723"/>
    <n v="6534"/>
  </r>
  <r>
    <x v="724"/>
    <n v="9540"/>
  </r>
  <r>
    <x v="725"/>
    <n v="3256"/>
  </r>
  <r>
    <x v="726"/>
    <n v="2013"/>
  </r>
  <r>
    <x v="727"/>
    <n v="1692"/>
  </r>
  <r>
    <x v="728"/>
    <n v="3234"/>
  </r>
  <r>
    <x v="729"/>
    <n v="4592"/>
  </r>
  <r>
    <x v="730"/>
    <n v="5945"/>
  </r>
  <r>
    <x v="731"/>
    <n v="9266"/>
  </r>
  <r>
    <x v="732"/>
    <n v="3179"/>
  </r>
  <r>
    <x v="733"/>
    <n v="7479"/>
  </r>
  <r>
    <x v="734"/>
    <n v="4694"/>
  </r>
  <r>
    <x v="735"/>
    <n v="7843"/>
  </r>
  <r>
    <x v="736"/>
    <n v="6150"/>
  </r>
  <r>
    <x v="737"/>
    <n v="2401"/>
  </r>
  <r>
    <x v="738"/>
    <n v="1808"/>
  </r>
  <r>
    <x v="739"/>
    <n v="2594"/>
  </r>
  <r>
    <x v="740"/>
    <n v="3274"/>
  </r>
  <r>
    <x v="741"/>
    <n v="2207"/>
  </r>
  <r>
    <x v="742"/>
    <n v="2949"/>
  </r>
  <r>
    <x v="743"/>
    <n v="2417"/>
  </r>
  <r>
    <x v="744"/>
    <n v="1644"/>
  </r>
  <r>
    <x v="745"/>
    <n v="1499"/>
  </r>
  <r>
    <x v="746"/>
    <n v="3648"/>
  </r>
  <r>
    <x v="747"/>
    <n v="4652"/>
  </r>
  <r>
    <x v="748"/>
    <n v="2252"/>
  </r>
  <r>
    <x v="749"/>
    <n v="2357"/>
  </r>
  <r>
    <x v="750"/>
    <n v="1715"/>
  </r>
  <r>
    <x v="751"/>
    <n v="4776"/>
  </r>
  <r>
    <x v="752"/>
    <n v="1628"/>
  </r>
  <r>
    <x v="753"/>
    <n v="7806"/>
  </r>
  <r>
    <x v="754"/>
    <n v="9210"/>
  </r>
  <r>
    <x v="755"/>
    <n v="4351"/>
  </r>
  <r>
    <x v="756"/>
    <n v="6278"/>
  </r>
  <r>
    <x v="757"/>
    <n v="5992"/>
  </r>
  <r>
    <x v="758"/>
    <n v="6265"/>
  </r>
  <r>
    <x v="759"/>
    <n v="5723"/>
  </r>
  <r>
    <x v="760"/>
    <n v="11900"/>
  </r>
  <r>
    <x v="761"/>
    <n v="15345"/>
  </r>
  <r>
    <x v="762"/>
    <n v="6525"/>
  </r>
  <r>
    <x v="763"/>
    <n v="10153"/>
  </r>
  <r>
    <x v="764"/>
    <n v="8116"/>
  </r>
  <r>
    <x v="765"/>
    <n v="7712"/>
  </r>
  <r>
    <x v="766"/>
    <n v="5759"/>
  </r>
  <r>
    <x v="767"/>
    <n v="9501"/>
  </r>
  <r>
    <x v="768"/>
    <n v="10840"/>
  </r>
  <r>
    <x v="769"/>
    <n v="5089"/>
  </r>
  <r>
    <x v="770"/>
    <n v="6087"/>
  </r>
  <r>
    <x v="771"/>
    <n v="2053"/>
  </r>
  <r>
    <x v="772"/>
    <n v="1825"/>
  </r>
  <r>
    <x v="773"/>
    <n v="1525"/>
  </r>
  <r>
    <x v="774"/>
    <n v="3542"/>
  </r>
  <r>
    <x v="775"/>
    <n v="4105"/>
  </r>
  <r>
    <x v="776"/>
    <n v="2094"/>
  </r>
  <r>
    <x v="777"/>
    <n v="2940"/>
  </r>
  <r>
    <x v="778"/>
    <n v="1841"/>
  </r>
  <r>
    <x v="779"/>
    <n v="4529"/>
  </r>
  <r>
    <x v="780"/>
    <n v="1658"/>
  </r>
  <r>
    <x v="781"/>
    <n v="3841"/>
  </r>
  <r>
    <x v="782"/>
    <n v="9260"/>
  </r>
  <r>
    <x v="783"/>
    <n v="2308"/>
  </r>
  <r>
    <x v="784"/>
    <n v="2028"/>
  </r>
  <r>
    <x v="785"/>
    <n v="1301"/>
  </r>
  <r>
    <x v="786"/>
    <n v="2213"/>
  </r>
  <r>
    <x v="787"/>
    <n v="4404"/>
  </r>
  <r>
    <x v="788"/>
    <n v="4935"/>
  </r>
  <r>
    <x v="789"/>
    <n v="5609"/>
  </r>
  <r>
    <x v="790"/>
    <n v="3452"/>
  </r>
  <r>
    <x v="791"/>
    <n v="4270"/>
  </r>
  <r>
    <x v="792"/>
    <n v="4719"/>
  </r>
  <r>
    <x v="793"/>
    <n v="4451"/>
  </r>
  <r>
    <x v="794"/>
    <n v="3364"/>
  </r>
  <r>
    <x v="795"/>
    <n v="3665"/>
  </r>
  <r>
    <x v="796"/>
    <n v="3889"/>
  </r>
  <r>
    <x v="797"/>
    <n v="1882"/>
  </r>
  <r>
    <x v="798"/>
    <n v="2405"/>
  </r>
  <r>
    <x v="799"/>
    <n v="1577"/>
  </r>
  <r>
    <x v="800"/>
    <n v="913"/>
  </r>
  <r>
    <x v="801"/>
    <n v="892"/>
  </r>
  <r>
    <x v="802"/>
    <n v="1855"/>
  </r>
  <r>
    <x v="803"/>
    <n v="1897"/>
  </r>
  <r>
    <x v="804"/>
    <n v="883"/>
  </r>
  <r>
    <x v="805"/>
    <n v="1071"/>
  </r>
  <r>
    <x v="806"/>
    <n v="1320"/>
  </r>
  <r>
    <x v="807"/>
    <n v="997"/>
  </r>
  <r>
    <x v="808"/>
    <n v="817"/>
  </r>
  <r>
    <x v="809"/>
    <n v="1866"/>
  </r>
  <r>
    <x v="810"/>
    <n v="2211"/>
  </r>
  <r>
    <x v="811"/>
    <n v="1304"/>
  </r>
  <r>
    <x v="812"/>
    <n v="1143"/>
  </r>
  <r>
    <x v="813"/>
    <n v="1573"/>
  </r>
  <r>
    <x v="814"/>
    <n v="2065"/>
  </r>
  <r>
    <x v="815"/>
    <n v="6588"/>
  </r>
  <r>
    <x v="816"/>
    <n v="5652"/>
  </r>
  <r>
    <x v="817"/>
    <n v="4103"/>
  </r>
  <r>
    <x v="818"/>
    <n v="1466"/>
  </r>
  <r>
    <x v="819"/>
    <n v="2162"/>
  </r>
  <r>
    <x v="820"/>
    <n v="2155"/>
  </r>
  <r>
    <x v="821"/>
    <n v="1746"/>
  </r>
  <r>
    <x v="822"/>
    <n v="3554"/>
  </r>
  <r>
    <x v="823"/>
    <n v="6282"/>
  </r>
  <r>
    <x v="824"/>
    <n v="5259"/>
  </r>
  <r>
    <x v="825"/>
    <n v="2446"/>
  </r>
  <r>
    <x v="826"/>
    <n v="3345"/>
  </r>
  <r>
    <x v="827"/>
    <n v="2048"/>
  </r>
  <r>
    <x v="828"/>
    <n v="1303"/>
  </r>
  <r>
    <x v="829"/>
    <n v="4413"/>
  </r>
  <r>
    <x v="830"/>
    <n v="7494"/>
  </r>
  <r>
    <x v="831"/>
    <n v="7738"/>
  </r>
  <r>
    <x v="832"/>
    <n v="2958"/>
  </r>
  <r>
    <x v="833"/>
    <n v="3713"/>
  </r>
  <r>
    <x v="834"/>
    <n v="3504"/>
  </r>
  <r>
    <x v="835"/>
    <n v="3534"/>
  </r>
  <r>
    <x v="836"/>
    <n v="4601"/>
  </r>
  <r>
    <x v="837"/>
    <n v="10045"/>
  </r>
  <r>
    <x v="838"/>
    <n v="9301"/>
  </r>
  <r>
    <x v="839"/>
    <n v="4678"/>
  </r>
  <r>
    <x v="840"/>
    <n v="4294"/>
  </r>
  <r>
    <x v="841"/>
    <n v="3606"/>
  </r>
  <r>
    <x v="842"/>
    <n v="4838"/>
  </r>
  <r>
    <x v="843"/>
    <n v="4914"/>
  </r>
  <r>
    <x v="844"/>
    <n v="10269"/>
  </r>
  <r>
    <x v="845"/>
    <n v="12317"/>
  </r>
  <r>
    <x v="846"/>
    <n v="5453"/>
  </r>
  <r>
    <x v="847"/>
    <n v="7372"/>
  </r>
  <r>
    <x v="848"/>
    <n v="8211"/>
  </r>
  <r>
    <x v="849"/>
    <n v="9182"/>
  </r>
  <r>
    <x v="850"/>
    <n v="7520"/>
  </r>
  <r>
    <x v="851"/>
    <n v="13321"/>
  </r>
  <r>
    <x v="852"/>
    <n v="16276"/>
  </r>
  <r>
    <x v="853"/>
    <n v="10388"/>
  </r>
  <r>
    <x v="854"/>
    <n v="8298"/>
  </r>
  <r>
    <x v="855"/>
    <n v="8717"/>
  </r>
  <r>
    <x v="856"/>
    <n v="8364"/>
  </r>
  <r>
    <x v="857"/>
    <n v="6968"/>
  </r>
  <r>
    <x v="858"/>
    <n v="9973"/>
  </r>
  <r>
    <x v="859"/>
    <n v="11363"/>
  </r>
  <r>
    <x v="860"/>
    <n v="4074"/>
  </r>
  <r>
    <x v="861"/>
    <n v="1579"/>
  </r>
  <r>
    <x v="862"/>
    <n v="1016"/>
  </r>
  <r>
    <x v="863"/>
    <n v="832"/>
  </r>
  <r>
    <x v="864"/>
    <n v="647"/>
  </r>
  <r>
    <x v="865"/>
    <n v="1898"/>
  </r>
  <r>
    <x v="866"/>
    <n v="1961"/>
  </r>
  <r>
    <x v="867"/>
    <n v="1224"/>
  </r>
  <r>
    <x v="868"/>
    <n v="1019"/>
  </r>
  <r>
    <x v="869"/>
    <n v="930"/>
  </r>
  <r>
    <x v="870"/>
    <n v="818"/>
  </r>
  <r>
    <x v="871"/>
    <n v="937"/>
  </r>
  <r>
    <x v="872"/>
    <n v="2302"/>
  </r>
  <r>
    <x v="873"/>
    <n v="2363"/>
  </r>
  <r>
    <x v="874"/>
    <n v="1466"/>
  </r>
  <r>
    <x v="875"/>
    <n v="1644"/>
  </r>
  <r>
    <x v="876"/>
    <n v="3224"/>
  </r>
  <r>
    <x v="877"/>
    <n v="7392"/>
  </r>
  <r>
    <x v="878"/>
    <n v="6138"/>
  </r>
  <r>
    <x v="879"/>
    <n v="10624"/>
  </r>
  <r>
    <x v="880"/>
    <n v="11590"/>
  </r>
  <r>
    <x v="881"/>
    <n v="5959"/>
  </r>
  <r>
    <x v="882"/>
    <n v="5048"/>
  </r>
  <r>
    <x v="883"/>
    <n v="7542"/>
  </r>
  <r>
    <x v="884"/>
    <n v="10761"/>
  </r>
  <r>
    <x v="885"/>
    <n v="8120"/>
  </r>
  <r>
    <x v="886"/>
    <n v="10896"/>
  </r>
  <r>
    <x v="887"/>
    <n v="11726"/>
  </r>
  <r>
    <x v="888"/>
    <n v="6007"/>
  </r>
  <r>
    <x v="889"/>
    <n v="5185"/>
  </r>
  <r>
    <x v="890"/>
    <n v="1675"/>
  </r>
  <r>
    <x v="891"/>
    <n v="4765"/>
  </r>
  <r>
    <x v="892"/>
    <n v="3953"/>
  </r>
  <r>
    <x v="893"/>
    <n v="7190"/>
  </r>
  <r>
    <x v="894"/>
    <n v="8577"/>
  </r>
  <r>
    <x v="895"/>
    <n v="3943"/>
  </r>
  <r>
    <x v="896"/>
    <n v="3707"/>
  </r>
  <r>
    <x v="897"/>
    <n v="3054"/>
  </r>
  <r>
    <x v="898"/>
    <n v="6541"/>
  </r>
  <r>
    <x v="899"/>
    <n v="5749"/>
  </r>
  <r>
    <x v="900"/>
    <n v="9385"/>
  </r>
  <r>
    <x v="901"/>
    <n v="9012"/>
  </r>
  <r>
    <x v="902"/>
    <n v="3831"/>
  </r>
  <r>
    <x v="903"/>
    <n v="4097"/>
  </r>
  <r>
    <x v="904"/>
    <n v="3509"/>
  </r>
  <r>
    <x v="905"/>
    <n v="953"/>
  </r>
  <r>
    <x v="906"/>
    <n v="4305"/>
  </r>
  <r>
    <x v="907"/>
    <n v="11667"/>
  </r>
  <r>
    <x v="908"/>
    <n v="13793"/>
  </r>
  <r>
    <x v="909"/>
    <n v="6641"/>
  </r>
  <r>
    <x v="910"/>
    <n v="7593"/>
  </r>
  <r>
    <x v="911"/>
    <n v="6007"/>
  </r>
  <r>
    <x v="912"/>
    <n v="6345"/>
  </r>
  <r>
    <x v="913"/>
    <n v="8482"/>
  </r>
  <r>
    <x v="914"/>
    <n v="14344"/>
  </r>
  <r>
    <x v="915"/>
    <n v="13609"/>
  </r>
  <r>
    <x v="916"/>
    <n v="7259"/>
  </r>
  <r>
    <x v="917"/>
    <n v="8431"/>
  </r>
  <r>
    <x v="918"/>
    <n v="6577"/>
  </r>
  <r>
    <x v="919"/>
    <n v="6098"/>
  </r>
  <r>
    <x v="920"/>
    <n v="1654"/>
  </r>
  <r>
    <x v="921"/>
    <n v="2073"/>
  </r>
  <r>
    <x v="922"/>
    <n v="1871"/>
  </r>
  <r>
    <x v="923"/>
    <n v="946"/>
  </r>
  <r>
    <x v="924"/>
    <n v="1090"/>
  </r>
  <r>
    <x v="925"/>
    <n v="876"/>
  </r>
  <r>
    <x v="926"/>
    <n v="790"/>
  </r>
  <r>
    <x v="927"/>
    <n v="723"/>
  </r>
  <r>
    <x v="928"/>
    <n v="1910"/>
  </r>
  <r>
    <x v="929"/>
    <n v="2266"/>
  </r>
  <r>
    <x v="930"/>
    <n v="1078"/>
  </r>
  <r>
    <x v="931"/>
    <n v="1227"/>
  </r>
  <r>
    <x v="932"/>
    <n v="900"/>
  </r>
  <r>
    <x v="862"/>
    <n v="1016"/>
  </r>
  <r>
    <x v="933"/>
    <n v="836"/>
  </r>
  <r>
    <x v="934"/>
    <n v="1454"/>
  </r>
  <r>
    <x v="935"/>
    <n v="1835"/>
  </r>
  <r>
    <x v="936"/>
    <n v="972"/>
  </r>
  <r>
    <x v="937"/>
    <n v="1024"/>
  </r>
  <r>
    <x v="938"/>
    <n v="1044"/>
  </r>
  <r>
    <x v="939"/>
    <n v="1611"/>
  </r>
  <r>
    <x v="940"/>
    <n v="1234"/>
  </r>
  <r>
    <x v="941"/>
    <n v="2223"/>
  </r>
  <r>
    <x v="942"/>
    <n v="2267"/>
  </r>
  <r>
    <x v="943"/>
    <n v="1415"/>
  </r>
  <r>
    <x v="944"/>
    <n v="1548"/>
  </r>
  <r>
    <x v="945"/>
    <n v="1679"/>
  </r>
  <r>
    <x v="946"/>
    <n v="1152"/>
  </r>
  <r>
    <x v="947"/>
    <n v="1101"/>
  </r>
  <r>
    <x v="948"/>
    <n v="1746"/>
  </r>
  <r>
    <x v="949"/>
    <n v="1700"/>
  </r>
  <r>
    <x v="950"/>
    <n v="715"/>
  </r>
  <r>
    <x v="951"/>
    <n v="897"/>
  </r>
  <r>
    <x v="952"/>
    <n v="733"/>
  </r>
  <r>
    <x v="953"/>
    <n v="4282"/>
  </r>
  <r>
    <x v="954"/>
    <n v="2867"/>
  </r>
  <r>
    <x v="955"/>
    <n v="6082"/>
  </r>
  <r>
    <x v="956"/>
    <n v="7771"/>
  </r>
  <r>
    <x v="957"/>
    <n v="3576"/>
  </r>
  <r>
    <x v="958"/>
    <n v="4649"/>
  </r>
  <r>
    <x v="959"/>
    <n v="3302"/>
  </r>
  <r>
    <x v="960"/>
    <n v="3536"/>
  </r>
  <r>
    <x v="961"/>
    <n v="3236"/>
  </r>
  <r>
    <x v="962"/>
    <n v="6646"/>
  </r>
  <r>
    <x v="963"/>
    <n v="7220"/>
  </r>
  <r>
    <x v="964"/>
    <n v="3958"/>
  </r>
  <r>
    <x v="965"/>
    <n v="3672"/>
  </r>
  <r>
    <x v="966"/>
    <n v="1035"/>
  </r>
  <r>
    <x v="967"/>
    <n v="3549"/>
  </r>
  <r>
    <x v="968"/>
    <n v="6647"/>
  </r>
  <r>
    <x v="969"/>
    <n v="9908"/>
  </r>
  <r>
    <x v="970"/>
    <n v="10393"/>
  </r>
  <r>
    <x v="971"/>
    <n v="4507"/>
  </r>
  <r>
    <x v="972"/>
    <n v="4672"/>
  </r>
  <r>
    <x v="973"/>
    <n v="3924"/>
  </r>
  <r>
    <x v="974"/>
    <n v="6918"/>
  </r>
  <r>
    <x v="975"/>
    <n v="9183"/>
  </r>
  <r>
    <x v="976"/>
    <n v="10830"/>
  </r>
  <r>
    <x v="977"/>
    <n v="10800"/>
  </r>
  <r>
    <x v="978"/>
    <n v="6119"/>
  </r>
  <r>
    <x v="979"/>
    <n v="6685"/>
  </r>
  <r>
    <x v="980"/>
    <n v="4519"/>
  </r>
  <r>
    <x v="981"/>
    <n v="1206"/>
  </r>
  <r>
    <x v="982"/>
    <n v="1029"/>
  </r>
  <r>
    <x v="983"/>
    <n v="1917"/>
  </r>
  <r>
    <x v="984"/>
    <n v="2108"/>
  </r>
  <r>
    <x v="985"/>
    <n v="1211"/>
  </r>
  <r>
    <x v="986"/>
    <n v="1291"/>
  </r>
  <r>
    <x v="987"/>
    <n v="755"/>
  </r>
  <r>
    <x v="988"/>
    <n v="508"/>
  </r>
  <r>
    <x v="989"/>
    <n v="1010"/>
  </r>
  <r>
    <x v="990"/>
    <n v="1733"/>
  </r>
  <r>
    <x v="991"/>
    <n v="2482"/>
  </r>
  <r>
    <x v="992"/>
    <n v="1235"/>
  </r>
  <r>
    <x v="993"/>
    <n v="1155"/>
  </r>
  <r>
    <x v="994"/>
    <n v="940"/>
  </r>
  <r>
    <x v="995"/>
    <n v="1241"/>
  </r>
  <r>
    <x v="996"/>
    <n v="1039"/>
  </r>
  <r>
    <x v="997"/>
    <n v="3657"/>
  </r>
  <r>
    <x v="998"/>
    <n v="3758"/>
  </r>
  <r>
    <x v="999"/>
    <n v="1797"/>
  </r>
  <r>
    <x v="1000"/>
    <n v="1671"/>
  </r>
  <r>
    <x v="1001"/>
    <n v="1462"/>
  </r>
  <r>
    <x v="1002"/>
    <n v="1581"/>
  </r>
  <r>
    <x v="1003"/>
    <n v="1534"/>
  </r>
  <r>
    <x v="1004"/>
    <n v="4216"/>
  </r>
  <r>
    <x v="1005"/>
    <n v="5632"/>
  </r>
  <r>
    <x v="1006"/>
    <n v="3173"/>
  </r>
  <r>
    <x v="1007"/>
    <n v="3540"/>
  </r>
  <r>
    <x v="1008"/>
    <n v="2397"/>
  </r>
  <r>
    <x v="1009"/>
    <n v="1955"/>
  </r>
  <r>
    <x v="1010"/>
    <n v="1740"/>
  </r>
  <r>
    <x v="1011"/>
    <n v="2176"/>
  </r>
  <r>
    <x v="1012"/>
    <n v="2283"/>
  </r>
  <r>
    <x v="1013"/>
    <n v="1284"/>
  </r>
  <r>
    <x v="1014"/>
    <n v="1263"/>
  </r>
  <r>
    <x v="1015"/>
    <n v="896"/>
  </r>
  <r>
    <x v="1016"/>
    <n v="768"/>
  </r>
  <r>
    <x v="1017"/>
    <n v="521"/>
  </r>
  <r>
    <x v="1018"/>
    <n v="1618"/>
  </r>
  <r>
    <x v="1019"/>
    <n v="2147"/>
  </r>
  <r>
    <x v="1020"/>
    <n v="1335"/>
  </r>
  <r>
    <x v="1021"/>
    <n v="1332"/>
  </r>
  <r>
    <x v="1022"/>
    <n v="954"/>
  </r>
  <r>
    <x v="1023"/>
    <n v="877"/>
  </r>
  <r>
    <x v="1024"/>
    <n v="906"/>
  </r>
  <r>
    <x v="1025"/>
    <n v="2249"/>
  </r>
  <r>
    <x v="1026"/>
    <n v="2472"/>
  </r>
  <r>
    <x v="1027"/>
    <n v="1280"/>
  </r>
  <r>
    <x v="1028"/>
    <n v="940"/>
  </r>
  <r>
    <x v="1029"/>
    <n v="1650"/>
  </r>
  <r>
    <x v="1030"/>
    <n v="1467"/>
  </r>
  <r>
    <x v="1031"/>
    <n v="1257"/>
  </r>
  <r>
    <x v="1032"/>
    <n v="2405"/>
  </r>
  <r>
    <x v="1033"/>
    <n v="2929"/>
  </r>
  <r>
    <x v="1034"/>
    <n v="1582"/>
  </r>
  <r>
    <x v="1035"/>
    <n v="1639"/>
  </r>
  <r>
    <x v="1036"/>
    <n v="2971"/>
  </r>
  <r>
    <x v="1037"/>
    <n v="2284"/>
  </r>
  <r>
    <x v="1038"/>
    <n v="2266"/>
  </r>
  <r>
    <x v="1039"/>
    <n v="3938"/>
  </r>
  <r>
    <x v="1040"/>
    <n v="4720"/>
  </r>
  <r>
    <x v="1041"/>
    <n v="2537"/>
  </r>
  <r>
    <x v="1042"/>
    <n v="2621"/>
  </r>
  <r>
    <x v="1043"/>
    <n v="2341"/>
  </r>
  <r>
    <x v="1044"/>
    <n v="1901"/>
  </r>
  <r>
    <x v="1045"/>
    <n v="1666"/>
  </r>
  <r>
    <x v="1046"/>
    <n v="3748"/>
  </r>
  <r>
    <x v="1047"/>
    <n v="3843"/>
  </r>
  <r>
    <x v="1048"/>
    <n v="2281"/>
  </r>
  <r>
    <x v="1049"/>
    <n v="2046"/>
  </r>
  <r>
    <x v="1050"/>
    <n v="2181"/>
  </r>
  <r>
    <x v="1051"/>
    <n v="176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1">
  <r>
    <x v="0"/>
    <n v="223937.9678697265"/>
    <n v="230079.62101244801"/>
    <x v="0"/>
    <n v="-6141.6531427215086"/>
  </r>
  <r>
    <x v="1"/>
    <n v="300345.48456398572"/>
    <n v="306986.12048428319"/>
    <x v="1"/>
    <n v="-6640.6359202974709"/>
  </r>
  <r>
    <x v="2"/>
    <n v="86782.467727417796"/>
    <n v="87986.318214449886"/>
    <x v="2"/>
    <n v="-1203.8504870320903"/>
  </r>
  <r>
    <x v="3"/>
    <n v="200173.11675267719"/>
    <n v="202881.17770623259"/>
    <x v="3"/>
    <n v="-2708.0609535553958"/>
  </r>
  <r>
    <x v="4"/>
    <n v="326906.07417633059"/>
    <n v="333806.29187335481"/>
    <x v="4"/>
    <n v="-6900.217697024229"/>
  </r>
  <r>
    <x v="5"/>
    <n v="307043.93542216189"/>
    <n v="313652.34827236348"/>
    <x v="5"/>
    <n v="-6608.4128502015956"/>
  </r>
  <r>
    <x v="6"/>
    <n v="179188.8844878097"/>
    <n v="183083.28498402701"/>
    <x v="6"/>
    <n v="-3894.4004962173058"/>
  </r>
  <r>
    <x v="7"/>
    <n v="306351.95085899188"/>
    <n v="313446.06814884301"/>
    <x v="7"/>
    <n v="-7094.1172898511286"/>
  </r>
  <r>
    <x v="8"/>
    <n v="224020.40996847831"/>
    <n v="229533.9737283797"/>
    <x v="8"/>
    <n v="-5513.5637599013862"/>
  </r>
  <r>
    <x v="9"/>
    <n v="101836.4022362371"/>
    <n v="99381.967517224926"/>
    <x v="9"/>
    <n v="2454.4347190121771"/>
  </r>
  <r>
    <x v="10"/>
    <n v="107804.30494723171"/>
    <n v="104816.45851255261"/>
    <x v="10"/>
    <n v="2987.8464346791006"/>
  </r>
  <r>
    <x v="11"/>
    <n v="144829.9567239302"/>
    <n v="141333.99628349251"/>
    <x v="11"/>
    <n v="3495.9604404376878"/>
  </r>
  <r>
    <x v="12"/>
    <n v="146571.48235324019"/>
    <n v="143179.66998839291"/>
    <x v="12"/>
    <n v="3391.8123648472829"/>
  </r>
  <r>
    <x v="13"/>
    <n v="95422.3729783171"/>
    <n v="93126.147238344056"/>
    <x v="13"/>
    <n v="2296.2257399730443"/>
  </r>
  <r>
    <x v="14"/>
    <n v="114883.17379115619"/>
    <n v="112186.3086630527"/>
    <x v="14"/>
    <n v="2696.8651281034981"/>
  </r>
  <r>
    <x v="15"/>
    <n v="80090.80007989271"/>
    <n v="78096.76018225115"/>
    <x v="15"/>
    <n v="1994.0398976415599"/>
  </r>
  <r>
    <x v="16"/>
    <n v="98945.371159077826"/>
    <n v="97159.002586869974"/>
    <x v="16"/>
    <n v="1786.3685722078517"/>
  </r>
  <r>
    <x v="17"/>
    <n v="84904.901714107822"/>
    <n v="83350.433158824555"/>
    <x v="17"/>
    <n v="1554.4685552832671"/>
  </r>
  <r>
    <x v="18"/>
    <n v="135460.6197039852"/>
    <n v="132703.3354197717"/>
    <x v="18"/>
    <n v="2757.2842842134996"/>
  </r>
  <r>
    <x v="19"/>
    <n v="149925.74968577511"/>
    <n v="146928.41178089229"/>
    <x v="19"/>
    <n v="2997.337904882821"/>
  </r>
  <r>
    <x v="20"/>
    <n v="74297.307184182937"/>
    <n v="72782.284321402927"/>
    <x v="20"/>
    <n v="1515.0228627800097"/>
  </r>
  <r>
    <x v="21"/>
    <n v="83356.424561202701"/>
    <n v="81789.136122352749"/>
    <x v="21"/>
    <n v="1567.2884388499515"/>
  </r>
  <r>
    <x v="22"/>
    <n v="89922.014286172576"/>
    <n v="88388.916069159721"/>
    <x v="22"/>
    <n v="1533.0982170128555"/>
  </r>
  <r>
    <x v="23"/>
    <n v="57806.302780099039"/>
    <n v="57157.282544092297"/>
    <x v="23"/>
    <n v="649.02023600674147"/>
  </r>
  <r>
    <x v="24"/>
    <n v="63977.750348923553"/>
    <n v="62863.98723906299"/>
    <x v="24"/>
    <n v="1113.7631098605634"/>
  </r>
  <r>
    <x v="25"/>
    <n v="116958.799847952"/>
    <n v="114823.7952238127"/>
    <x v="25"/>
    <n v="2135.0046241392993"/>
  </r>
  <r>
    <x v="26"/>
    <n v="155272.8248054802"/>
    <n v="152636.27656236591"/>
    <x v="26"/>
    <n v="2636.5482431142882"/>
  </r>
  <r>
    <x v="27"/>
    <n v="82885.215909762715"/>
    <n v="81583.166949853185"/>
    <x v="27"/>
    <n v="1302.0489599095308"/>
  </r>
  <r>
    <x v="28"/>
    <n v="72353.425882453303"/>
    <n v="71377.156455436343"/>
    <x v="28"/>
    <n v="976.26942701695953"/>
  </r>
  <r>
    <x v="29"/>
    <n v="50415.903762389164"/>
    <n v="49769.098243003224"/>
    <x v="29"/>
    <n v="646.80551938593999"/>
  </r>
  <r>
    <x v="30"/>
    <n v="67458.30189127379"/>
    <n v="66529.441996531445"/>
    <x v="30"/>
    <n v="928.8598947423452"/>
  </r>
  <r>
    <x v="31"/>
    <n v="64640.369313193798"/>
    <n v="63757.83986845208"/>
    <x v="31"/>
    <n v="882.52944474171818"/>
  </r>
  <r>
    <x v="32"/>
    <n v="137693.87350033139"/>
    <n v="135609.5075820497"/>
    <x v="32"/>
    <n v="2084.3659182816918"/>
  </r>
  <r>
    <x v="33"/>
    <n v="181209.1284812126"/>
    <n v="178435.71534579591"/>
    <x v="33"/>
    <n v="2773.4131354166893"/>
  </r>
  <r>
    <x v="34"/>
    <n v="113433.581045457"/>
    <n v="111466.5168475372"/>
    <x v="34"/>
    <n v="1967.0641979197972"/>
  </r>
  <r>
    <x v="35"/>
    <n v="143192.5333561764"/>
    <n v="140505.6347230032"/>
    <x v="35"/>
    <n v="2686.8986331732012"/>
  </r>
  <r>
    <x v="36"/>
    <n v="130126.6498928814"/>
    <n v="128496.2877011727"/>
    <x v="36"/>
    <n v="1630.3621917087003"/>
  </r>
  <r>
    <x v="37"/>
    <n v="187155.86854573971"/>
    <n v="195078.6033309428"/>
    <x v="37"/>
    <n v="-7922.7347852030944"/>
  </r>
  <r>
    <x v="38"/>
    <n v="102314.70959650401"/>
    <n v="101977.98995528861"/>
    <x v="38"/>
    <n v="336.71964121540077"/>
  </r>
  <r>
    <x v="39"/>
    <n v="301553.84255508689"/>
    <n v="313529.18774871569"/>
    <x v="39"/>
    <n v="-11975.345193628804"/>
  </r>
  <r>
    <x v="40"/>
    <n v="316073.17754939431"/>
    <n v="329754.77946358221"/>
    <x v="40"/>
    <n v="-13681.601914187893"/>
  </r>
  <r>
    <x v="41"/>
    <n v="135178.04255458229"/>
    <n v="141530.7086832913"/>
    <x v="41"/>
    <n v="-6352.6661287090101"/>
  </r>
  <r>
    <x v="42"/>
    <n v="147727.5161863135"/>
    <n v="154828.68457507671"/>
    <x v="42"/>
    <n v="-7101.1683887632098"/>
  </r>
  <r>
    <x v="43"/>
    <n v="135498.74644438611"/>
    <n v="139824.1616410127"/>
    <x v="43"/>
    <n v="-4325.4151966265927"/>
  </r>
  <r>
    <x v="44"/>
    <n v="163432.8452052823"/>
    <n v="166893.36891900509"/>
    <x v="44"/>
    <n v="-3460.5237137227959"/>
  </r>
  <r>
    <x v="45"/>
    <n v="138291.63332158609"/>
    <n v="141027.4344556813"/>
    <x v="45"/>
    <n v="-2735.8011340952071"/>
  </r>
  <r>
    <x v="46"/>
    <n v="336901.37170009938"/>
    <n v="343519.87554694671"/>
    <x v="46"/>
    <n v="-6618.5038468473358"/>
  </r>
  <r>
    <x v="47"/>
    <n v="367729.26821441198"/>
    <n v="373973.59333485219"/>
    <x v="47"/>
    <n v="-6244.3251204402186"/>
  </r>
  <r>
    <x v="48"/>
    <n v="133913.84138739109"/>
    <n v="136797.07737015281"/>
    <x v="48"/>
    <n v="-2883.2359827617183"/>
  </r>
  <r>
    <x v="49"/>
    <n v="150800.3470166623"/>
    <n v="152887.1063994804"/>
    <x v="49"/>
    <n v="-2086.7593828180979"/>
  </r>
  <r>
    <x v="50"/>
    <n v="55591.930335773912"/>
    <n v="53463.244211993297"/>
    <x v="50"/>
    <n v="2128.6861237806152"/>
  </r>
  <r>
    <x v="51"/>
    <n v="106427.191838824"/>
    <n v="107736.4440759586"/>
    <x v="51"/>
    <n v="-1309.2522371345985"/>
  </r>
  <r>
    <x v="52"/>
    <n v="78940.554424797941"/>
    <n v="75934.394822039583"/>
    <x v="52"/>
    <n v="3006.1596027583582"/>
  </r>
  <r>
    <x v="53"/>
    <n v="317916.31785853428"/>
    <n v="322089.78895544191"/>
    <x v="53"/>
    <n v="-4173.4710969076259"/>
  </r>
  <r>
    <x v="54"/>
    <n v="309217.87556252623"/>
    <n v="320116.92432327801"/>
    <x v="54"/>
    <n v="-10899.048760751786"/>
  </r>
  <r>
    <x v="55"/>
    <n v="138491.5499504623"/>
    <n v="140752.60159166719"/>
    <x v="55"/>
    <n v="-2261.0516412048892"/>
  </r>
  <r>
    <x v="56"/>
    <n v="133146.22220523609"/>
    <n v="134505.40422379479"/>
    <x v="56"/>
    <n v="-1359.1820185586985"/>
  </r>
  <r>
    <x v="57"/>
    <n v="224994.65618289221"/>
    <n v="227546.44655960059"/>
    <x v="57"/>
    <n v="-2551.7903767083772"/>
  </r>
  <r>
    <x v="58"/>
    <n v="225051.59146803219"/>
    <n v="228214.1421194314"/>
    <x v="58"/>
    <n v="-3162.550651399215"/>
  </r>
  <r>
    <x v="59"/>
    <n v="344299.68244112999"/>
    <n v="365935.6529559262"/>
    <x v="59"/>
    <n v="-21635.970514796209"/>
  </r>
  <r>
    <x v="60"/>
    <n v="661876.49999964947"/>
    <n v="686656.79099217081"/>
    <x v="60"/>
    <n v="-24780.290992521332"/>
  </r>
  <r>
    <x v="61"/>
    <n v="846678.38816080405"/>
    <n v="872081.58500352106"/>
    <x v="61"/>
    <n v="-25403.196842717007"/>
  </r>
  <r>
    <x v="62"/>
    <n v="478902.30487182317"/>
    <n v="495554.44992388849"/>
    <x v="62"/>
    <n v="-16652.145052065316"/>
  </r>
  <r>
    <x v="63"/>
    <n v="538827.20213254262"/>
    <n v="557567.13698481338"/>
    <x v="63"/>
    <n v="-18739.934852270759"/>
  </r>
  <r>
    <x v="64"/>
    <n v="310346.12128754472"/>
    <n v="323325.02992702462"/>
    <x v="64"/>
    <n v="-12978.908639479894"/>
  </r>
  <r>
    <x v="65"/>
    <n v="256390.52221047229"/>
    <n v="267308.50708271051"/>
    <x v="65"/>
    <n v="-10917.984872238216"/>
  </r>
  <r>
    <x v="66"/>
    <n v="167803.65977609379"/>
    <n v="168135.69000612191"/>
    <x v="66"/>
    <n v="-332.03023002811824"/>
  </r>
  <r>
    <x v="67"/>
    <n v="465318.02151156618"/>
    <n v="483774.59671529243"/>
    <x v="67"/>
    <n v="-18456.575203726243"/>
  </r>
  <r>
    <x v="68"/>
    <n v="520146.74963959062"/>
    <n v="541498.95824459626"/>
    <x v="68"/>
    <n v="-21352.208605005639"/>
  </r>
  <r>
    <x v="69"/>
    <n v="224699.25281941221"/>
    <n v="233589.98296831999"/>
    <x v="69"/>
    <n v="-8890.7301489077799"/>
  </r>
  <r>
    <x v="70"/>
    <n v="286230.67889633839"/>
    <n v="297642.8914364595"/>
    <x v="70"/>
    <n v="-11412.212540121109"/>
  </r>
  <r>
    <x v="71"/>
    <n v="187143.01806258349"/>
    <n v="191499.0428132079"/>
    <x v="71"/>
    <n v="-4356.024750624405"/>
  </r>
  <r>
    <x v="72"/>
    <n v="191700.3891282347"/>
    <n v="197153.4240190601"/>
    <x v="72"/>
    <n v="-5453.0348908253945"/>
  </r>
  <r>
    <x v="73"/>
    <n v="164663.9676028023"/>
    <n v="168975.1740454408"/>
    <x v="73"/>
    <n v="-4311.2064426385041"/>
  </r>
  <r>
    <x v="74"/>
    <n v="395941.34513216221"/>
    <n v="406765.91395402339"/>
    <x v="74"/>
    <n v="-10824.568821861176"/>
  </r>
  <r>
    <x v="75"/>
    <n v="518183.2103749144"/>
    <n v="534383.14311860851"/>
    <x v="75"/>
    <n v="-16199.932743694109"/>
  </r>
  <r>
    <x v="76"/>
    <n v="226617.95494027081"/>
    <n v="233191.1045662229"/>
    <x v="76"/>
    <n v="-6573.1496259520936"/>
  </r>
  <r>
    <x v="77"/>
    <n v="243707.87194737699"/>
    <n v="250794.2212640947"/>
    <x v="77"/>
    <n v="-7086.3493167177076"/>
  </r>
  <r>
    <x v="78"/>
    <n v="94849.743799770498"/>
    <n v="90571.58892297688"/>
    <x v="78"/>
    <n v="4278.1548767936183"/>
  </r>
  <r>
    <x v="79"/>
    <n v="92386.783066575619"/>
    <n v="88255.840991793899"/>
    <x v="79"/>
    <n v="4130.9420747817203"/>
  </r>
  <r>
    <x v="80"/>
    <n v="180394.82770444019"/>
    <n v="172344.30443948091"/>
    <x v="80"/>
    <n v="8050.5232649592799"/>
  </r>
  <r>
    <x v="81"/>
    <n v="200939.69236394399"/>
    <n v="192019.14427492701"/>
    <x v="81"/>
    <n v="8920.5480890169856"/>
  </r>
  <r>
    <x v="82"/>
    <n v="172953.92471044019"/>
    <n v="165201.30501850991"/>
    <x v="82"/>
    <n v="7752.6196919302747"/>
  </r>
  <r>
    <x v="83"/>
    <n v="70194.79953786121"/>
    <n v="67061.622709446878"/>
    <x v="83"/>
    <n v="3133.1768284143327"/>
  </r>
  <r>
    <x v="84"/>
    <n v="81378.21463167097"/>
    <n v="77703.6463336835"/>
    <x v="84"/>
    <n v="3674.5682979874691"/>
  </r>
  <r>
    <x v="85"/>
    <n v="130227.01471457881"/>
    <n v="127394.2892421362"/>
    <x v="85"/>
    <n v="2832.725472442602"/>
  </r>
  <r>
    <x v="86"/>
    <n v="125310.0364078538"/>
    <n v="122275.1025821775"/>
    <x v="86"/>
    <n v="3034.9338256763003"/>
  </r>
  <r>
    <x v="87"/>
    <n v="119452.33963454991"/>
    <n v="118186.5750412271"/>
    <x v="87"/>
    <n v="1265.764593322805"/>
  </r>
  <r>
    <x v="88"/>
    <n v="276174.76932028373"/>
    <n v="271550.89558082249"/>
    <x v="88"/>
    <n v="4623.8737394612399"/>
  </r>
  <r>
    <x v="89"/>
    <n v="357369.26694065123"/>
    <n v="352250.83007461781"/>
    <x v="89"/>
    <n v="5118.4368660334148"/>
  </r>
  <r>
    <x v="90"/>
    <n v="163865.49027270381"/>
    <n v="160525.4268777135"/>
    <x v="90"/>
    <n v="3340.0633949903131"/>
  </r>
  <r>
    <x v="91"/>
    <n v="190719.61452860001"/>
    <n v="187072.59522993831"/>
    <x v="91"/>
    <n v="3647.0192986617039"/>
  </r>
  <r>
    <x v="92"/>
    <n v="244535.20522546369"/>
    <n v="239700.68479759869"/>
    <x v="92"/>
    <n v="4834.5204278650053"/>
  </r>
  <r>
    <x v="93"/>
    <n v="155620.50378882751"/>
    <n v="153366.0188105522"/>
    <x v="93"/>
    <n v="2254.4849782753154"/>
  </r>
  <r>
    <x v="94"/>
    <n v="136001.97816007739"/>
    <n v="134523.0686337204"/>
    <x v="94"/>
    <n v="1478.9095263569907"/>
  </r>
  <r>
    <x v="95"/>
    <n v="190559.8875127674"/>
    <n v="187742.30001175261"/>
    <x v="95"/>
    <n v="2817.5875010147865"/>
  </r>
  <r>
    <x v="96"/>
    <n v="217110.50252912121"/>
    <n v="213540.7341841938"/>
    <x v="96"/>
    <n v="3569.7683449274045"/>
  </r>
  <r>
    <x v="97"/>
    <n v="119190.0999825563"/>
    <n v="116856.31461341619"/>
    <x v="97"/>
    <n v="2333.7853691401106"/>
  </r>
  <r>
    <x v="98"/>
    <n v="131910.19745153241"/>
    <n v="130784.4447090652"/>
    <x v="98"/>
    <n v="1125.7527424672153"/>
  </r>
  <r>
    <x v="99"/>
    <n v="118921.3076762588"/>
    <n v="115305.8051854457"/>
    <x v="99"/>
    <n v="3615.5024908131018"/>
  </r>
  <r>
    <x v="100"/>
    <n v="124828.28283680879"/>
    <n v="121264.7031181628"/>
    <x v="100"/>
    <n v="3563.5797186459968"/>
  </r>
  <r>
    <x v="101"/>
    <n v="179326.4902280964"/>
    <n v="183278.50242698641"/>
    <x v="101"/>
    <n v="-3952.0121988900064"/>
  </r>
  <r>
    <x v="102"/>
    <n v="318949.81705616001"/>
    <n v="326322.52601226018"/>
    <x v="102"/>
    <n v="-7372.708956100163"/>
  </r>
  <r>
    <x v="103"/>
    <n v="375031.10932268901"/>
    <n v="383727.19401292427"/>
    <x v="103"/>
    <n v="-8696.0846902352641"/>
  </r>
  <r>
    <x v="104"/>
    <n v="166393.5407052727"/>
    <n v="170061.86414652271"/>
    <x v="104"/>
    <n v="-3668.3234412500169"/>
  </r>
  <r>
    <x v="105"/>
    <n v="193652.32776782889"/>
    <n v="198212.06872996839"/>
    <x v="105"/>
    <n v="-4559.7409621395054"/>
  </r>
  <r>
    <x v="106"/>
    <n v="249805.5172134914"/>
    <n v="255956.65403528849"/>
    <x v="106"/>
    <n v="-6151.1368217970885"/>
  </r>
  <r>
    <x v="107"/>
    <n v="294023.41088805022"/>
    <n v="301522.35225437139"/>
    <x v="107"/>
    <n v="-7498.9413663211744"/>
  </r>
  <r>
    <x v="108"/>
    <n v="612236.00579723774"/>
    <n v="627927.75867338968"/>
    <x v="108"/>
    <n v="-15691.752876151935"/>
  </r>
  <r>
    <x v="109"/>
    <n v="464815.51786854689"/>
    <n v="476692.5436944089"/>
    <x v="109"/>
    <n v="-11877.025825862016"/>
  </r>
  <r>
    <x v="110"/>
    <n v="360480.94044953783"/>
    <n v="369765.61276322469"/>
    <x v="110"/>
    <n v="-9284.6723136868677"/>
  </r>
  <r>
    <x v="111"/>
    <n v="114279.5772537695"/>
    <n v="117190.8261541667"/>
    <x v="111"/>
    <n v="-2911.2489003972005"/>
  </r>
  <r>
    <x v="112"/>
    <n v="161170.8204027302"/>
    <n v="165415.08384550369"/>
    <x v="112"/>
    <n v="-4244.2634427734884"/>
  </r>
  <r>
    <x v="113"/>
    <n v="182483.14649530521"/>
    <n v="187344.7371716582"/>
    <x v="113"/>
    <n v="-4861.5906763529929"/>
  </r>
  <r>
    <x v="114"/>
    <n v="109358.41252901949"/>
    <n v="106849.898795566"/>
    <x v="114"/>
    <n v="2508.5137334534957"/>
  </r>
  <r>
    <x v="115"/>
    <n v="98430.114109290502"/>
    <n v="96197.482231430811"/>
    <x v="115"/>
    <n v="2232.6318778596906"/>
  </r>
  <r>
    <x v="116"/>
    <n v="295741.34696188261"/>
    <n v="292327.02825568401"/>
    <x v="116"/>
    <n v="3414.3187061985955"/>
  </r>
  <r>
    <x v="117"/>
    <n v="285053.97993312759"/>
    <n v="281159.58112341299"/>
    <x v="117"/>
    <n v="3894.3988097145921"/>
  </r>
  <r>
    <x v="118"/>
    <n v="124964.7964680588"/>
    <n v="123042.1589528976"/>
    <x v="118"/>
    <n v="1922.637515161201"/>
  </r>
  <r>
    <x v="119"/>
    <n v="124175.8083521588"/>
    <n v="122516.0657042025"/>
    <x v="119"/>
    <n v="1659.7426479563001"/>
  </r>
  <r>
    <x v="120"/>
    <n v="131842.57163224381"/>
    <n v="130405.26385817111"/>
    <x v="120"/>
    <n v="1437.3077740727022"/>
  </r>
  <r>
    <x v="121"/>
    <n v="154850.05725768139"/>
    <n v="150644.3482406672"/>
    <x v="121"/>
    <n v="4205.7090170141892"/>
  </r>
  <r>
    <x v="122"/>
    <n v="180294.2687300276"/>
    <n v="175656.65039321329"/>
    <x v="122"/>
    <n v="4637.6183368143102"/>
  </r>
  <r>
    <x v="123"/>
    <n v="163849.03582968141"/>
    <n v="157300.625596072"/>
    <x v="123"/>
    <n v="6548.4102336094074"/>
  </r>
  <r>
    <x v="124"/>
    <n v="131436.7924474414"/>
    <n v="127601.9447259398"/>
    <x v="124"/>
    <n v="3834.8477215016028"/>
  </r>
  <r>
    <x v="125"/>
    <n v="93082.043956892812"/>
    <n v="91601.506543395022"/>
    <x v="125"/>
    <n v="1480.5374134977901"/>
  </r>
  <r>
    <x v="126"/>
    <n v="110887.01329721219"/>
    <n v="109460.1532226706"/>
    <x v="126"/>
    <n v="1426.8600745415897"/>
  </r>
  <r>
    <x v="127"/>
    <n v="119385.5753679569"/>
    <n v="115693.1066418478"/>
    <x v="127"/>
    <n v="3692.4687261091021"/>
  </r>
  <r>
    <x v="128"/>
    <n v="91719.589378837452"/>
    <n v="93157.170582525898"/>
    <x v="128"/>
    <n v="-1437.5812036884454"/>
  </r>
  <r>
    <x v="129"/>
    <n v="96335.448951387458"/>
    <n v="93696.216137213793"/>
    <x v="129"/>
    <n v="2639.2328141736652"/>
  </r>
  <r>
    <x v="130"/>
    <n v="303226.29835425451"/>
    <n v="325836.94011389237"/>
    <x v="130"/>
    <n v="-22610.64175963786"/>
  </r>
  <r>
    <x v="131"/>
    <n v="431695.70916738012"/>
    <n v="465253.81571558799"/>
    <x v="131"/>
    <n v="-33558.10654820787"/>
  </r>
  <r>
    <x v="132"/>
    <n v="200407.27706754219"/>
    <n v="215907.82491282909"/>
    <x v="132"/>
    <n v="-15500.547845286899"/>
  </r>
  <r>
    <x v="133"/>
    <n v="183413.70834773601"/>
    <n v="197835.49508379781"/>
    <x v="133"/>
    <n v="-14421.786736061797"/>
  </r>
  <r>
    <x v="134"/>
    <n v="146166.60112478229"/>
    <n v="157693.18930052701"/>
    <x v="134"/>
    <n v="-11526.588175744721"/>
  </r>
  <r>
    <x v="135"/>
    <n v="201120.7276408147"/>
    <n v="218098.7618880111"/>
    <x v="135"/>
    <n v="-16978.034247196396"/>
  </r>
  <r>
    <x v="136"/>
    <n v="270123.55082332838"/>
    <n v="289864.79847427219"/>
    <x v="136"/>
    <n v="-19741.247650943813"/>
  </r>
  <r>
    <x v="137"/>
    <n v="415315.38394824741"/>
    <n v="441790.76722722728"/>
    <x v="137"/>
    <n v="-26475.383278979862"/>
  </r>
  <r>
    <x v="138"/>
    <n v="498716.9975550141"/>
    <n v="526707.3769616452"/>
    <x v="138"/>
    <n v="-27990.379406631109"/>
  </r>
  <r>
    <x v="139"/>
    <n v="166433.17212925971"/>
    <n v="174376.63247461841"/>
    <x v="139"/>
    <n v="-7943.4603453587042"/>
  </r>
  <r>
    <x v="140"/>
    <n v="168520.62936742851"/>
    <n v="175540.11551824521"/>
    <x v="140"/>
    <n v="-7019.4861508166941"/>
  </r>
  <r>
    <x v="141"/>
    <n v="178123.53210953469"/>
    <n v="187748.1722021974"/>
    <x v="141"/>
    <n v="-9624.6400926627102"/>
  </r>
  <r>
    <x v="142"/>
    <n v="194878.80263463091"/>
    <n v="204460.66537744281"/>
    <x v="142"/>
    <n v="-9581.8627428119071"/>
  </r>
  <r>
    <x v="143"/>
    <n v="115475.0968962598"/>
    <n v="115011.3226088317"/>
    <x v="143"/>
    <n v="463.7742874280957"/>
  </r>
  <r>
    <x v="144"/>
    <n v="430521.02453865513"/>
    <n v="449274.18625836552"/>
    <x v="144"/>
    <n v="-18753.161719710391"/>
  </r>
  <r>
    <x v="145"/>
    <n v="590642.82566064375"/>
    <n v="614245.79414952744"/>
    <x v="145"/>
    <n v="-23602.968488883693"/>
  </r>
  <r>
    <x v="146"/>
    <n v="210764.7179522909"/>
    <n v="217364.46301139219"/>
    <x v="146"/>
    <n v="-6599.7450591012894"/>
  </r>
  <r>
    <x v="147"/>
    <n v="218189.34852144719"/>
    <n v="225607.5951852721"/>
    <x v="147"/>
    <n v="-7418.2466638249171"/>
  </r>
  <r>
    <x v="148"/>
    <n v="226132.46392936219"/>
    <n v="234496.51283165641"/>
    <x v="148"/>
    <n v="-8364.0489022942202"/>
  </r>
  <r>
    <x v="149"/>
    <n v="243720.86804506721"/>
    <n v="252929.29469238099"/>
    <x v="149"/>
    <n v="-9208.4266473137832"/>
  </r>
  <r>
    <x v="150"/>
    <n v="207429.42904813591"/>
    <n v="215118.84649511721"/>
    <x v="150"/>
    <n v="-7689.4174469813006"/>
  </r>
  <r>
    <x v="151"/>
    <n v="503149.43134534778"/>
    <n v="521651.08612557303"/>
    <x v="151"/>
    <n v="-18501.654780225246"/>
  </r>
  <r>
    <x v="152"/>
    <n v="603748.78952607629"/>
    <n v="626259.38684881607"/>
    <x v="152"/>
    <n v="-22510.597322739777"/>
  </r>
  <r>
    <x v="153"/>
    <n v="456017.46309267642"/>
    <n v="473223.98073157662"/>
    <x v="153"/>
    <n v="-17206.517638900201"/>
  </r>
  <r>
    <x v="154"/>
    <n v="425845.19604472112"/>
    <n v="442155.99116118718"/>
    <x v="154"/>
    <n v="-16310.795116466063"/>
  </r>
  <r>
    <x v="155"/>
    <n v="328217.76995264698"/>
    <n v="340913.59172520298"/>
    <x v="155"/>
    <n v="-12695.821772555995"/>
  </r>
  <r>
    <x v="156"/>
    <n v="286405.99880250322"/>
    <n v="296902.67253080232"/>
    <x v="156"/>
    <n v="-10496.673728299094"/>
  </r>
  <r>
    <x v="157"/>
    <n v="184989.88866687589"/>
    <n v="192824.890128464"/>
    <x v="157"/>
    <n v="-7835.0014615881082"/>
  </r>
  <r>
    <x v="158"/>
    <n v="288118.30444745562"/>
    <n v="300213.55940666178"/>
    <x v="158"/>
    <n v="-12095.254959206155"/>
  </r>
  <r>
    <x v="159"/>
    <n v="391930.87800966093"/>
    <n v="407438.91960054089"/>
    <x v="159"/>
    <n v="-15508.041590879962"/>
  </r>
  <r>
    <x v="160"/>
    <n v="193772.58110879711"/>
    <n v="201254.7125115463"/>
    <x v="160"/>
    <n v="-7482.1314027491899"/>
  </r>
  <r>
    <x v="161"/>
    <n v="214177.9834426184"/>
    <n v="220255.21917882841"/>
    <x v="161"/>
    <n v="-6077.2357362100156"/>
  </r>
  <r>
    <x v="162"/>
    <n v="188334.52117067971"/>
    <n v="195254.78100370179"/>
    <x v="162"/>
    <n v="-6920.259833022079"/>
  </r>
  <r>
    <x v="163"/>
    <n v="174324.99481545971"/>
    <n v="180978.60103822939"/>
    <x v="163"/>
    <n v="-6653.6062227696821"/>
  </r>
  <r>
    <x v="164"/>
    <n v="200271.5643162597"/>
    <n v="207757.70297321581"/>
    <x v="164"/>
    <n v="-7486.1386569561146"/>
  </r>
  <r>
    <x v="165"/>
    <n v="468701.63017391373"/>
    <n v="486180.54436187987"/>
    <x v="165"/>
    <n v="-17478.914187966147"/>
  </r>
  <r>
    <x v="166"/>
    <n v="473425.75415694882"/>
    <n v="492135.2922944348"/>
    <x v="166"/>
    <n v="-18709.538137485972"/>
  </r>
  <r>
    <x v="167"/>
    <n v="224232.1213750946"/>
    <n v="233554.03224643381"/>
    <x v="167"/>
    <n v="-9321.9108713392052"/>
  </r>
  <r>
    <x v="168"/>
    <n v="185606.27501469469"/>
    <n v="193340.31536521239"/>
    <x v="168"/>
    <n v="-7734.0403505176946"/>
  </r>
  <r>
    <x v="169"/>
    <n v="212687.5094148122"/>
    <n v="221403.64501723999"/>
    <x v="169"/>
    <n v="-8716.135602427792"/>
  </r>
  <r>
    <x v="170"/>
    <n v="184259.6924214997"/>
    <n v="192057.51084707779"/>
    <x v="170"/>
    <n v="-7797.8184255780943"/>
  </r>
  <r>
    <x v="171"/>
    <n v="113735.8161577795"/>
    <n v="119544.0197640804"/>
    <x v="171"/>
    <n v="-5808.2036063009"/>
  </r>
  <r>
    <x v="172"/>
    <n v="203165.08297513981"/>
    <n v="205350.64307872241"/>
    <x v="172"/>
    <n v="-2185.5601035825966"/>
  </r>
  <r>
    <x v="173"/>
    <n v="203345.24456475489"/>
    <n v="206918.9125938658"/>
    <x v="173"/>
    <n v="-3573.6680291109078"/>
  </r>
  <r>
    <x v="174"/>
    <n v="134944.48896695641"/>
    <n v="135372.5270250313"/>
    <x v="174"/>
    <n v="-428.0380580748897"/>
  </r>
  <r>
    <x v="175"/>
    <n v="138298.21024496641"/>
    <n v="139206.02689008071"/>
    <x v="175"/>
    <n v="-907.81664511430427"/>
  </r>
  <r>
    <x v="176"/>
    <n v="36692.679861900491"/>
    <n v="35299.064235203223"/>
    <x v="176"/>
    <n v="1393.6156266972685"/>
  </r>
  <r>
    <x v="177"/>
    <n v="56077.542692130737"/>
    <n v="53925.257631037668"/>
    <x v="177"/>
    <n v="2152.2850610930691"/>
  </r>
  <r>
    <x v="178"/>
    <n v="55780.707452340743"/>
    <n v="53688.24119505065"/>
    <x v="178"/>
    <n v="2092.4662572900925"/>
  </r>
  <r>
    <x v="179"/>
    <n v="131721.2383167888"/>
    <n v="127302.42713472139"/>
    <x v="179"/>
    <n v="4418.8111820674094"/>
  </r>
  <r>
    <x v="180"/>
    <n v="146169.07657195261"/>
    <n v="141012.32941184979"/>
    <x v="43"/>
    <n v="5156.7471601028228"/>
  </r>
  <r>
    <x v="181"/>
    <n v="62073.585412980981"/>
    <n v="60083.86983686743"/>
    <x v="180"/>
    <n v="1989.7155761135509"/>
  </r>
  <r>
    <x v="182"/>
    <n v="93619.846991295737"/>
    <n v="90294.376087688332"/>
    <x v="181"/>
    <n v="3325.4709036074055"/>
  </r>
  <r>
    <x v="183"/>
    <n v="180183.0313560114"/>
    <n v="173842.9209259059"/>
    <x v="182"/>
    <n v="6340.110430105502"/>
  </r>
  <r>
    <x v="184"/>
    <n v="104760.70623579"/>
    <n v="101615.7320157364"/>
    <x v="9"/>
    <n v="3144.9742200535984"/>
  </r>
  <r>
    <x v="185"/>
    <n v="93450.533684910493"/>
    <n v="90927.089657647652"/>
    <x v="183"/>
    <n v="2523.4440272628417"/>
  </r>
  <r>
    <x v="186"/>
    <n v="98087.555903940738"/>
    <n v="95423.273987227221"/>
    <x v="184"/>
    <n v="2664.2819167135167"/>
  </r>
  <r>
    <x v="187"/>
    <n v="117562.2629053492"/>
    <n v="114395.6276274463"/>
    <x v="185"/>
    <n v="3166.6352779028966"/>
  </r>
  <r>
    <x v="188"/>
    <n v="70153.080972151351"/>
    <n v="68252.24220948873"/>
    <x v="186"/>
    <n v="1900.8387626626209"/>
  </r>
  <r>
    <x v="189"/>
    <n v="68918.415287491109"/>
    <n v="66990.88135215205"/>
    <x v="187"/>
    <n v="1927.5339353390591"/>
  </r>
  <r>
    <x v="190"/>
    <n v="108417.40283335961"/>
    <n v="105373.30003337099"/>
    <x v="188"/>
    <n v="3044.1027999886137"/>
  </r>
  <r>
    <x v="191"/>
    <n v="81802.6082085011"/>
    <n v="79496.494243965513"/>
    <x v="189"/>
    <n v="2306.113964535587"/>
  </r>
  <r>
    <x v="192"/>
    <n v="103998.55973343051"/>
    <n v="101270.971050946"/>
    <x v="190"/>
    <n v="2727.5886824845074"/>
  </r>
  <r>
    <x v="193"/>
    <n v="134018.0892634776"/>
    <n v="130633.2627145483"/>
    <x v="191"/>
    <n v="3384.8265489292971"/>
  </r>
  <r>
    <x v="194"/>
    <n v="99277.299503010508"/>
    <n v="96688.497813017515"/>
    <x v="192"/>
    <n v="2588.8016899929935"/>
  </r>
  <r>
    <x v="195"/>
    <n v="49705.231999920732"/>
    <n v="48370.308994006256"/>
    <x v="193"/>
    <n v="1334.9230059144757"/>
  </r>
  <r>
    <x v="196"/>
    <n v="75384.57455073134"/>
    <n v="73393.446593668908"/>
    <x v="194"/>
    <n v="1991.127957062432"/>
  </r>
  <r>
    <x v="197"/>
    <n v="110288.2341741906"/>
    <n v="107437.38095161279"/>
    <x v="195"/>
    <n v="2850.8532225778035"/>
  </r>
  <r>
    <x v="198"/>
    <n v="156536.68620542111"/>
    <n v="164641.3539874852"/>
    <x v="196"/>
    <n v="-8104.6677820640907"/>
  </r>
  <r>
    <x v="199"/>
    <n v="80823.059197921219"/>
    <n v="78844.86050033744"/>
    <x v="197"/>
    <n v="1978.198697583779"/>
  </r>
  <r>
    <x v="200"/>
    <n v="124615.68560840881"/>
    <n v="121612.17892455601"/>
    <x v="198"/>
    <n v="3003.5066838528001"/>
  </r>
  <r>
    <x v="201"/>
    <n v="242758.9505283758"/>
    <n v="255779.85446049331"/>
    <x v="199"/>
    <n v="-13020.903932117508"/>
  </r>
  <r>
    <x v="202"/>
    <n v="85078.243689436087"/>
    <n v="83020.514125462476"/>
    <x v="200"/>
    <n v="2057.7295639736112"/>
  </r>
  <r>
    <x v="203"/>
    <n v="86738.067427260859"/>
    <n v="84643.271827215489"/>
    <x v="201"/>
    <n v="2094.7956000453705"/>
  </r>
  <r>
    <x v="204"/>
    <n v="56673.615811620853"/>
    <n v="55278.707829230581"/>
    <x v="202"/>
    <n v="1394.9079823902721"/>
  </r>
  <r>
    <x v="205"/>
    <n v="165742.1704642335"/>
    <n v="173725.35752062299"/>
    <x v="203"/>
    <n v="-7983.1870563894918"/>
  </r>
  <r>
    <x v="206"/>
    <n v="95618.248803710856"/>
    <n v="92416.903838237486"/>
    <x v="204"/>
    <n v="3201.3449654733704"/>
  </r>
  <r>
    <x v="207"/>
    <n v="515698.7957661752"/>
    <n v="538260.27180390677"/>
    <x v="205"/>
    <n v="-22561.476037731569"/>
  </r>
  <r>
    <x v="208"/>
    <n v="562590.36654784065"/>
    <n v="586670.51408478804"/>
    <x v="206"/>
    <n v="-24080.147536947392"/>
  </r>
  <r>
    <x v="209"/>
    <n v="266305.92588997318"/>
    <n v="277238.01036147983"/>
    <x v="207"/>
    <n v="-10932.084471506649"/>
  </r>
  <r>
    <x v="210"/>
    <n v="292634.74569281942"/>
    <n v="304508.37903080799"/>
    <x v="208"/>
    <n v="-11873.633337988576"/>
  </r>
  <r>
    <x v="211"/>
    <n v="212360.99307795221"/>
    <n v="221017.0730997668"/>
    <x v="209"/>
    <n v="-8656.0800218145887"/>
  </r>
  <r>
    <x v="212"/>
    <n v="198019.33209153591"/>
    <n v="205903.82494520771"/>
    <x v="210"/>
    <n v="-7884.4928536718071"/>
  </r>
  <r>
    <x v="213"/>
    <n v="295508.32729426579"/>
    <n v="307222.39542168751"/>
    <x v="211"/>
    <n v="-11714.06812742172"/>
  </r>
  <r>
    <x v="214"/>
    <n v="611894.67318094964"/>
    <n v="636341.31592619617"/>
    <x v="212"/>
    <n v="-24446.642745246529"/>
  </r>
  <r>
    <x v="215"/>
    <n v="628685.21882835601"/>
    <n v="653779.96345324407"/>
    <x v="213"/>
    <n v="-25094.744624888059"/>
  </r>
  <r>
    <x v="216"/>
    <n v="307272.68372995692"/>
    <n v="319500.00945712812"/>
    <x v="214"/>
    <n v="-12227.325727171206"/>
  </r>
  <r>
    <x v="217"/>
    <n v="362106.53263594082"/>
    <n v="376645.75093448581"/>
    <x v="215"/>
    <n v="-14539.218298544991"/>
  </r>
  <r>
    <x v="218"/>
    <n v="262349.59097271581"/>
    <n v="272809.29044380988"/>
    <x v="216"/>
    <n v="-10459.699471094063"/>
  </r>
  <r>
    <x v="219"/>
    <n v="80697.903500791217"/>
    <n v="77649.636533253579"/>
    <x v="217"/>
    <n v="3048.2669675376383"/>
  </r>
  <r>
    <x v="220"/>
    <n v="103272.6227133504"/>
    <n v="99367.233222687966"/>
    <x v="218"/>
    <n v="3905.3894906624337"/>
  </r>
  <r>
    <x v="221"/>
    <n v="439421.42206707381"/>
    <n v="456509.62185022031"/>
    <x v="219"/>
    <n v="-17088.199783146498"/>
  </r>
  <r>
    <x v="222"/>
    <n v="408616.35063191352"/>
    <n v="424340.94938278513"/>
    <x v="220"/>
    <n v="-15724.598750871606"/>
  </r>
  <r>
    <x v="223"/>
    <n v="195866.77301944341"/>
    <n v="203331.43478475651"/>
    <x v="221"/>
    <n v="-7464.6617653130961"/>
  </r>
  <r>
    <x v="224"/>
    <n v="232347.35316928959"/>
    <n v="241134.5277944064"/>
    <x v="222"/>
    <n v="-8787.1746251168079"/>
  </r>
  <r>
    <x v="225"/>
    <n v="190325.18114338469"/>
    <n v="197438.11163851491"/>
    <x v="223"/>
    <n v="-7112.9304951302183"/>
  </r>
  <r>
    <x v="226"/>
    <n v="197698.11855084091"/>
    <n v="205114.1289482273"/>
    <x v="224"/>
    <n v="-7416.0103973863879"/>
  </r>
  <r>
    <x v="227"/>
    <n v="177908.83560484849"/>
    <n v="184687.52914036711"/>
    <x v="225"/>
    <n v="-6778.6935355186288"/>
  </r>
  <r>
    <x v="228"/>
    <n v="473321.88245175371"/>
    <n v="491559.42296304408"/>
    <x v="226"/>
    <n v="-18237.540511290368"/>
  </r>
  <r>
    <x v="229"/>
    <n v="541600.89215953078"/>
    <n v="562953.37077365373"/>
    <x v="227"/>
    <n v="-21352.478614122956"/>
  </r>
  <r>
    <x v="230"/>
    <n v="239513.97904265701"/>
    <n v="249203.12076822479"/>
    <x v="228"/>
    <n v="-9689.1417255677807"/>
  </r>
  <r>
    <x v="231"/>
    <n v="255224.2225523532"/>
    <n v="265532.5462048222"/>
    <x v="229"/>
    <n v="-10308.323652469"/>
  </r>
  <r>
    <x v="232"/>
    <n v="160372.03970902969"/>
    <n v="167021.15782900871"/>
    <x v="230"/>
    <n v="-6649.1181199790153"/>
  </r>
  <r>
    <x v="233"/>
    <n v="171587.33225254019"/>
    <n v="174723.17542794361"/>
    <x v="231"/>
    <n v="-3135.8431754034245"/>
  </r>
  <r>
    <x v="234"/>
    <n v="164208.0606125952"/>
    <n v="167239.64875993141"/>
    <x v="232"/>
    <n v="-3031.5881473362097"/>
  </r>
  <r>
    <x v="235"/>
    <n v="376778.83570449759"/>
    <n v="384006.045320909"/>
    <x v="233"/>
    <n v="-7227.2096164114191"/>
  </r>
  <r>
    <x v="236"/>
    <n v="453633.473978322"/>
    <n v="463250.07125509798"/>
    <x v="234"/>
    <n v="-9616.5972767759813"/>
  </r>
  <r>
    <x v="237"/>
    <n v="214392.40085275259"/>
    <n v="218347.79777692939"/>
    <x v="235"/>
    <n v="-3955.3969241768064"/>
  </r>
  <r>
    <x v="238"/>
    <n v="316404.06232243002"/>
    <n v="323293.3966404731"/>
    <x v="236"/>
    <n v="-6889.334318043082"/>
  </r>
  <r>
    <x v="239"/>
    <n v="242824.50134045491"/>
    <n v="259860.5125486858"/>
    <x v="237"/>
    <n v="-17036.011208230891"/>
  </r>
  <r>
    <x v="240"/>
    <n v="274712.25328416959"/>
    <n v="304334.78464343678"/>
    <x v="238"/>
    <n v="-29622.531359267188"/>
  </r>
  <r>
    <x v="241"/>
    <n v="258066.16939498461"/>
    <n v="287168.56608982541"/>
    <x v="239"/>
    <n v="-29102.396694840805"/>
  </r>
  <r>
    <x v="242"/>
    <n v="594007.21320371237"/>
    <n v="660937.80480560346"/>
    <x v="240"/>
    <n v="-66930.591601891094"/>
  </r>
  <r>
    <x v="243"/>
    <n v="717096.71281835937"/>
    <n v="797788.89197623753"/>
    <x v="241"/>
    <n v="-80692.179157878156"/>
  </r>
  <r>
    <x v="244"/>
    <n v="358170.99632881698"/>
    <n v="398562.60743015882"/>
    <x v="242"/>
    <n v="-40391.611101341841"/>
  </r>
  <r>
    <x v="245"/>
    <n v="594953.63490643876"/>
    <n v="662850.99076108413"/>
    <x v="243"/>
    <n v="-67897.355854645371"/>
  </r>
  <r>
    <x v="246"/>
    <n v="469469.9410251276"/>
    <n v="523480.3033456417"/>
    <x v="244"/>
    <n v="-54010.362320514105"/>
  </r>
  <r>
    <x v="247"/>
    <n v="464067.7993402126"/>
    <n v="517180.5432955554"/>
    <x v="245"/>
    <n v="-53112.743955342798"/>
  </r>
  <r>
    <x v="248"/>
    <n v="312311.95398119069"/>
    <n v="348177.12054578192"/>
    <x v="246"/>
    <n v="-35865.166564591229"/>
  </r>
  <r>
    <x v="249"/>
    <n v="501279.00044448092"/>
    <n v="558766.69034694601"/>
    <x v="247"/>
    <n v="-57487.689902465092"/>
  </r>
  <r>
    <x v="250"/>
    <n v="552703.9037581525"/>
    <n v="616169.85143113649"/>
    <x v="248"/>
    <n v="-63465.947672983981"/>
  </r>
  <r>
    <x v="251"/>
    <n v="234153.76221071579"/>
    <n v="261088.3863729678"/>
    <x v="249"/>
    <n v="-26934.624162252003"/>
  </r>
  <r>
    <x v="252"/>
    <n v="244481.49772930579"/>
    <n v="272633.39980275778"/>
    <x v="250"/>
    <n v="-28151.902073451987"/>
  </r>
  <r>
    <x v="253"/>
    <n v="122749.63527830879"/>
    <n v="120070.9501885974"/>
    <x v="251"/>
    <n v="2678.6850897113909"/>
  </r>
  <r>
    <x v="254"/>
    <n v="78736.402839721224"/>
    <n v="77071.542706110122"/>
    <x v="252"/>
    <n v="1664.8601336111024"/>
  </r>
  <r>
    <x v="255"/>
    <n v="70875.110668741108"/>
    <n v="69489.36084683513"/>
    <x v="253"/>
    <n v="1385.749821905978"/>
  </r>
  <r>
    <x v="256"/>
    <n v="148634.39140687519"/>
    <n v="145956.13969592101"/>
    <x v="254"/>
    <n v="2678.2517109541805"/>
  </r>
  <r>
    <x v="257"/>
    <n v="171724.82878193399"/>
    <n v="168652.2035714417"/>
    <x v="255"/>
    <n v="3072.6252104922896"/>
  </r>
  <r>
    <x v="258"/>
    <n v="86435.698834951094"/>
    <n v="84948.374577163748"/>
    <x v="256"/>
    <n v="1487.3242577873461"/>
  </r>
  <r>
    <x v="259"/>
    <n v="120236.18270337"/>
    <n v="118094.0431931489"/>
    <x v="257"/>
    <n v="2142.1395102210954"/>
  </r>
  <r>
    <x v="260"/>
    <n v="83204.196694181097"/>
    <n v="81753.424593545584"/>
    <x v="258"/>
    <n v="1450.7721006355132"/>
  </r>
  <r>
    <x v="261"/>
    <n v="73768.034734920977"/>
    <n v="72471.919323404494"/>
    <x v="259"/>
    <n v="1296.1154115164827"/>
  </r>
  <r>
    <x v="262"/>
    <n v="69425.44511577097"/>
    <n v="68280.383276895183"/>
    <x v="260"/>
    <n v="1145.0618388757866"/>
  </r>
  <r>
    <x v="263"/>
    <n v="137154.95408779141"/>
    <n v="135276.90958604589"/>
    <x v="261"/>
    <n v="1878.0445017455204"/>
  </r>
  <r>
    <x v="264"/>
    <n v="153569.06188021021"/>
    <n v="151376.13558980459"/>
    <x v="262"/>
    <n v="2192.9262904056231"/>
  </r>
  <r>
    <x v="265"/>
    <n v="75633.320588686343"/>
    <n v="74546.668253599157"/>
    <x v="263"/>
    <n v="1086.6523350871867"/>
  </r>
  <r>
    <x v="266"/>
    <n v="90815.929812690869"/>
    <n v="89653.637589452905"/>
    <x v="264"/>
    <n v="1162.2922232379642"/>
  </r>
  <r>
    <x v="267"/>
    <n v="110118.1563914701"/>
    <n v="108880.4089631831"/>
    <x v="265"/>
    <n v="1237.7474282869953"/>
  </r>
  <r>
    <x v="268"/>
    <n v="209908.38311163971"/>
    <n v="223554.08660175069"/>
    <x v="266"/>
    <n v="-13645.703490110987"/>
  </r>
  <r>
    <x v="269"/>
    <n v="358365.68296879338"/>
    <n v="382967.98317568301"/>
    <x v="267"/>
    <n v="-24602.300206889631"/>
  </r>
  <r>
    <x v="270"/>
    <n v="585463.99600736017"/>
    <n v="625980.93020941468"/>
    <x v="268"/>
    <n v="-40516.934202054515"/>
  </r>
  <r>
    <x v="271"/>
    <n v="617019.09153442062"/>
    <n v="661010.59126386233"/>
    <x v="269"/>
    <n v="-43991.499729441712"/>
  </r>
  <r>
    <x v="272"/>
    <n v="283850.59710549947"/>
    <n v="304440.65150645463"/>
    <x v="270"/>
    <n v="-20590.054400955152"/>
  </r>
  <r>
    <x v="273"/>
    <n v="264317.11036810582"/>
    <n v="283912.96869744168"/>
    <x v="271"/>
    <n v="-19595.858329335868"/>
  </r>
  <r>
    <x v="274"/>
    <n v="358024.98134882591"/>
    <n v="384823.43987807218"/>
    <x v="272"/>
    <n v="-26798.458529246273"/>
  </r>
  <r>
    <x v="275"/>
    <n v="594438.28078029968"/>
    <n v="639306.56878246542"/>
    <x v="273"/>
    <n v="-44868.288002165733"/>
  </r>
  <r>
    <x v="276"/>
    <n v="470507.66304443887"/>
    <n v="506072.03334142908"/>
    <x v="274"/>
    <n v="-35564.370296990208"/>
  </r>
  <r>
    <x v="277"/>
    <n v="518693.52866487252"/>
    <n v="557939.36927636876"/>
    <x v="275"/>
    <n v="-39245.840611496242"/>
  </r>
  <r>
    <x v="278"/>
    <n v="656245.82842866576"/>
    <n v="705891.30026245222"/>
    <x v="276"/>
    <n v="-49645.471833786462"/>
  </r>
  <r>
    <x v="279"/>
    <n v="280055.11771676323"/>
    <n v="301279.65498243202"/>
    <x v="277"/>
    <n v="-21224.537265668798"/>
  </r>
  <r>
    <x v="280"/>
    <n v="375648.0174559537"/>
    <n v="404178.92105522793"/>
    <x v="278"/>
    <n v="-28530.903599274228"/>
  </r>
  <r>
    <x v="281"/>
    <n v="78111.716463120727"/>
    <n v="74251.874725965463"/>
    <x v="279"/>
    <n v="3859.8417371552641"/>
  </r>
  <r>
    <x v="282"/>
    <n v="70509.132791540367"/>
    <n v="67141.979629084031"/>
    <x v="280"/>
    <n v="3367.1531624563358"/>
  </r>
  <r>
    <x v="283"/>
    <n v="103281.3110475721"/>
    <n v="98065.939078450887"/>
    <x v="115"/>
    <n v="5215.3719691212173"/>
  </r>
  <r>
    <x v="284"/>
    <n v="179841.43177972361"/>
    <n v="170757.581177207"/>
    <x v="281"/>
    <n v="9083.8506025166134"/>
  </r>
  <r>
    <x v="285"/>
    <n v="138038.23975289491"/>
    <n v="131192.31677147359"/>
    <x v="282"/>
    <n v="6845.9229814213177"/>
  </r>
  <r>
    <x v="286"/>
    <n v="61037.562229970368"/>
    <n v="57992.341511187689"/>
    <x v="283"/>
    <n v="3045.2207187826789"/>
  </r>
  <r>
    <x v="287"/>
    <n v="86799.759454041719"/>
    <n v="82392.333264616391"/>
    <x v="284"/>
    <n v="4407.4261894253286"/>
  </r>
  <r>
    <x v="288"/>
    <n v="69570.501466700734"/>
    <n v="66313.940979270206"/>
    <x v="285"/>
    <n v="3256.5604874305282"/>
  </r>
  <r>
    <x v="289"/>
    <n v="130476.35534524239"/>
    <n v="124398.43162958849"/>
    <x v="286"/>
    <n v="6077.923715653902"/>
  </r>
  <r>
    <x v="290"/>
    <n v="95229.773480081218"/>
    <n v="91087.851335542873"/>
    <x v="287"/>
    <n v="4141.9221445383446"/>
  </r>
  <r>
    <x v="291"/>
    <n v="121057.86128350309"/>
    <n v="116949.7912742107"/>
    <x v="288"/>
    <n v="4108.0700092923944"/>
  </r>
  <r>
    <x v="292"/>
    <n v="169498.9163853249"/>
    <n v="164492.94663284859"/>
    <x v="289"/>
    <n v="5005.9697524763178"/>
  </r>
  <r>
    <x v="293"/>
    <n v="90692.375875501952"/>
    <n v="87911.211583205484"/>
    <x v="290"/>
    <n v="2781.1642922964675"/>
  </r>
  <r>
    <x v="294"/>
    <n v="101723.9150040923"/>
    <n v="98870.811877197717"/>
    <x v="291"/>
    <n v="2853.1031268945808"/>
  </r>
  <r>
    <x v="295"/>
    <n v="103395.6912687424"/>
    <n v="100424.1557433229"/>
    <x v="292"/>
    <n v="2971.5355254195019"/>
  </r>
  <r>
    <x v="296"/>
    <n v="99075.599096021819"/>
    <n v="96511.722157538141"/>
    <x v="293"/>
    <n v="2563.8769384836778"/>
  </r>
  <r>
    <x v="297"/>
    <n v="97476.144719572068"/>
    <n v="94763.842548765941"/>
    <x v="294"/>
    <n v="2712.3021708061278"/>
  </r>
  <r>
    <x v="298"/>
    <n v="248974.65278279639"/>
    <n v="241961.14324530261"/>
    <x v="295"/>
    <n v="7013.509537493781"/>
  </r>
  <r>
    <x v="299"/>
    <n v="302721.68330040033"/>
    <n v="294129.67112311861"/>
    <x v="296"/>
    <n v="8592.012177281722"/>
  </r>
  <r>
    <x v="300"/>
    <n v="128520.72780395371"/>
    <n v="124739.23394868799"/>
    <x v="297"/>
    <n v="3781.4938552657113"/>
  </r>
  <r>
    <x v="301"/>
    <n v="145185.2683360849"/>
    <n v="140651.93717842031"/>
    <x v="298"/>
    <n v="4533.3311576645938"/>
  </r>
  <r>
    <x v="302"/>
    <n v="89527.556631861706"/>
    <n v="87067.05131891428"/>
    <x v="299"/>
    <n v="2460.5053129474254"/>
  </r>
  <r>
    <x v="303"/>
    <n v="81991.88284141109"/>
    <n v="80112.54801498825"/>
    <x v="300"/>
    <n v="1879.3348264228407"/>
  </r>
  <r>
    <x v="304"/>
    <n v="69704.491112590491"/>
    <n v="68293.096389796119"/>
    <x v="301"/>
    <n v="1411.3947227943718"/>
  </r>
  <r>
    <x v="305"/>
    <n v="166652.39481922361"/>
    <n v="163319.71647067659"/>
    <x v="302"/>
    <n v="3332.6783485470223"/>
  </r>
  <r>
    <x v="306"/>
    <n v="247453.10218524761"/>
    <n v="242638.80119746839"/>
    <x v="303"/>
    <n v="4814.300987779221"/>
  </r>
  <r>
    <x v="307"/>
    <n v="148476.18120917489"/>
    <n v="145646.33680169421"/>
    <x v="304"/>
    <n v="2829.8444074806757"/>
  </r>
  <r>
    <x v="308"/>
    <n v="205368.92263440121"/>
    <n v="201281.239025563"/>
    <x v="305"/>
    <n v="4087.6836088382115"/>
  </r>
  <r>
    <x v="309"/>
    <n v="99244.681846049149"/>
    <n v="90949.442252201086"/>
    <x v="306"/>
    <n v="8295.2395938480622"/>
  </r>
  <r>
    <x v="310"/>
    <n v="72756.863100070492"/>
    <n v="67872.774326885235"/>
    <x v="307"/>
    <n v="4884.0887731852563"/>
  </r>
  <r>
    <x v="311"/>
    <n v="86867.458080595141"/>
    <n v="84486.086086063602"/>
    <x v="308"/>
    <n v="2381.3719945315388"/>
  </r>
  <r>
    <x v="312"/>
    <n v="140167.80386220521"/>
    <n v="136539.20329644671"/>
    <x v="309"/>
    <n v="3628.6005657585047"/>
  </r>
  <r>
    <x v="313"/>
    <n v="160727.30278297889"/>
    <n v="156700.82499573231"/>
    <x v="310"/>
    <n v="4026.4777872465784"/>
  </r>
  <r>
    <x v="314"/>
    <n v="74115.62877644549"/>
    <n v="71994.346393653148"/>
    <x v="311"/>
    <n v="2121.2823827923421"/>
  </r>
  <r>
    <x v="315"/>
    <n v="76103.291516535493"/>
    <n v="73967.60569443136"/>
    <x v="312"/>
    <n v="2135.685822104133"/>
  </r>
  <r>
    <x v="316"/>
    <n v="56303.366574580366"/>
    <n v="54996.866607590731"/>
    <x v="313"/>
    <n v="1306.4999669896351"/>
  </r>
  <r>
    <x v="317"/>
    <n v="49436.815864520373"/>
    <n v="48289.892276094753"/>
    <x v="314"/>
    <n v="1146.9235884256195"/>
  </r>
  <r>
    <x v="318"/>
    <n v="55033.122403980371"/>
    <n v="53997.218873107588"/>
    <x v="315"/>
    <n v="1035.9035308727834"/>
  </r>
  <r>
    <x v="319"/>
    <n v="149808.16594472641"/>
    <n v="146994.89550113151"/>
    <x v="316"/>
    <n v="2813.2704435948981"/>
  </r>
  <r>
    <x v="320"/>
    <n v="180685.51072991031"/>
    <n v="176898.27782037071"/>
    <x v="317"/>
    <n v="3787.232909539598"/>
  </r>
  <r>
    <x v="321"/>
    <n v="75871.436765220482"/>
    <n v="73905.810158820022"/>
    <x v="318"/>
    <n v="1965.6266064004594"/>
  </r>
  <r>
    <x v="322"/>
    <n v="86313.334083170121"/>
    <n v="84418.78910931063"/>
    <x v="319"/>
    <n v="1894.5449738594907"/>
  </r>
  <r>
    <x v="323"/>
    <n v="62631.798752070368"/>
    <n v="61158.361090192768"/>
    <x v="320"/>
    <n v="1473.4376618776005"/>
  </r>
  <r>
    <x v="324"/>
    <n v="48529.103360340247"/>
    <n v="47409.554056467168"/>
    <x v="321"/>
    <n v="1119.5493038730783"/>
  </r>
  <r>
    <x v="325"/>
    <n v="51040.881368070251"/>
    <n v="50038.142634161093"/>
    <x v="322"/>
    <n v="1002.7387339091583"/>
  </r>
  <r>
    <x v="326"/>
    <n v="53973.922240020001"/>
    <n v="47192.498284101879"/>
    <x v="323"/>
    <n v="6781.4239559181224"/>
  </r>
  <r>
    <x v="327"/>
    <n v="47497.982533509879"/>
    <n v="41179.088245459163"/>
    <x v="324"/>
    <n v="6318.8942880507166"/>
  </r>
  <r>
    <x v="328"/>
    <n v="31219.951528719881"/>
    <n v="26893.304677301021"/>
    <x v="325"/>
    <n v="4326.64685141886"/>
  </r>
  <r>
    <x v="329"/>
    <n v="26870.323873469999"/>
    <n v="23516.041718095501"/>
    <x v="326"/>
    <n v="3354.282155374498"/>
  </r>
  <r>
    <x v="330"/>
    <n v="40530.642292680008"/>
    <n v="35674.190763166298"/>
    <x v="327"/>
    <n v="4856.4515295137098"/>
  </r>
  <r>
    <x v="331"/>
    <n v="30371.431335049881"/>
    <n v="26054.849168281438"/>
    <x v="328"/>
    <n v="4316.5821667684431"/>
  </r>
  <r>
    <x v="332"/>
    <n v="37776.658766749882"/>
    <n v="32719.689636421641"/>
    <x v="329"/>
    <n v="5056.9691303282416"/>
  </r>
  <r>
    <x v="333"/>
    <n v="46818.205322610003"/>
    <n v="40652.576408851382"/>
    <x v="330"/>
    <n v="6165.6289137586209"/>
  </r>
  <r>
    <x v="334"/>
    <n v="88321.625549760734"/>
    <n v="79880.243682936474"/>
    <x v="331"/>
    <n v="8441.3818668242602"/>
  </r>
  <r>
    <x v="335"/>
    <n v="101037.8278297916"/>
    <n v="93177.884704390279"/>
    <x v="258"/>
    <n v="7859.943125401318"/>
  </r>
  <r>
    <x v="336"/>
    <n v="105100.6676485115"/>
    <n v="97257.394665729371"/>
    <x v="332"/>
    <n v="7843.2729827821313"/>
  </r>
  <r>
    <x v="337"/>
    <n v="88219.52548812989"/>
    <n v="85533.428923318512"/>
    <x v="333"/>
    <n v="2686.0965648113779"/>
  </r>
  <r>
    <x v="338"/>
    <n v="71590.369289220369"/>
    <n v="69654.93030590401"/>
    <x v="334"/>
    <n v="1935.4389833163586"/>
  </r>
  <r>
    <x v="339"/>
    <n v="54996.621692620247"/>
    <n v="54503.02854750456"/>
    <x v="335"/>
    <n v="493.59314511568664"/>
  </r>
  <r>
    <x v="340"/>
    <n v="77884.181609825493"/>
    <n v="77619.29488939041"/>
    <x v="336"/>
    <n v="264.88672043508268"/>
  </r>
  <r>
    <x v="341"/>
    <n v="150370.11672367639"/>
    <n v="154998.83458187681"/>
    <x v="337"/>
    <n v="-4628.7178582004271"/>
  </r>
  <r>
    <x v="342"/>
    <n v="104675.37611534919"/>
    <n v="111903.7379024793"/>
    <x v="338"/>
    <n v="-7228.3617871301103"/>
  </r>
  <r>
    <x v="343"/>
    <n v="90121.530475064763"/>
    <n v="91081.66819408616"/>
    <x v="339"/>
    <n v="-960.13771902139706"/>
  </r>
  <r>
    <x v="344"/>
    <n v="75425.443698290488"/>
    <n v="77014.255960305571"/>
    <x v="340"/>
    <n v="-1588.8122620150825"/>
  </r>
  <r>
    <x v="345"/>
    <n v="161844.8094356737"/>
    <n v="169348.5185848648"/>
    <x v="341"/>
    <n v="-7503.7091491910978"/>
  </r>
  <r>
    <x v="346"/>
    <n v="158603.35696800359"/>
    <n v="171692.99360653351"/>
    <x v="342"/>
    <n v="-13089.636638529919"/>
  </r>
  <r>
    <x v="347"/>
    <n v="279092.09595645021"/>
    <n v="301236.10987981001"/>
    <x v="343"/>
    <n v="-22144.013923359802"/>
  </r>
  <r>
    <x v="348"/>
    <n v="369350.98948089819"/>
    <n v="402564.67862758518"/>
    <x v="344"/>
    <n v="-33213.689146686986"/>
  </r>
  <r>
    <x v="349"/>
    <n v="177500.10772560869"/>
    <n v="192327.32065612171"/>
    <x v="345"/>
    <n v="-14827.212930513022"/>
  </r>
  <r>
    <x v="350"/>
    <n v="282246.62867828761"/>
    <n v="304489.638251931"/>
    <x v="346"/>
    <n v="-22243.009573643387"/>
  </r>
  <r>
    <x v="351"/>
    <n v="166037.92572951369"/>
    <n v="179571.12907994099"/>
    <x v="347"/>
    <n v="-13533.203350427299"/>
  </r>
  <r>
    <x v="352"/>
    <n v="148910.99836015861"/>
    <n v="161137.52200304749"/>
    <x v="348"/>
    <n v="-12226.523642888875"/>
  </r>
  <r>
    <x v="353"/>
    <n v="202359.14289987119"/>
    <n v="221435.76864963601"/>
    <x v="349"/>
    <n v="-19076.625749764818"/>
  </r>
  <r>
    <x v="354"/>
    <n v="274343.65434523381"/>
    <n v="299516.83776498272"/>
    <x v="350"/>
    <n v="-25173.183419748908"/>
  </r>
  <r>
    <x v="355"/>
    <n v="316167.07465857267"/>
    <n v="346378.30476784823"/>
    <x v="351"/>
    <n v="-30211.230109275552"/>
  </r>
  <r>
    <x v="356"/>
    <n v="173833.40012841369"/>
    <n v="190644.50156869169"/>
    <x v="352"/>
    <n v="-16811.101440277998"/>
  </r>
  <r>
    <x v="357"/>
    <n v="204565.08183541149"/>
    <n v="210188.9094104479"/>
    <x v="353"/>
    <n v="-5623.8275750364119"/>
  </r>
  <r>
    <x v="358"/>
    <n v="316394.73085730919"/>
    <n v="326627.13841637562"/>
    <x v="354"/>
    <n v="-10232.407559066429"/>
  </r>
  <r>
    <x v="359"/>
    <n v="486230.32019362762"/>
    <n v="495909.08956339589"/>
    <x v="355"/>
    <n v="-9678.7693697682698"/>
  </r>
  <r>
    <x v="360"/>
    <n v="137686.53210060639"/>
    <n v="140525.78674110339"/>
    <x v="356"/>
    <n v="-2839.2546404970053"/>
  </r>
  <r>
    <x v="361"/>
    <n v="48102.962409030253"/>
    <n v="49028.365072183813"/>
    <x v="357"/>
    <n v="-925.40266315355984"/>
  </r>
  <r>
    <x v="362"/>
    <n v="110162.1319825481"/>
    <n v="112383.5592473063"/>
    <x v="358"/>
    <n v="-2221.4272647581965"/>
  </r>
  <r>
    <x v="363"/>
    <n v="69051.33709342037"/>
    <n v="70482.717802969084"/>
    <x v="359"/>
    <n v="-1431.3807095487136"/>
  </r>
  <r>
    <x v="364"/>
    <n v="133307.3689628276"/>
    <n v="136003.48252575181"/>
    <x v="360"/>
    <n v="-2696.1135629242053"/>
  </r>
  <r>
    <x v="365"/>
    <n v="216389.504268855"/>
    <n v="235723.76475390821"/>
    <x v="361"/>
    <n v="-19334.260485053208"/>
  </r>
  <r>
    <x v="366"/>
    <n v="365055.31201272178"/>
    <n v="398013.34833037207"/>
    <x v="362"/>
    <n v="-32958.036317650287"/>
  </r>
  <r>
    <x v="367"/>
    <n v="112161.419616753"/>
    <n v="122170.43168462771"/>
    <x v="363"/>
    <n v="-10009.012067874704"/>
  </r>
  <r>
    <x v="368"/>
    <n v="271101.46167031268"/>
    <n v="295019.46942959027"/>
    <x v="148"/>
    <n v="-23918.007759277592"/>
  </r>
  <r>
    <x v="369"/>
    <n v="245813.288312124"/>
    <n v="267734.72525537072"/>
    <x v="364"/>
    <n v="-21921.436943246721"/>
  </r>
  <r>
    <x v="370"/>
    <n v="178394.81199754871"/>
    <n v="194427.44797350231"/>
    <x v="365"/>
    <n v="-16032.635975953599"/>
  </r>
  <r>
    <x v="371"/>
    <n v="220443.631484265"/>
    <n v="239988.0274603873"/>
    <x v="366"/>
    <n v="-19544.395976122294"/>
  </r>
  <r>
    <x v="372"/>
    <n v="181534.1886726786"/>
    <n v="197328.94391081069"/>
    <x v="367"/>
    <n v="-15794.755238132086"/>
  </r>
  <r>
    <x v="373"/>
    <n v="83176.481393400245"/>
    <n v="84728.831196631072"/>
    <x v="368"/>
    <n v="-1552.3498032308271"/>
  </r>
  <r>
    <x v="374"/>
    <n v="76894.779348705371"/>
    <n v="78468.095499687464"/>
    <x v="369"/>
    <n v="-1573.3161509820929"/>
  </r>
  <r>
    <x v="375"/>
    <n v="123859.3879567376"/>
    <n v="126444.1425182809"/>
    <x v="370"/>
    <n v="-2584.7545615433046"/>
  </r>
  <r>
    <x v="376"/>
    <n v="120807.5741583273"/>
    <n v="123392.8040677807"/>
    <x v="371"/>
    <n v="-2585.2299094533955"/>
  </r>
  <r>
    <x v="377"/>
    <n v="69597.36734933038"/>
    <n v="71051.363502932756"/>
    <x v="372"/>
    <n v="-1453.9961536023766"/>
  </r>
  <r>
    <x v="378"/>
    <n v="84738.294411260125"/>
    <n v="86467.537750281685"/>
    <x v="373"/>
    <n v="-1729.2433390215592"/>
  </r>
  <r>
    <x v="379"/>
    <n v="64653.972138140372"/>
    <n v="65980.422089859814"/>
    <x v="374"/>
    <n v="-1326.4499517194417"/>
  </r>
  <r>
    <x v="380"/>
    <n v="59553.386031020251"/>
    <n v="60703.356028777598"/>
    <x v="375"/>
    <n v="-1149.9699977573473"/>
  </r>
  <r>
    <x v="381"/>
    <n v="79080.756957730366"/>
    <n v="80337.748312174546"/>
    <x v="376"/>
    <n v="-1256.9913544441806"/>
  </r>
  <r>
    <x v="382"/>
    <n v="149444.05678745391"/>
    <n v="152030.98648053521"/>
    <x v="377"/>
    <n v="-2586.9296930812998"/>
  </r>
  <r>
    <x v="383"/>
    <n v="170624.0799358915"/>
    <n v="173547.0271100424"/>
    <x v="378"/>
    <n v="-2922.9471741509042"/>
  </r>
  <r>
    <x v="384"/>
    <n v="74744.283149260489"/>
    <n v="76003.928254213824"/>
    <x v="379"/>
    <n v="-1259.6451049533352"/>
  </r>
  <r>
    <x v="385"/>
    <n v="90144.161401489764"/>
    <n v="91110.969347994804"/>
    <x v="380"/>
    <n v="-966.80794650503958"/>
  </r>
  <r>
    <x v="386"/>
    <n v="97826.808800979037"/>
    <n v="99134.30698859354"/>
    <x v="381"/>
    <n v="-1307.498187614503"/>
  </r>
  <r>
    <x v="387"/>
    <n v="62795.97914592037"/>
    <n v="64144.088875245921"/>
    <x v="382"/>
    <n v="-1348.1097293255516"/>
  </r>
  <r>
    <x v="388"/>
    <n v="66550.989827080368"/>
    <n v="67952.150554841501"/>
    <x v="383"/>
    <n v="-1401.1607277611329"/>
  </r>
  <r>
    <x v="389"/>
    <n v="154670.89070075389"/>
    <n v="158031.79104317201"/>
    <x v="384"/>
    <n v="-3360.9003424181137"/>
  </r>
  <r>
    <x v="390"/>
    <n v="158722.10562536391"/>
    <n v="162082.4184385144"/>
    <x v="385"/>
    <n v="-3360.3128131504927"/>
  </r>
  <r>
    <x v="391"/>
    <n v="78092.276922030491"/>
    <n v="79795.0431031607"/>
    <x v="386"/>
    <n v="-1702.7661811302096"/>
  </r>
  <r>
    <x v="392"/>
    <n v="91830.402043779875"/>
    <n v="93808.086746872388"/>
    <x v="387"/>
    <n v="-1977.6847030925128"/>
  </r>
  <r>
    <x v="393"/>
    <n v="76992.935683210482"/>
    <n v="78614.457753375827"/>
    <x v="388"/>
    <n v="-1621.5220701653452"/>
  </r>
  <r>
    <x v="394"/>
    <n v="59897.71587994037"/>
    <n v="61194.180255889572"/>
    <x v="389"/>
    <n v="-1296.4643759492028"/>
  </r>
  <r>
    <x v="395"/>
    <n v="57310.194042320363"/>
    <n v="58531.41098518647"/>
    <x v="390"/>
    <n v="-1221.2169428661073"/>
  </r>
  <r>
    <x v="396"/>
    <n v="134540.2144657376"/>
    <n v="137221.53747357719"/>
    <x v="391"/>
    <n v="-2681.3230078395864"/>
  </r>
  <r>
    <x v="397"/>
    <n v="200193.61199916029"/>
    <n v="203814.73638908501"/>
    <x v="392"/>
    <n v="-3621.1243899247202"/>
  </r>
  <r>
    <x v="398"/>
    <n v="171469.93052966279"/>
    <n v="174652.45798996431"/>
    <x v="393"/>
    <n v="-3182.5274603015278"/>
  </r>
  <r>
    <x v="399"/>
    <n v="151737.21883246521"/>
    <n v="154148.5988130215"/>
    <x v="394"/>
    <n v="-2411.3799805562885"/>
  </r>
  <r>
    <x v="400"/>
    <n v="102072.4434055789"/>
    <n v="103634.964229016"/>
    <x v="395"/>
    <n v="-1562.5208234370948"/>
  </r>
  <r>
    <x v="401"/>
    <n v="82514.105120030377"/>
    <n v="83232.391367362128"/>
    <x v="396"/>
    <n v="-718.28624733175093"/>
  </r>
  <r>
    <x v="402"/>
    <n v="46211.332458070247"/>
    <n v="46407.299117268973"/>
    <x v="324"/>
    <n v="-195.96665919872612"/>
  </r>
  <r>
    <x v="403"/>
    <n v="85730.414810460134"/>
    <n v="85765.709336061569"/>
    <x v="397"/>
    <n v="-35.294525601435453"/>
  </r>
  <r>
    <x v="404"/>
    <n v="105918.2932906084"/>
    <n v="105662.5562409002"/>
    <x v="398"/>
    <n v="255.73704970820108"/>
  </r>
  <r>
    <x v="405"/>
    <n v="73041.660871220491"/>
    <n v="73046.233899676779"/>
    <x v="399"/>
    <n v="-4.5730284562887391"/>
  </r>
  <r>
    <x v="406"/>
    <n v="97908.547096098671"/>
    <n v="97097.936590193072"/>
    <x v="400"/>
    <n v="810.61050590559898"/>
  </r>
  <r>
    <x v="407"/>
    <n v="138667.4159111364"/>
    <n v="148522.8490204199"/>
    <x v="401"/>
    <n v="-9855.4331092835055"/>
  </r>
  <r>
    <x v="408"/>
    <n v="162162.103518324"/>
    <n v="173661.82783508641"/>
    <x v="402"/>
    <n v="-11499.724316762411"/>
  </r>
  <r>
    <x v="409"/>
    <n v="138520.1268039264"/>
    <n v="147756.34279381519"/>
    <x v="403"/>
    <n v="-9236.2159898887912"/>
  </r>
  <r>
    <x v="410"/>
    <n v="358597.42850915849"/>
    <n v="382447.08041708497"/>
    <x v="404"/>
    <n v="-23849.651907926484"/>
  </r>
  <r>
    <x v="411"/>
    <n v="424009.8825170612"/>
    <n v="451548.0275596244"/>
    <x v="405"/>
    <n v="-27538.145042563207"/>
  </r>
  <r>
    <x v="412"/>
    <n v="203861.47237812541"/>
    <n v="217065.61516082729"/>
    <x v="406"/>
    <n v="-13204.142782701878"/>
  </r>
  <r>
    <x v="413"/>
    <n v="220506.20933281549"/>
    <n v="234723.22004532229"/>
    <x v="407"/>
    <n v="-14217.010712506803"/>
  </r>
  <r>
    <x v="414"/>
    <n v="139935.9369763452"/>
    <n v="148697.54369598959"/>
    <x v="408"/>
    <n v="-8761.606719644391"/>
  </r>
  <r>
    <x v="415"/>
    <n v="161064.75234488389"/>
    <n v="170739.36662316829"/>
    <x v="55"/>
    <n v="-9674.6142782843963"/>
  </r>
  <r>
    <x v="416"/>
    <n v="144328.54518998519"/>
    <n v="152824.1148984046"/>
    <x v="409"/>
    <n v="-8495.5697084194107"/>
  </r>
  <r>
    <x v="417"/>
    <n v="293071.75919640332"/>
    <n v="310240.37839534058"/>
    <x v="410"/>
    <n v="-17168.61919893726"/>
  </r>
  <r>
    <x v="418"/>
    <n v="267782.15396190819"/>
    <n v="283430.33683376323"/>
    <x v="411"/>
    <n v="-15648.182871855039"/>
  </r>
  <r>
    <x v="419"/>
    <n v="136052.68842362519"/>
    <n v="144020.1227597401"/>
    <x v="412"/>
    <n v="-7967.4343361149076"/>
  </r>
  <r>
    <x v="420"/>
    <n v="86703.314090379165"/>
    <n v="85730.966539282686"/>
    <x v="413"/>
    <n v="972.34755109647813"/>
  </r>
  <r>
    <x v="421"/>
    <n v="95474.357369099642"/>
    <n v="100867.5240607559"/>
    <x v="414"/>
    <n v="-5393.1666916562535"/>
  </r>
  <r>
    <x v="422"/>
    <n v="198431.62752698149"/>
    <n v="209499.79410912099"/>
    <x v="415"/>
    <n v="-11068.1665821395"/>
  </r>
  <r>
    <x v="423"/>
    <n v="157291.73399894519"/>
    <n v="166305.03762747039"/>
    <x v="416"/>
    <n v="-9013.3036285252019"/>
  </r>
  <r>
    <x v="424"/>
    <n v="307540.67515623698"/>
    <n v="324997.33647802821"/>
    <x v="417"/>
    <n v="-17456.661321791238"/>
  </r>
  <r>
    <x v="425"/>
    <n v="350898.76351026969"/>
    <n v="375030.63545205921"/>
    <x v="418"/>
    <n v="-24131.871941789519"/>
  </r>
  <r>
    <x v="426"/>
    <n v="256701.54273334061"/>
    <n v="276569.25039235951"/>
    <x v="419"/>
    <n v="-19867.707659018895"/>
  </r>
  <r>
    <x v="427"/>
    <n v="234705.592779103"/>
    <n v="252709.82306975979"/>
    <x v="420"/>
    <n v="-18004.230290656793"/>
  </r>
  <r>
    <x v="428"/>
    <n v="249380.5654475792"/>
    <n v="268761.83235694439"/>
    <x v="421"/>
    <n v="-19381.266909365193"/>
  </r>
  <r>
    <x v="429"/>
    <n v="258211.44416769789"/>
    <n v="278825.60667853651"/>
    <x v="422"/>
    <n v="-20614.162510838622"/>
  </r>
  <r>
    <x v="430"/>
    <n v="145975.83394282509"/>
    <n v="157578.00586652799"/>
    <x v="423"/>
    <n v="-11602.171923702903"/>
  </r>
  <r>
    <x v="431"/>
    <n v="269239.85258366819"/>
    <n v="291365.01755439863"/>
    <x v="424"/>
    <n v="-22125.164970730431"/>
  </r>
  <r>
    <x v="432"/>
    <n v="306920.21160129207"/>
    <n v="332242.411551486"/>
    <x v="425"/>
    <n v="-25322.199950193928"/>
  </r>
  <r>
    <x v="433"/>
    <n v="122106.7956223864"/>
    <n v="121394.8122011722"/>
    <x v="426"/>
    <n v="711.98342121420137"/>
  </r>
  <r>
    <x v="434"/>
    <n v="117661.2807925471"/>
    <n v="116861.1582735515"/>
    <x v="427"/>
    <n v="800.12251899560215"/>
  </r>
  <r>
    <x v="435"/>
    <n v="62499.799171560371"/>
    <n v="62073.872654165207"/>
    <x v="428"/>
    <n v="425.92651739516441"/>
  </r>
  <r>
    <x v="436"/>
    <n v="57063.98412427037"/>
    <n v="56638.281370608107"/>
    <x v="429"/>
    <n v="425.70275366226269"/>
  </r>
  <r>
    <x v="437"/>
    <n v="48008.482841660247"/>
    <n v="47681.672078871583"/>
    <x v="430"/>
    <n v="326.81076278866385"/>
  </r>
  <r>
    <x v="438"/>
    <n v="117446.83911330831"/>
    <n v="116681.1415516587"/>
    <x v="431"/>
    <n v="765.69756164960563"/>
  </r>
  <r>
    <x v="439"/>
    <n v="150591.5479008352"/>
    <n v="149573.8275926896"/>
    <x v="432"/>
    <n v="1017.7203081455955"/>
  </r>
  <r>
    <x v="440"/>
    <n v="67152.474953640369"/>
    <n v="66802.983217839879"/>
    <x v="433"/>
    <n v="349.49173580048955"/>
  </r>
  <r>
    <x v="441"/>
    <n v="80635.289248590489"/>
    <n v="80121.290522541603"/>
    <x v="434"/>
    <n v="513.99872604888515"/>
  </r>
  <r>
    <x v="442"/>
    <n v="50669.637098340369"/>
    <n v="50308.957054208033"/>
    <x v="435"/>
    <n v="360.68004413233575"/>
  </r>
  <r>
    <x v="443"/>
    <n v="48648.992664940248"/>
    <n v="48362.068791947771"/>
    <x v="436"/>
    <n v="286.92387299247639"/>
  </r>
  <r>
    <x v="444"/>
    <n v="43213.177617650254"/>
    <n v="42981.216847754557"/>
    <x v="437"/>
    <n v="231.96076989569701"/>
  </r>
  <r>
    <x v="445"/>
    <n v="96881.018094589395"/>
    <n v="96453.287284883205"/>
    <x v="438"/>
    <n v="427.73080970619048"/>
  </r>
  <r>
    <x v="446"/>
    <n v="121360.8851412364"/>
    <n v="120829.2879710704"/>
    <x v="218"/>
    <n v="531.59717016600189"/>
  </r>
  <r>
    <x v="447"/>
    <n v="66954.366371970376"/>
    <n v="66756.376443642119"/>
    <x v="439"/>
    <n v="197.98992832825752"/>
  </r>
  <r>
    <x v="448"/>
    <n v="81342.150763930375"/>
    <n v="81132.012897235923"/>
    <x v="440"/>
    <n v="210.13786669445108"/>
  </r>
  <r>
    <x v="449"/>
    <n v="125060.7079117364"/>
    <n v="136375.1527135167"/>
    <x v="441"/>
    <n v="-11314.444801780293"/>
  </r>
  <r>
    <x v="450"/>
    <n v="253218.83124198421"/>
    <n v="276194.82948404271"/>
    <x v="442"/>
    <n v="-22975.9982420585"/>
  </r>
  <r>
    <x v="451"/>
    <n v="229184.47188046671"/>
    <n v="250361.15020932569"/>
    <x v="443"/>
    <n v="-21176.67832885898"/>
  </r>
  <r>
    <x v="452"/>
    <n v="354191.35095056967"/>
    <n v="386464.65132698609"/>
    <x v="444"/>
    <n v="-32273.300376416417"/>
  </r>
  <r>
    <x v="453"/>
    <n v="459484.66663548641"/>
    <n v="501362.57249034831"/>
    <x v="445"/>
    <n v="-41877.905854861892"/>
  </r>
  <r>
    <x v="454"/>
    <n v="224102.88847081421"/>
    <n v="244359.80746223289"/>
    <x v="446"/>
    <n v="-20256.918991418672"/>
  </r>
  <r>
    <x v="455"/>
    <n v="215203.5587823579"/>
    <n v="234819.44742668921"/>
    <x v="447"/>
    <n v="-19615.888644331309"/>
  </r>
  <r>
    <x v="456"/>
    <n v="355534.91204206698"/>
    <n v="386988.91474848392"/>
    <x v="448"/>
    <n v="-31454.002706416941"/>
  </r>
  <r>
    <x v="457"/>
    <n v="498894.34393015638"/>
    <n v="542483.83580550889"/>
    <x v="449"/>
    <n v="-43589.491875352513"/>
  </r>
  <r>
    <x v="458"/>
    <n v="715032.18987024296"/>
    <n v="777522.19275101577"/>
    <x v="450"/>
    <n v="-62490.002880772809"/>
  </r>
  <r>
    <x v="459"/>
    <n v="510289.21560512908"/>
    <n v="554159.81941342691"/>
    <x v="451"/>
    <n v="-43870.603808297834"/>
  </r>
  <r>
    <x v="460"/>
    <n v="400302.03949241102"/>
    <n v="434872.72891034582"/>
    <x v="452"/>
    <n v="-34570.689417934802"/>
  </r>
  <r>
    <x v="461"/>
    <n v="135578.20344503759"/>
    <n v="147335.92505366591"/>
    <x v="453"/>
    <n v="-11757.721608628315"/>
  </r>
  <r>
    <x v="462"/>
    <n v="182466.2552086603"/>
    <n v="198405.2291123257"/>
    <x v="454"/>
    <n v="-15938.973903665406"/>
  </r>
  <r>
    <x v="463"/>
    <n v="176814.2025694703"/>
    <n v="178390.14906155379"/>
    <x v="455"/>
    <n v="-1575.9464920834871"/>
  </r>
  <r>
    <x v="464"/>
    <n v="100917.67156519881"/>
    <n v="100579.12894836511"/>
    <x v="456"/>
    <n v="338.54261683369987"/>
  </r>
  <r>
    <x v="465"/>
    <n v="74690.672729450496"/>
    <n v="74427.585972183966"/>
    <x v="457"/>
    <n v="263.08675726653019"/>
  </r>
  <r>
    <x v="466"/>
    <n v="114067.0771017275"/>
    <n v="113653.97356322029"/>
    <x v="458"/>
    <n v="413.10353850720276"/>
  </r>
  <r>
    <x v="467"/>
    <n v="126507.8009411664"/>
    <n v="126043.76915933751"/>
    <x v="459"/>
    <n v="464.03178182888951"/>
  </r>
  <r>
    <x v="468"/>
    <n v="79648.629394640506"/>
    <n v="79349.402451342714"/>
    <x v="460"/>
    <n v="299.22694329779188"/>
  </r>
  <r>
    <x v="469"/>
    <n v="83137.432427590247"/>
    <n v="82700.354170302948"/>
    <x v="461"/>
    <n v="437.07825728729949"/>
  </r>
  <r>
    <x v="470"/>
    <n v="40776.027061670247"/>
    <n v="39940.199579223197"/>
    <x v="462"/>
    <n v="835.82748244704999"/>
  </r>
  <r>
    <x v="471"/>
    <n v="58278.457926050367"/>
    <n v="56969.922594239448"/>
    <x v="463"/>
    <n v="1308.5353318109192"/>
  </r>
  <r>
    <x v="472"/>
    <n v="50000.101443420237"/>
    <n v="48827.885381172753"/>
    <x v="464"/>
    <n v="1172.2160622474839"/>
  </r>
  <r>
    <x v="473"/>
    <n v="103911.9190821282"/>
    <n v="101408.94958672021"/>
    <x v="465"/>
    <n v="2502.9694954079896"/>
  </r>
  <r>
    <x v="474"/>
    <n v="132843.22261657639"/>
    <n v="129545.5321235172"/>
    <x v="466"/>
    <n v="3297.6904930591845"/>
  </r>
  <r>
    <x v="475"/>
    <n v="62786.611277180004"/>
    <n v="61213.255905066573"/>
    <x v="313"/>
    <n v="1573.3553721134303"/>
  </r>
  <r>
    <x v="476"/>
    <n v="57233.406641560126"/>
    <n v="55706.875425596532"/>
    <x v="467"/>
    <n v="1526.5312159635941"/>
  </r>
  <r>
    <x v="477"/>
    <n v="56874.345455010007"/>
    <n v="55172.171225548656"/>
    <x v="468"/>
    <n v="1702.1742294613505"/>
  </r>
  <r>
    <x v="478"/>
    <n v="132737.73701689861"/>
    <n v="140263.9301023919"/>
    <x v="469"/>
    <n v="-7526.1930854932871"/>
  </r>
  <r>
    <x v="479"/>
    <n v="60310.338948120007"/>
    <n v="58446.054929901373"/>
    <x v="470"/>
    <n v="1864.2840182186337"/>
  </r>
  <r>
    <x v="480"/>
    <n v="343587.00847871922"/>
    <n v="362390.59604190831"/>
    <x v="471"/>
    <n v="-18803.587563189096"/>
  </r>
  <r>
    <x v="481"/>
    <n v="496882.31502370269"/>
    <n v="535306.00987018819"/>
    <x v="472"/>
    <n v="-38423.694846485509"/>
  </r>
  <r>
    <x v="482"/>
    <n v="200369.82986166119"/>
    <n v="210964.76808699651"/>
    <x v="473"/>
    <n v="-10594.938225335325"/>
  </r>
  <r>
    <x v="483"/>
    <n v="194028.06181921621"/>
    <n v="204053.49893464721"/>
    <x v="353"/>
    <n v="-10025.437115431007"/>
  </r>
  <r>
    <x v="484"/>
    <n v="190560.57918183241"/>
    <n v="200804.03684509991"/>
    <x v="82"/>
    <n v="-10243.457663267502"/>
  </r>
  <r>
    <x v="485"/>
    <n v="198985.3996226124"/>
    <n v="209483.87580877281"/>
    <x v="474"/>
    <n v="-10498.476186160406"/>
  </r>
  <r>
    <x v="486"/>
    <n v="385482.8720257082"/>
    <n v="406252.00759341638"/>
    <x v="475"/>
    <n v="-20769.135567708174"/>
  </r>
  <r>
    <x v="487"/>
    <n v="499703.41471803008"/>
    <n v="526206.93717221648"/>
    <x v="476"/>
    <n v="-26503.522454186401"/>
  </r>
  <r>
    <x v="488"/>
    <n v="461667.00388101261"/>
    <n v="496852.8019930757"/>
    <x v="477"/>
    <n v="-35185.798112063087"/>
  </r>
  <r>
    <x v="489"/>
    <n v="259541.60872151391"/>
    <n v="273280.04637040471"/>
    <x v="478"/>
    <n v="-13738.437648890802"/>
  </r>
  <r>
    <x v="490"/>
    <n v="320309.27440158668"/>
    <n v="336742.60236538568"/>
    <x v="479"/>
    <n v="-16433.327963799005"/>
  </r>
  <r>
    <x v="491"/>
    <n v="239922.99815095021"/>
    <n v="251700.96640120179"/>
    <x v="480"/>
    <n v="-11777.968250251579"/>
  </r>
  <r>
    <x v="492"/>
    <n v="224994.1950701554"/>
    <n v="242259.85953966621"/>
    <x v="481"/>
    <n v="-17265.664469510812"/>
  </r>
  <r>
    <x v="493"/>
    <n v="117197.9717299037"/>
    <n v="115769.08632788141"/>
    <x v="482"/>
    <n v="1428.8854020222934"/>
  </r>
  <r>
    <x v="494"/>
    <n v="330589.1998128597"/>
    <n v="355565.04173447768"/>
    <x v="483"/>
    <n v="-24975.841921617975"/>
  </r>
  <r>
    <x v="495"/>
    <n v="389972.11975571001"/>
    <n v="419827.1365222265"/>
    <x v="484"/>
    <n v="-29855.016766516492"/>
  </r>
  <r>
    <x v="496"/>
    <n v="166536.00026357031"/>
    <n v="179243.05183339989"/>
    <x v="485"/>
    <n v="-12707.051569829579"/>
  </r>
  <r>
    <x v="497"/>
    <n v="198442.91265382789"/>
    <n v="213676.42842593021"/>
    <x v="486"/>
    <n v="-15233.515772102313"/>
  </r>
  <r>
    <x v="498"/>
    <n v="193182.15055271279"/>
    <n v="208039.1734455548"/>
    <x v="487"/>
    <n v="-14857.022892842011"/>
  </r>
  <r>
    <x v="499"/>
    <n v="166403.12699582271"/>
    <n v="179221.57229364"/>
    <x v="485"/>
    <n v="-12818.445297817292"/>
  </r>
  <r>
    <x v="500"/>
    <n v="149178.60148103401"/>
    <n v="160620.2071408729"/>
    <x v="488"/>
    <n v="-11441.605659838882"/>
  </r>
  <r>
    <x v="501"/>
    <n v="380592.57758342719"/>
    <n v="409812.43266368861"/>
    <x v="4"/>
    <n v="-29219.855080261419"/>
  </r>
  <r>
    <x v="502"/>
    <n v="413700.17893234122"/>
    <n v="445569.71910740522"/>
    <x v="489"/>
    <n v="-31869.540175064001"/>
  </r>
  <r>
    <x v="503"/>
    <n v="177159.67306561911"/>
    <n v="190811.57794423791"/>
    <x v="490"/>
    <n v="-13651.904878618807"/>
  </r>
  <r>
    <x v="504"/>
    <n v="196420.7635368479"/>
    <n v="211510.78612034491"/>
    <x v="491"/>
    <n v="-15090.022583497019"/>
  </r>
  <r>
    <x v="505"/>
    <n v="137940.87216380521"/>
    <n v="147846.05216339661"/>
    <x v="492"/>
    <n v="-9905.1799995914043"/>
  </r>
  <r>
    <x v="506"/>
    <n v="166176.2838115927"/>
    <n v="178568.18048077749"/>
    <x v="493"/>
    <n v="-12391.896669184789"/>
  </r>
  <r>
    <x v="507"/>
    <n v="84604.377572639161"/>
    <n v="81763.267389330111"/>
    <x v="494"/>
    <n v="2841.1101833090506"/>
  </r>
  <r>
    <x v="508"/>
    <n v="321821.02028676088"/>
    <n v="346487.52033416741"/>
    <x v="495"/>
    <n v="-24666.500047406531"/>
  </r>
  <r>
    <x v="509"/>
    <n v="418715.41064993001"/>
    <n v="450936.27926429448"/>
    <x v="496"/>
    <n v="-32220.868614364474"/>
  </r>
  <r>
    <x v="510"/>
    <n v="169541.26594736151"/>
    <n v="182419.1414416233"/>
    <x v="497"/>
    <n v="-12877.875494261796"/>
  </r>
  <r>
    <x v="511"/>
    <n v="256434.50993607429"/>
    <n v="276173.7924514967"/>
    <x v="498"/>
    <n v="-19739.282515422412"/>
  </r>
  <r>
    <x v="512"/>
    <n v="199385.91241487031"/>
    <n v="214719.75281922091"/>
    <x v="499"/>
    <n v="-15333.840404350602"/>
  </r>
  <r>
    <x v="513"/>
    <n v="243554.22433855539"/>
    <n v="262251.08007940761"/>
    <x v="500"/>
    <n v="-18696.855740852217"/>
  </r>
  <r>
    <x v="514"/>
    <n v="217746.01291984669"/>
    <n v="234483.41700980731"/>
    <x v="501"/>
    <n v="-16737.404089960619"/>
  </r>
  <r>
    <x v="515"/>
    <n v="472160.75210974878"/>
    <n v="508265.14697374182"/>
    <x v="502"/>
    <n v="-36104.394863993046"/>
  </r>
  <r>
    <x v="516"/>
    <n v="546135.46241509903"/>
    <n v="588250.18115078332"/>
    <x v="503"/>
    <n v="-42114.718735684291"/>
  </r>
  <r>
    <x v="517"/>
    <n v="264637.36527971062"/>
    <n v="284828.65965624881"/>
    <x v="504"/>
    <n v="-20191.294376538193"/>
  </r>
  <r>
    <x v="518"/>
    <n v="440905.99870597001"/>
    <n v="474967.32763121481"/>
    <x v="505"/>
    <n v="-34061.328925244801"/>
  </r>
  <r>
    <x v="519"/>
    <n v="334318.89783315209"/>
    <n v="360168.82707700803"/>
    <x v="506"/>
    <n v="-25849.929243855935"/>
  </r>
  <r>
    <x v="520"/>
    <n v="269835.82862680301"/>
    <n v="290492.10628032242"/>
    <x v="507"/>
    <n v="-20656.277653519413"/>
  </r>
  <r>
    <x v="521"/>
    <n v="201146.4892798303"/>
    <n v="216428.50043796099"/>
    <x v="508"/>
    <n v="-15282.011158130685"/>
  </r>
  <r>
    <x v="522"/>
    <n v="293461.08393818582"/>
    <n v="315937.86219659372"/>
    <x v="509"/>
    <n v="-22476.778258407896"/>
  </r>
  <r>
    <x v="523"/>
    <n v="349413.00982046733"/>
    <n v="376094.7218058327"/>
    <x v="510"/>
    <n v="-26681.711985365371"/>
  </r>
  <r>
    <x v="524"/>
    <n v="179602.91516319031"/>
    <n v="193348.59144622891"/>
    <x v="511"/>
    <n v="-13745.6762830386"/>
  </r>
  <r>
    <x v="525"/>
    <n v="109810.54567571809"/>
    <n v="106166.08162125781"/>
    <x v="512"/>
    <n v="3644.464054460288"/>
  </r>
  <r>
    <x v="526"/>
    <n v="76956.920353649635"/>
    <n v="74212.790574549421"/>
    <x v="513"/>
    <n v="2744.1297791002144"/>
  </r>
  <r>
    <x v="527"/>
    <n v="71199.588402039517"/>
    <n v="68669.394963916289"/>
    <x v="514"/>
    <n v="2530.1934381232277"/>
  </r>
  <r>
    <x v="528"/>
    <n v="68988.346670324769"/>
    <n v="66539.165195767971"/>
    <x v="515"/>
    <n v="2449.1814745567972"/>
  </r>
  <r>
    <x v="529"/>
    <n v="155156.87922800641"/>
    <n v="149423.24358090671"/>
    <x v="516"/>
    <n v="5733.635647099698"/>
  </r>
  <r>
    <x v="530"/>
    <n v="185109.5231460139"/>
    <n v="178347.369376849"/>
    <x v="517"/>
    <n v="6762.1537691648991"/>
  </r>
  <r>
    <x v="531"/>
    <n v="83779.544010808924"/>
    <n v="80659.821812082024"/>
    <x v="518"/>
    <n v="3119.7221987269004"/>
  </r>
  <r>
    <x v="532"/>
    <n v="149501.57453075761"/>
    <n v="143962.87189290189"/>
    <x v="198"/>
    <n v="5538.7026378557202"/>
  </r>
  <r>
    <x v="533"/>
    <n v="100477.29679260369"/>
    <n v="96810.103581569099"/>
    <x v="519"/>
    <n v="3667.1932110345952"/>
  </r>
  <r>
    <x v="534"/>
    <n v="89072.705347079172"/>
    <n v="85639.307745994563"/>
    <x v="520"/>
    <n v="3433.3976010846091"/>
  </r>
  <r>
    <x v="535"/>
    <n v="78746.595857519525"/>
    <n v="75673.78198741567"/>
    <x v="521"/>
    <n v="3072.8138701038552"/>
  </r>
  <r>
    <x v="536"/>
    <n v="141913.38242954639"/>
    <n v="136017.75039375731"/>
    <x v="522"/>
    <n v="5895.63203578908"/>
  </r>
  <r>
    <x v="537"/>
    <n v="169304.27828351519"/>
    <n v="162287.90922482399"/>
    <x v="523"/>
    <n v="7016.369058691198"/>
  </r>
  <r>
    <x v="538"/>
    <n v="89512.242836068428"/>
    <n v="85781.807031229662"/>
    <x v="524"/>
    <n v="3730.4358048387658"/>
  </r>
  <r>
    <x v="539"/>
    <n v="85984.075339139163"/>
    <n v="82427.231536907115"/>
    <x v="525"/>
    <n v="3556.8438022320479"/>
  </r>
  <r>
    <x v="540"/>
    <n v="64956.462075899639"/>
    <n v="62169.777124857188"/>
    <x v="526"/>
    <n v="2786.6849510424508"/>
  </r>
  <r>
    <x v="541"/>
    <n v="106613.4328354785"/>
    <n v="113428.4742746674"/>
    <x v="527"/>
    <n v="-6815.0414391889062"/>
  </r>
  <r>
    <x v="542"/>
    <n v="183843.81729524271"/>
    <n v="195365.7307199428"/>
    <x v="528"/>
    <n v="-11521.913424700091"/>
  </r>
  <r>
    <x v="543"/>
    <n v="319579.79409435572"/>
    <n v="339241.69180245663"/>
    <x v="529"/>
    <n v="-19661.897708100907"/>
  </r>
  <r>
    <x v="544"/>
    <n v="369245.75870664971"/>
    <n v="392017.97345098661"/>
    <x v="530"/>
    <n v="-22772.214744336903"/>
  </r>
  <r>
    <x v="545"/>
    <n v="185648.49109673029"/>
    <n v="197095.1087429694"/>
    <x v="531"/>
    <n v="-11446.617646239116"/>
  </r>
  <r>
    <x v="546"/>
    <n v="165557.76178385271"/>
    <n v="175871.11092052259"/>
    <x v="532"/>
    <n v="-10313.349136669887"/>
  </r>
  <r>
    <x v="547"/>
    <n v="212465.0832049415"/>
    <n v="225678.93452530191"/>
    <x v="533"/>
    <n v="-13213.851320360409"/>
  </r>
  <r>
    <x v="548"/>
    <n v="305231.90808635822"/>
    <n v="324248.84149134008"/>
    <x v="534"/>
    <n v="-19016.933404981857"/>
  </r>
  <r>
    <x v="549"/>
    <n v="250481.61765724421"/>
    <n v="266061.92835854058"/>
    <x v="535"/>
    <n v="-15580.310701296374"/>
  </r>
  <r>
    <x v="550"/>
    <n v="268410.4807020094"/>
    <n v="284592.99466123187"/>
    <x v="536"/>
    <n v="-16182.513959222473"/>
  </r>
  <r>
    <x v="551"/>
    <n v="316365.49873839208"/>
    <n v="335025.07636012638"/>
    <x v="537"/>
    <n v="-18659.577621734294"/>
  </r>
  <r>
    <x v="552"/>
    <n v="156873.04365826401"/>
    <n v="165968.6245016396"/>
    <x v="538"/>
    <n v="-9095.5808433755883"/>
  </r>
  <r>
    <x v="553"/>
    <n v="173987.75154080149"/>
    <n v="184188.97897635491"/>
    <x v="539"/>
    <n v="-10201.227435553417"/>
  </r>
  <r>
    <x v="554"/>
    <n v="135753.76604209639"/>
    <n v="143799.59868752939"/>
    <x v="540"/>
    <n v="-8045.8326454329945"/>
  </r>
  <r>
    <x v="555"/>
    <n v="84426.509412029525"/>
    <n v="84588.963035420922"/>
    <x v="541"/>
    <n v="-162.45362339139683"/>
  </r>
  <r>
    <x v="556"/>
    <n v="70815.190285530247"/>
    <n v="71913.068580605148"/>
    <x v="542"/>
    <n v="-1097.878295074901"/>
  </r>
  <r>
    <x v="557"/>
    <n v="125983.15175354639"/>
    <n v="127884.5872444484"/>
    <x v="543"/>
    <n v="-1901.4354909020039"/>
  </r>
  <r>
    <x v="558"/>
    <n v="142378.1840412264"/>
    <n v="143924.56511903761"/>
    <x v="544"/>
    <n v="-1546.3810778112093"/>
  </r>
  <r>
    <x v="559"/>
    <n v="57427.680707010128"/>
    <n v="58723.040531751663"/>
    <x v="545"/>
    <n v="-1295.3598247415357"/>
  </r>
  <r>
    <x v="560"/>
    <n v="63331.33100223037"/>
    <n v="64690.059069980809"/>
    <x v="546"/>
    <n v="-1358.7280677504386"/>
  </r>
  <r>
    <x v="561"/>
    <n v="51241.02855330037"/>
    <n v="52509.916219996157"/>
    <x v="547"/>
    <n v="-1268.8876666957876"/>
  </r>
  <r>
    <x v="562"/>
    <n v="80326.440809250256"/>
    <n v="81730.270702131005"/>
    <x v="548"/>
    <n v="-1403.829892880749"/>
  </r>
  <r>
    <x v="563"/>
    <n v="71912.565728060246"/>
    <n v="73762.629173268782"/>
    <x v="549"/>
    <n v="-1850.063445208536"/>
  </r>
  <r>
    <x v="564"/>
    <n v="119204.3095347464"/>
    <n v="122669.6994279253"/>
    <x v="550"/>
    <n v="-3465.3898931789008"/>
  </r>
  <r>
    <x v="565"/>
    <n v="129441.27865673639"/>
    <n v="132493.4315208937"/>
    <x v="551"/>
    <n v="-3052.1528641573095"/>
  </r>
  <r>
    <x v="566"/>
    <n v="77645.749935120242"/>
    <n v="79555.63473624234"/>
    <x v="260"/>
    <n v="-1909.884801122098"/>
  </r>
  <r>
    <x v="567"/>
    <n v="69926.650362450004"/>
    <n v="71362.517838136861"/>
    <x v="552"/>
    <n v="-1435.8674756868568"/>
  </r>
  <r>
    <x v="568"/>
    <n v="71973.044300340131"/>
    <n v="73851.78839873473"/>
    <x v="553"/>
    <n v="-1878.7440983945999"/>
  </r>
  <r>
    <x v="569"/>
    <n v="44304.898362210253"/>
    <n v="45468.836976009428"/>
    <x v="554"/>
    <n v="-1163.9386137991751"/>
  </r>
  <r>
    <x v="570"/>
    <n v="66799.723730490499"/>
    <n v="69323.647871911555"/>
    <x v="555"/>
    <n v="-2523.9241414210555"/>
  </r>
  <r>
    <x v="571"/>
    <n v="125689.59284090641"/>
    <n v="130428.2263951168"/>
    <x v="556"/>
    <n v="-4738.6335542103916"/>
  </r>
  <r>
    <x v="572"/>
    <n v="138624.94500363519"/>
    <n v="143537.39521883641"/>
    <x v="557"/>
    <n v="-4912.4502152012137"/>
  </r>
  <r>
    <x v="573"/>
    <n v="81715.045331780377"/>
    <n v="85089.22343005694"/>
    <x v="558"/>
    <n v="-3374.1780982765631"/>
  </r>
  <r>
    <x v="574"/>
    <n v="86842.861357880131"/>
    <n v="90242.794097153615"/>
    <x v="559"/>
    <n v="-3399.9327392734849"/>
  </r>
  <r>
    <x v="575"/>
    <n v="56976.785283900383"/>
    <n v="59094.076857821427"/>
    <x v="560"/>
    <n v="-2117.2915739210439"/>
  </r>
  <r>
    <x v="576"/>
    <n v="53433.668027530373"/>
    <n v="55516.525562079609"/>
    <x v="561"/>
    <n v="-2082.8575345492354"/>
  </r>
  <r>
    <x v="577"/>
    <n v="55134.081818380357"/>
    <n v="57064.750696012437"/>
    <x v="562"/>
    <n v="-1930.6688776320807"/>
  </r>
  <r>
    <x v="578"/>
    <n v="145033.61079266519"/>
    <n v="149876.87328204009"/>
    <x v="563"/>
    <n v="-4843.2624893749016"/>
  </r>
  <r>
    <x v="579"/>
    <n v="173306.90648994269"/>
    <n v="178699.97587509951"/>
    <x v="564"/>
    <n v="-5393.0693851568212"/>
  </r>
  <r>
    <x v="580"/>
    <n v="88154.338712390003"/>
    <n v="90828.661699823351"/>
    <x v="565"/>
    <n v="-2674.3229874333483"/>
  </r>
  <r>
    <x v="581"/>
    <n v="81142.027847790378"/>
    <n v="83114.57680933841"/>
    <x v="566"/>
    <n v="-1972.5489615480328"/>
  </r>
  <r>
    <x v="582"/>
    <n v="77672.882777740495"/>
    <n v="80417.746442173302"/>
    <x v="567"/>
    <n v="-2744.8636644328071"/>
  </r>
  <r>
    <x v="583"/>
    <n v="75483.422554300487"/>
    <n v="78024.284675030634"/>
    <x v="568"/>
    <n v="-2540.8621207301476"/>
  </r>
  <r>
    <x v="584"/>
    <n v="74354.570102040496"/>
    <n v="76978.305238407411"/>
    <x v="569"/>
    <n v="-2623.735136366915"/>
  </r>
  <r>
    <x v="585"/>
    <n v="120326.876292698"/>
    <n v="123707.76157316699"/>
    <x v="570"/>
    <n v="-3380.8852804689959"/>
  </r>
  <r>
    <x v="586"/>
    <n v="131867.9935040164"/>
    <n v="135721.426030331"/>
    <x v="571"/>
    <n v="-3853.432526314602"/>
  </r>
  <r>
    <x v="587"/>
    <n v="75504.002742620491"/>
    <n v="77978.694471478811"/>
    <x v="572"/>
    <n v="-2474.6917288583209"/>
  </r>
  <r>
    <x v="588"/>
    <n v="69968.077699080488"/>
    <n v="72665.725527117203"/>
    <x v="573"/>
    <n v="-2697.6478280367155"/>
  </r>
  <r>
    <x v="589"/>
    <n v="60187.149047280371"/>
    <n v="62538.493277924979"/>
    <x v="574"/>
    <n v="-2351.3442306446086"/>
  </r>
  <r>
    <x v="590"/>
    <n v="44698.700751095254"/>
    <n v="46849.567146474838"/>
    <x v="575"/>
    <n v="-2150.866395379584"/>
  </r>
  <r>
    <x v="591"/>
    <n v="39463.409059930251"/>
    <n v="41414.418370139807"/>
    <x v="576"/>
    <n v="-1951.0093102095561"/>
  </r>
  <r>
    <x v="592"/>
    <n v="85794.096902620251"/>
    <n v="89898.894227499957"/>
    <x v="252"/>
    <n v="-4104.7973248797061"/>
  </r>
  <r>
    <x v="593"/>
    <n v="117288.0100538017"/>
    <n v="122504.35720229719"/>
    <x v="577"/>
    <n v="-5216.3471484954935"/>
  </r>
  <r>
    <x v="594"/>
    <n v="71056.061003780487"/>
    <n v="74589.172866250257"/>
    <x v="578"/>
    <n v="-3533.1118624697701"/>
  </r>
  <r>
    <x v="595"/>
    <n v="64394.074453330373"/>
    <n v="67505.254139283716"/>
    <x v="372"/>
    <n v="-3111.1796859533424"/>
  </r>
  <r>
    <x v="596"/>
    <n v="35165.972082725253"/>
    <n v="36841.967322813813"/>
    <x v="579"/>
    <n v="-1675.9952400885595"/>
  </r>
  <r>
    <x v="597"/>
    <n v="23234.183195130121"/>
    <n v="24104.085977912531"/>
    <x v="580"/>
    <n v="-869.90278278241021"/>
  </r>
  <r>
    <x v="598"/>
    <n v="24754.95718180012"/>
    <n v="25407.174070346191"/>
    <x v="581"/>
    <n v="-652.21688854607055"/>
  </r>
  <r>
    <x v="599"/>
    <n v="76691.283029055499"/>
    <n v="78691.956315552306"/>
    <x v="582"/>
    <n v="-2000.6732864968071"/>
  </r>
  <r>
    <x v="600"/>
    <n v="102231.2117923578"/>
    <n v="104713.0074997764"/>
    <x v="128"/>
    <n v="-2481.7957074185979"/>
  </r>
  <r>
    <x v="601"/>
    <n v="56974.868025790369"/>
    <n v="57548.985153409623"/>
    <x v="545"/>
    <n v="-574.11712761925446"/>
  </r>
  <r>
    <x v="602"/>
    <n v="59442.73111516537"/>
    <n v="59785.428614563789"/>
    <x v="583"/>
    <n v="-342.69749939841859"/>
  </r>
  <r>
    <x v="603"/>
    <n v="217683.362264025"/>
    <n v="246975.73076564309"/>
    <x v="584"/>
    <n v="-29292.368501618097"/>
  </r>
  <r>
    <x v="604"/>
    <n v="275458.8068961961"/>
    <n v="307092.27437902818"/>
    <x v="585"/>
    <n v="-31633.467482832086"/>
  </r>
  <r>
    <x v="605"/>
    <n v="228731.86548652739"/>
    <n v="252845.44555357669"/>
    <x v="586"/>
    <n v="-24113.580067049304"/>
  </r>
  <r>
    <x v="606"/>
    <n v="387639.11999952199"/>
    <n v="426783.30221814412"/>
    <x v="587"/>
    <n v="-39144.182218622125"/>
  </r>
  <r>
    <x v="607"/>
    <n v="461188.00485173479"/>
    <n v="504578.18875722651"/>
    <x v="588"/>
    <n v="-43390.183905491722"/>
  </r>
  <r>
    <x v="608"/>
    <n v="202249.67716942501"/>
    <n v="220152.1867539582"/>
    <x v="589"/>
    <n v="-17902.509584533196"/>
  </r>
  <r>
    <x v="609"/>
    <n v="332559.76497908588"/>
    <n v="361970.285938652"/>
    <x v="590"/>
    <n v="-29410.520959566114"/>
  </r>
  <r>
    <x v="610"/>
    <n v="384806.77158197842"/>
    <n v="418101.5975483603"/>
    <x v="591"/>
    <n v="-33294.825966381875"/>
  </r>
  <r>
    <x v="611"/>
    <n v="345776.25028037588"/>
    <n v="373816.16840063431"/>
    <x v="592"/>
    <n v="-28039.91812025843"/>
  </r>
  <r>
    <x v="612"/>
    <n v="271551.09510075609"/>
    <n v="293343.87397356221"/>
    <x v="593"/>
    <n v="-21792.778872806113"/>
  </r>
  <r>
    <x v="613"/>
    <n v="340440.20546208572"/>
    <n v="366359.65859248448"/>
    <x v="594"/>
    <n v="-25919.453130398761"/>
  </r>
  <r>
    <x v="614"/>
    <n v="364416.73158213811"/>
    <n v="392128.30126516859"/>
    <x v="595"/>
    <n v="-27711.569683030481"/>
  </r>
  <r>
    <x v="615"/>
    <n v="164719.6044916152"/>
    <n v="176647.84265184921"/>
    <x v="596"/>
    <n v="-11928.238160234003"/>
  </r>
  <r>
    <x v="616"/>
    <n v="178921.0993487364"/>
    <n v="192507.52873248939"/>
    <x v="597"/>
    <n v="-13586.429383752984"/>
  </r>
  <r>
    <x v="617"/>
    <n v="70286.997810770496"/>
    <n v="66639.698052811495"/>
    <x v="598"/>
    <n v="3647.299757959001"/>
  </r>
  <r>
    <x v="618"/>
    <n v="76013.677901710485"/>
    <n v="72211.103174650692"/>
    <x v="599"/>
    <n v="3802.5747270597931"/>
  </r>
  <r>
    <x v="619"/>
    <n v="48406.787146740236"/>
    <n v="45316.542733610833"/>
    <x v="600"/>
    <n v="3090.2444131294033"/>
  </r>
  <r>
    <x v="620"/>
    <n v="85940.026940790005"/>
    <n v="81559.845623271962"/>
    <x v="601"/>
    <n v="4380.1813175180432"/>
  </r>
  <r>
    <x v="621"/>
    <n v="57381.751454185367"/>
    <n v="54340.891509322857"/>
    <x v="602"/>
    <n v="3040.85994486251"/>
  </r>
  <r>
    <x v="622"/>
    <n v="32479.796394255129"/>
    <n v="30763.688117313319"/>
    <x v="603"/>
    <n v="1716.1082769418099"/>
  </r>
  <r>
    <x v="623"/>
    <n v="52160.18393341537"/>
    <n v="49656.007748568787"/>
    <x v="604"/>
    <n v="2504.1761848465831"/>
  </r>
  <r>
    <x v="624"/>
    <n v="51002.839569495241"/>
    <n v="48601.967504707303"/>
    <x v="605"/>
    <n v="2400.8720647879381"/>
  </r>
  <r>
    <x v="625"/>
    <n v="30194.715956215121"/>
    <n v="28605.46079761381"/>
    <x v="606"/>
    <n v="1589.2551586013105"/>
  </r>
  <r>
    <x v="626"/>
    <n v="29751.222605555118"/>
    <n v="28084.235128364078"/>
    <x v="607"/>
    <n v="1666.9874771910399"/>
  </r>
  <r>
    <x v="627"/>
    <n v="68504.63943753537"/>
    <n v="64881.975648256928"/>
    <x v="608"/>
    <n v="3622.663789278442"/>
  </r>
  <r>
    <x v="628"/>
    <n v="68996.561757290488"/>
    <n v="65211.57177094122"/>
    <x v="609"/>
    <n v="3784.9899863492683"/>
  </r>
  <r>
    <x v="629"/>
    <n v="41855.928759400253"/>
    <n v="39629.451872277546"/>
    <x v="610"/>
    <n v="2226.4768871227061"/>
  </r>
  <r>
    <x v="630"/>
    <n v="44303.466485900237"/>
    <n v="41485.458718801397"/>
    <x v="611"/>
    <n v="2818.0077670988394"/>
  </r>
  <r>
    <x v="631"/>
    <n v="46599.298130810253"/>
    <n v="43806.73201043591"/>
    <x v="436"/>
    <n v="2792.5661203743439"/>
  </r>
  <r>
    <x v="632"/>
    <n v="125182.7571653476"/>
    <n v="138583.8378162164"/>
    <x v="612"/>
    <n v="-13401.080650868797"/>
  </r>
  <r>
    <x v="633"/>
    <n v="150036.8050416176"/>
    <n v="167704.85540677371"/>
    <x v="613"/>
    <n v="-17668.050365156116"/>
  </r>
  <r>
    <x v="634"/>
    <n v="368037.69194465881"/>
    <n v="413540.807164328"/>
    <x v="614"/>
    <n v="-45503.115219669184"/>
  </r>
  <r>
    <x v="635"/>
    <n v="351319.63806908001"/>
    <n v="397626.58505845559"/>
    <x v="615"/>
    <n v="-46306.946989375574"/>
  </r>
  <r>
    <x v="636"/>
    <n v="163289.93666880389"/>
    <n v="185404.04401051009"/>
    <x v="616"/>
    <n v="-22114.1073417062"/>
  </r>
  <r>
    <x v="637"/>
    <n v="190892.45898757639"/>
    <n v="216571.0595214621"/>
    <x v="617"/>
    <n v="-25678.600533885707"/>
  </r>
  <r>
    <x v="638"/>
    <n v="143082.1332657676"/>
    <n v="162929.01847235279"/>
    <x v="618"/>
    <n v="-19846.885206585197"/>
  </r>
  <r>
    <x v="639"/>
    <n v="323548.78534206882"/>
    <n v="368434.8859088649"/>
    <x v="619"/>
    <n v="-44886.100566796085"/>
  </r>
  <r>
    <x v="640"/>
    <n v="402312.33315894648"/>
    <n v="459285.80452600669"/>
    <x v="620"/>
    <n v="-56973.471367060207"/>
  </r>
  <r>
    <x v="641"/>
    <n v="393635.17485489399"/>
    <n v="448390.96576197422"/>
    <x v="621"/>
    <n v="-54755.790907080227"/>
  </r>
  <r>
    <x v="642"/>
    <n v="451100.06007685699"/>
    <n v="515549.38991623401"/>
    <x v="622"/>
    <n v="-64449.329839377024"/>
  </r>
  <r>
    <x v="643"/>
    <n v="202902.62490132521"/>
    <n v="232360.32715548939"/>
    <x v="623"/>
    <n v="-29457.702254164178"/>
  </r>
  <r>
    <x v="644"/>
    <n v="294557.64636622381"/>
    <n v="336897.92240040551"/>
    <x v="624"/>
    <n v="-42340.276034181705"/>
  </r>
  <r>
    <x v="645"/>
    <n v="221618.32824753021"/>
    <n v="253291.062286083"/>
    <x v="625"/>
    <n v="-31672.734038552793"/>
  </r>
  <r>
    <x v="646"/>
    <n v="63968.38248018537"/>
    <n v="61942.842677746637"/>
    <x v="626"/>
    <n v="2025.5398024387323"/>
  </r>
  <r>
    <x v="647"/>
    <n v="59609.544705280372"/>
    <n v="57736.476659462976"/>
    <x v="627"/>
    <n v="1873.0680458173956"/>
  </r>
  <r>
    <x v="648"/>
    <n v="126588.25297451641"/>
    <n v="122622.36311479039"/>
    <x v="628"/>
    <n v="3965.8898597260122"/>
  </r>
  <r>
    <x v="649"/>
    <n v="119755.01159048091"/>
    <n v="116003.6869136254"/>
    <x v="629"/>
    <n v="3751.3246768555109"/>
  </r>
  <r>
    <x v="650"/>
    <n v="57413.410482090367"/>
    <n v="55617.584643929717"/>
    <x v="630"/>
    <n v="1795.8258381606502"/>
  </r>
  <r>
    <x v="651"/>
    <n v="57749.13693860537"/>
    <n v="55933.008575846157"/>
    <x v="631"/>
    <n v="1816.1283627592129"/>
  </r>
  <r>
    <x v="652"/>
    <n v="40140.82003455524"/>
    <n v="38881.088441786422"/>
    <x v="632"/>
    <n v="1259.7315927688178"/>
  </r>
  <r>
    <x v="653"/>
    <n v="42195.817364850249"/>
    <n v="40869.24947226706"/>
    <x v="633"/>
    <n v="1326.567892583189"/>
  </r>
  <r>
    <x v="654"/>
    <n v="53490.797465390373"/>
    <n v="51799.165903400812"/>
    <x v="634"/>
    <n v="1691.6315619895613"/>
  </r>
  <r>
    <x v="655"/>
    <n v="110809.3158055775"/>
    <n v="107331.98051512289"/>
    <x v="635"/>
    <n v="3477.3352904546045"/>
  </r>
  <r>
    <x v="656"/>
    <n v="111527.01346960261"/>
    <n v="108023.60734392131"/>
    <x v="636"/>
    <n v="3503.4061256813002"/>
  </r>
  <r>
    <x v="657"/>
    <n v="59808.138668750369"/>
    <n v="57937.458655969502"/>
    <x v="637"/>
    <n v="1870.6800127808674"/>
  </r>
  <r>
    <x v="658"/>
    <n v="55166.226228085383"/>
    <n v="53436.897092784871"/>
    <x v="638"/>
    <n v="1729.3291353005116"/>
  </r>
  <r>
    <x v="659"/>
    <n v="42054.680471955253"/>
    <n v="40736.150475592272"/>
    <x v="639"/>
    <n v="1318.5299963629805"/>
  </r>
  <r>
    <x v="660"/>
    <n v="53678.179109280252"/>
    <n v="51999.860868195567"/>
    <x v="322"/>
    <n v="1678.3182410846857"/>
  </r>
  <r>
    <x v="661"/>
    <n v="55930.168643105368"/>
    <n v="54177.690061877343"/>
    <x v="193"/>
    <n v="1752.4785812280243"/>
  </r>
  <r>
    <x v="662"/>
    <n v="185771.00146306361"/>
    <n v="192527.0110099228"/>
    <x v="640"/>
    <n v="-6756.0095468591899"/>
  </r>
  <r>
    <x v="663"/>
    <n v="253116.91319854019"/>
    <n v="262409.56942291622"/>
    <x v="641"/>
    <n v="-9292.6562243760272"/>
  </r>
  <r>
    <x v="664"/>
    <n v="118618.4537021529"/>
    <n v="122915.26701698839"/>
    <x v="642"/>
    <n v="-4296.8133148354973"/>
  </r>
  <r>
    <x v="665"/>
    <n v="123320.78404237361"/>
    <n v="128133.7786088713"/>
    <x v="643"/>
    <n v="-4812.9945664976985"/>
  </r>
  <r>
    <x v="666"/>
    <n v="117051.2772154027"/>
    <n v="122175.0002727018"/>
    <x v="644"/>
    <n v="-5123.7230572990957"/>
  </r>
  <r>
    <x v="667"/>
    <n v="159299.98906190021"/>
    <n v="174699.07672381031"/>
    <x v="645"/>
    <n v="-15399.087661910104"/>
  </r>
  <r>
    <x v="668"/>
    <n v="119047.4098679029"/>
    <n v="124349.2654892959"/>
    <x v="646"/>
    <n v="-5301.8556213929987"/>
  </r>
  <r>
    <x v="669"/>
    <n v="285081.97432843532"/>
    <n v="297627.69071540632"/>
    <x v="647"/>
    <n v="-12545.716386971006"/>
  </r>
  <r>
    <x v="670"/>
    <n v="391656.21258357138"/>
    <n v="429832.83476080548"/>
    <x v="648"/>
    <n v="-38176.622177234094"/>
  </r>
  <r>
    <x v="671"/>
    <n v="274814.77805485041"/>
    <n v="287978.17491181649"/>
    <x v="649"/>
    <n v="-13163.396856966079"/>
  </r>
  <r>
    <x v="672"/>
    <n v="269555.02312096767"/>
    <n v="281915.19210462889"/>
    <x v="650"/>
    <n v="-12360.16898366122"/>
  </r>
  <r>
    <x v="673"/>
    <n v="192001.03461514859"/>
    <n v="201125.7754746837"/>
    <x v="651"/>
    <n v="-9124.7408595351153"/>
  </r>
  <r>
    <x v="674"/>
    <n v="201367.78697700129"/>
    <n v="220579.99556067711"/>
    <x v="652"/>
    <n v="-19212.20858367582"/>
  </r>
  <r>
    <x v="675"/>
    <n v="111874.5589729527"/>
    <n v="116637.034345283"/>
    <x v="653"/>
    <n v="-4762.4753723303002"/>
  </r>
  <r>
    <x v="676"/>
    <n v="214540.33309084759"/>
    <n v="223738.43271863071"/>
    <x v="654"/>
    <n v="-9198.0996277831146"/>
  </r>
  <r>
    <x v="677"/>
    <n v="280264.24446527619"/>
    <n v="306935.16039581352"/>
    <x v="655"/>
    <n v="-26670.915930537332"/>
  </r>
  <r>
    <x v="678"/>
    <n v="134136.72870994979"/>
    <n v="140236.30330013481"/>
    <x v="656"/>
    <n v="-6099.5745901850169"/>
  </r>
  <r>
    <x v="679"/>
    <n v="94243.465527933557"/>
    <n v="89949.304171877258"/>
    <x v="657"/>
    <n v="4294.1613560562982"/>
  </r>
  <r>
    <x v="680"/>
    <n v="131436.19785473641"/>
    <n v="143823.38644063799"/>
    <x v="658"/>
    <n v="-12387.188585901575"/>
  </r>
  <r>
    <x v="681"/>
    <n v="147893.9414709764"/>
    <n v="161665.60055441549"/>
    <x v="659"/>
    <n v="-13771.659083439095"/>
  </r>
  <r>
    <x v="682"/>
    <n v="140238.39051047139"/>
    <n v="153481.4533973026"/>
    <x v="660"/>
    <n v="-13243.062886831205"/>
  </r>
  <r>
    <x v="683"/>
    <n v="358183.77400468499"/>
    <n v="391310.32068493689"/>
    <x v="661"/>
    <n v="-33126.546680251893"/>
  </r>
  <r>
    <x v="684"/>
    <n v="377937.13869747258"/>
    <n v="413010.2290451295"/>
    <x v="662"/>
    <n v="-35073.090347656922"/>
  </r>
  <r>
    <x v="685"/>
    <n v="168729.96240320889"/>
    <n v="184673.48850580241"/>
    <x v="663"/>
    <n v="-15943.526102593518"/>
  </r>
  <r>
    <x v="686"/>
    <n v="177192.56981712021"/>
    <n v="193615.30370472989"/>
    <x v="640"/>
    <n v="-16422.733887609676"/>
  </r>
  <r>
    <x v="687"/>
    <n v="152368.74909244641"/>
    <n v="166625.36501779759"/>
    <x v="664"/>
    <n v="-14256.615925351187"/>
  </r>
  <r>
    <x v="688"/>
    <n v="147471.80491951641"/>
    <n v="161402.91869953019"/>
    <x v="665"/>
    <n v="-13931.11378001378"/>
  </r>
  <r>
    <x v="689"/>
    <n v="145697.15198235639"/>
    <n v="159317.60939427299"/>
    <x v="666"/>
    <n v="-13620.457411916606"/>
  </r>
  <r>
    <x v="690"/>
    <n v="301033.98651272239"/>
    <n v="328965.14326487982"/>
    <x v="667"/>
    <n v="-27931.156752157432"/>
  </r>
  <r>
    <x v="691"/>
    <n v="309518.07207128493"/>
    <n v="338720.02362598572"/>
    <x v="668"/>
    <n v="-29201.95155470079"/>
  </r>
  <r>
    <x v="692"/>
    <n v="152504.6317273539"/>
    <n v="167600.650935746"/>
    <x v="669"/>
    <n v="-15096.019208392099"/>
  </r>
  <r>
    <x v="693"/>
    <n v="79711.583414100489"/>
    <n v="74375.788707864966"/>
    <x v="670"/>
    <n v="5335.7947062355233"/>
  </r>
  <r>
    <x v="694"/>
    <n v="111021.3791139987"/>
    <n v="121456.5240191974"/>
    <x v="671"/>
    <n v="-10435.1449051987"/>
  </r>
  <r>
    <x v="695"/>
    <n v="243161.25923328879"/>
    <n v="266054.36985679291"/>
    <x v="672"/>
    <n v="-22893.110623504122"/>
  </r>
  <r>
    <x v="696"/>
    <n v="311443.18123189738"/>
    <n v="355343.87184090709"/>
    <x v="673"/>
    <n v="-43900.690609009704"/>
  </r>
  <r>
    <x v="697"/>
    <n v="375876.01342195261"/>
    <n v="431325.6866936764"/>
    <x v="591"/>
    <n v="-55449.67327172379"/>
  </r>
  <r>
    <x v="698"/>
    <n v="434639.65899526927"/>
    <n v="498895.61864535551"/>
    <x v="674"/>
    <n v="-64255.959650086239"/>
  </r>
  <r>
    <x v="699"/>
    <n v="238637.81635545639"/>
    <n v="274093.57795911958"/>
    <x v="675"/>
    <n v="-35455.761603663181"/>
  </r>
  <r>
    <x v="700"/>
    <n v="260653.66696349639"/>
    <n v="283981.1506886445"/>
    <x v="676"/>
    <n v="-23327.483725148108"/>
  </r>
  <r>
    <x v="701"/>
    <n v="262394.78001827881"/>
    <n v="285838.55681476911"/>
    <x v="677"/>
    <n v="-23443.776796490303"/>
  </r>
  <r>
    <x v="702"/>
    <n v="248437.7113010938"/>
    <n v="269807.62043909793"/>
    <x v="678"/>
    <n v="-21369.909138004121"/>
  </r>
  <r>
    <x v="703"/>
    <n v="201048.83046167399"/>
    <n v="219110.3931964541"/>
    <x v="679"/>
    <n v="-18061.562734780106"/>
  </r>
  <r>
    <x v="704"/>
    <n v="317690.76093605132"/>
    <n v="345449.52994686092"/>
    <x v="680"/>
    <n v="-27758.769010809599"/>
  </r>
  <r>
    <x v="705"/>
    <n v="378527.87261716381"/>
    <n v="410385.03700937238"/>
    <x v="681"/>
    <n v="-31857.164392208564"/>
  </r>
  <r>
    <x v="706"/>
    <n v="195425.3910795952"/>
    <n v="210461.38622248991"/>
    <x v="682"/>
    <n v="-15035.99514289471"/>
  </r>
  <r>
    <x v="707"/>
    <n v="90441.603368529759"/>
    <n v="83999.591253936887"/>
    <x v="683"/>
    <n v="6442.0121145928715"/>
  </r>
  <r>
    <x v="708"/>
    <n v="117649.0006330129"/>
    <n v="121640.3797902365"/>
    <x v="684"/>
    <n v="-3991.3791572236078"/>
  </r>
  <r>
    <x v="709"/>
    <n v="141285.39545671371"/>
    <n v="145443.04659183419"/>
    <x v="685"/>
    <n v="-4157.6511351204826"/>
  </r>
  <r>
    <x v="710"/>
    <n v="133183.69368019371"/>
    <n v="137725.87611044809"/>
    <x v="686"/>
    <n v="-4542.1824302543828"/>
  </r>
  <r>
    <x v="711"/>
    <n v="229672.25632039239"/>
    <n v="237672.0164167957"/>
    <x v="687"/>
    <n v="-7999.7600964033045"/>
  </r>
  <r>
    <x v="712"/>
    <n v="333488.79787881998"/>
    <n v="359621.07489373692"/>
    <x v="688"/>
    <n v="-26132.277014916937"/>
  </r>
  <r>
    <x v="713"/>
    <n v="185422.8856361036"/>
    <n v="191390.40131031329"/>
    <x v="353"/>
    <n v="-5967.5156742096879"/>
  </r>
  <r>
    <x v="714"/>
    <n v="173833.13316842369"/>
    <n v="179871.05329942369"/>
    <x v="689"/>
    <n v="-6037.9201309999917"/>
  </r>
  <r>
    <x v="715"/>
    <n v="220271.72138524521"/>
    <n v="237123.3433401052"/>
    <x v="690"/>
    <n v="-16851.621954859991"/>
  </r>
  <r>
    <x v="716"/>
    <n v="234468.07119528641"/>
    <n v="251493.90890012981"/>
    <x v="691"/>
    <n v="-17025.837704843405"/>
  </r>
  <r>
    <x v="717"/>
    <n v="213778.13805030519"/>
    <n v="230994.35519885991"/>
    <x v="692"/>
    <n v="-17216.217148554715"/>
  </r>
  <r>
    <x v="718"/>
    <n v="273563.01479629381"/>
    <n v="295854.55231599201"/>
    <x v="693"/>
    <n v="-22291.537519698206"/>
  </r>
  <r>
    <x v="719"/>
    <n v="337506.78841922001"/>
    <n v="362223.16087670921"/>
    <x v="694"/>
    <n v="-24716.372457489197"/>
  </r>
  <r>
    <x v="720"/>
    <n v="155312.7838621664"/>
    <n v="167421.97369517089"/>
    <x v="695"/>
    <n v="-12109.189833004493"/>
  </r>
  <r>
    <x v="721"/>
    <n v="289243.38305619761"/>
    <n v="312784.97431839362"/>
    <x v="696"/>
    <n v="-23541.591262196016"/>
  </r>
  <r>
    <x v="722"/>
    <n v="313125.33253251761"/>
    <n v="338299.61784548633"/>
    <x v="506"/>
    <n v="-25174.285312968714"/>
  </r>
  <r>
    <x v="723"/>
    <n v="268330.39270501549"/>
    <n v="249584.21516385439"/>
    <x v="697"/>
    <n v="18746.177541161102"/>
  </r>
  <r>
    <x v="724"/>
    <n v="392228.13795848232"/>
    <n v="364396.19424887962"/>
    <x v="698"/>
    <n v="27831.943709602696"/>
  </r>
  <r>
    <x v="725"/>
    <n v="133728.9837288514"/>
    <n v="124363.5572766095"/>
    <x v="699"/>
    <n v="9365.4264522418962"/>
  </r>
  <r>
    <x v="726"/>
    <n v="82778.444048310368"/>
    <n v="76876.492698314294"/>
    <x v="700"/>
    <n v="5901.951349996074"/>
  </r>
  <r>
    <x v="727"/>
    <n v="69522.836973940372"/>
    <n v="64616.07664627437"/>
    <x v="701"/>
    <n v="4906.7603276660011"/>
  </r>
  <r>
    <x v="728"/>
    <n v="133021.2727953626"/>
    <n v="123500.7877896752"/>
    <x v="702"/>
    <n v="9520.4850056873984"/>
  </r>
  <r>
    <x v="729"/>
    <n v="161267.52059183759"/>
    <n v="175378.1459152207"/>
    <x v="703"/>
    <n v="-14110.625323383108"/>
  </r>
  <r>
    <x v="730"/>
    <n v="208583.21799035519"/>
    <n v="227060.26267849401"/>
    <x v="704"/>
    <n v="-18477.04468813882"/>
  </r>
  <r>
    <x v="731"/>
    <n v="325457.52500147879"/>
    <n v="353929.73835499171"/>
    <x v="705"/>
    <n v="-28472.213353512925"/>
  </r>
  <r>
    <x v="732"/>
    <n v="111650.2397740787"/>
    <n v="121448.2838171389"/>
    <x v="706"/>
    <n v="-9798.044043060203"/>
  </r>
  <r>
    <x v="733"/>
    <n v="262421.28186455759"/>
    <n v="285675.84571316058"/>
    <x v="707"/>
    <n v="-23254.563848602993"/>
  </r>
  <r>
    <x v="734"/>
    <n v="164527.53891335521"/>
    <n v="179308.94953055491"/>
    <x v="708"/>
    <n v="-14781.410617199697"/>
  </r>
  <r>
    <x v="735"/>
    <n v="274990.1464991988"/>
    <n v="299576.24136966269"/>
    <x v="709"/>
    <n v="-24586.094870463887"/>
  </r>
  <r>
    <x v="736"/>
    <n v="215737.84279871389"/>
    <n v="234642.0857481322"/>
    <x v="710"/>
    <n v="-18904.242949418316"/>
  </r>
  <r>
    <x v="737"/>
    <n v="98646.982697528802"/>
    <n v="91610.560001972306"/>
    <x v="711"/>
    <n v="7036.4226955564955"/>
  </r>
  <r>
    <x v="738"/>
    <n v="74401.21529302049"/>
    <n v="68988.861259106357"/>
    <x v="712"/>
    <n v="5412.3540339141327"/>
  </r>
  <r>
    <x v="739"/>
    <n v="106592.34299626789"/>
    <n v="99021.682920692168"/>
    <x v="713"/>
    <n v="7570.6600755757245"/>
  </r>
  <r>
    <x v="740"/>
    <n v="134629.65819693019"/>
    <n v="124963.4655138471"/>
    <x v="714"/>
    <n v="9666.1926830830926"/>
  </r>
  <r>
    <x v="741"/>
    <n v="90773.653057909149"/>
    <n v="84299.288239980437"/>
    <x v="715"/>
    <n v="6474.364817928712"/>
  </r>
  <r>
    <x v="742"/>
    <n v="121373.06822441641"/>
    <n v="112550.43230873271"/>
    <x v="716"/>
    <n v="8822.6359156836988"/>
  </r>
  <r>
    <x v="743"/>
    <n v="99445.557103979168"/>
    <n v="92226.518095758031"/>
    <x v="717"/>
    <n v="7219.0390082211379"/>
  </r>
  <r>
    <x v="744"/>
    <n v="67587.54693007037"/>
    <n v="62760.356831462283"/>
    <x v="718"/>
    <n v="4827.1900986080873"/>
  </r>
  <r>
    <x v="745"/>
    <n v="61685.935238410369"/>
    <n v="57191.43931779157"/>
    <x v="719"/>
    <n v="4494.4959206187996"/>
  </r>
  <r>
    <x v="746"/>
    <n v="150006.9297918239"/>
    <n v="139244.89576770909"/>
    <x v="720"/>
    <n v="10762.034024114808"/>
  </r>
  <r>
    <x v="747"/>
    <n v="191287.35348550291"/>
    <n v="177577.2872134948"/>
    <x v="721"/>
    <n v="13710.066272008116"/>
  </r>
  <r>
    <x v="748"/>
    <n v="92595.46083693915"/>
    <n v="86018.189605519379"/>
    <x v="722"/>
    <n v="6577.2712314197706"/>
  </r>
  <r>
    <x v="749"/>
    <n v="96947.054288479165"/>
    <n v="89961.359503772677"/>
    <x v="723"/>
    <n v="6985.6947847064876"/>
  </r>
  <r>
    <x v="750"/>
    <n v="70512.894500490496"/>
    <n v="65453.276391554507"/>
    <x v="724"/>
    <n v="5059.6181089359889"/>
  </r>
  <r>
    <x v="751"/>
    <n v="159590.49006920139"/>
    <n v="182351.13884524151"/>
    <x v="725"/>
    <n v="-22760.648776040121"/>
  </r>
  <r>
    <x v="752"/>
    <n v="67046.273415800373"/>
    <n v="61894.262560530507"/>
    <x v="726"/>
    <n v="5152.0108552698657"/>
  </r>
  <r>
    <x v="753"/>
    <n v="266949.23879314208"/>
    <n v="294322.92718273471"/>
    <x v="727"/>
    <n v="-27373.688389592629"/>
  </r>
  <r>
    <x v="754"/>
    <n v="315272.22477212187"/>
    <n v="346093.06700429099"/>
    <x v="728"/>
    <n v="-30820.842232169118"/>
  </r>
  <r>
    <x v="755"/>
    <n v="149138.92151888521"/>
    <n v="163505.7130198981"/>
    <x v="729"/>
    <n v="-14366.791501012893"/>
  </r>
  <r>
    <x v="756"/>
    <n v="215171.03820176999"/>
    <n v="234621.59885970881"/>
    <x v="730"/>
    <n v="-19450.560657938826"/>
  </r>
  <r>
    <x v="757"/>
    <n v="205197.8983571688"/>
    <n v="221931.58005274381"/>
    <x v="731"/>
    <n v="-16733.681695575011"/>
  </r>
  <r>
    <x v="758"/>
    <n v="214452.24842869499"/>
    <n v="231730.23274989819"/>
    <x v="732"/>
    <n v="-17277.984321203199"/>
  </r>
  <r>
    <x v="759"/>
    <n v="195767.9735540376"/>
    <n v="210639.84818927519"/>
    <x v="733"/>
    <n v="-14871.874635237589"/>
  </r>
  <r>
    <x v="760"/>
    <n v="397984.32926288783"/>
    <n v="437198.92957971449"/>
    <x v="734"/>
    <n v="-39214.600316826662"/>
  </r>
  <r>
    <x v="761"/>
    <n v="512603.10345302342"/>
    <n v="561872.20603298978"/>
    <x v="735"/>
    <n v="-49269.102579966362"/>
  </r>
  <r>
    <x v="762"/>
    <n v="218104.0669391714"/>
    <n v="238662.19210478579"/>
    <x v="736"/>
    <n v="-20558.125165614387"/>
  </r>
  <r>
    <x v="763"/>
    <n v="339004.33688676252"/>
    <n v="371177.18688303168"/>
    <x v="737"/>
    <n v="-32172.849996269157"/>
  </r>
  <r>
    <x v="764"/>
    <n v="278116.36932756339"/>
    <n v="295645.62910879822"/>
    <x v="738"/>
    <n v="-17529.259781234839"/>
  </r>
  <r>
    <x v="765"/>
    <n v="264159.3006103735"/>
    <n v="280392.27359994513"/>
    <x v="739"/>
    <n v="-16232.97298957163"/>
  </r>
  <r>
    <x v="766"/>
    <n v="197778.13374055881"/>
    <n v="209372.29223082791"/>
    <x v="740"/>
    <n v="-11594.158490269096"/>
  </r>
  <r>
    <x v="767"/>
    <n v="325749.00890694692"/>
    <n v="345287.81149657938"/>
    <x v="741"/>
    <n v="-19538.802589632454"/>
  </r>
  <r>
    <x v="768"/>
    <n v="371561.97638721432"/>
    <n v="393884.43303565029"/>
    <x v="742"/>
    <n v="-22322.456648435968"/>
  </r>
  <r>
    <x v="769"/>
    <n v="174581.67684583139"/>
    <n v="185040.81733893289"/>
    <x v="743"/>
    <n v="-10459.140493101499"/>
  </r>
  <r>
    <x v="770"/>
    <n v="208489.36941933131"/>
    <n v="221372.83694683231"/>
    <x v="744"/>
    <n v="-12883.467527500994"/>
  </r>
  <r>
    <x v="771"/>
    <n v="84495.166667640122"/>
    <n v="74682.266818099233"/>
    <x v="745"/>
    <n v="9812.8998495408887"/>
  </r>
  <r>
    <x v="772"/>
    <n v="76661.250030179392"/>
    <n v="66379.563604373863"/>
    <x v="746"/>
    <n v="10281.686425805528"/>
  </r>
  <r>
    <x v="773"/>
    <n v="64034.940459509773"/>
    <n v="55491.338529373483"/>
    <x v="382"/>
    <n v="8543.6019301362903"/>
  </r>
  <r>
    <x v="774"/>
    <n v="148839.97486826521"/>
    <n v="129583.4920673977"/>
    <x v="747"/>
    <n v="19256.48280086751"/>
  </r>
  <r>
    <x v="775"/>
    <n v="172541.50792952391"/>
    <n v="150538.98368314141"/>
    <x v="748"/>
    <n v="22002.524246382498"/>
  </r>
  <r>
    <x v="776"/>
    <n v="87991.663002118541"/>
    <n v="76378.504638063911"/>
    <x v="749"/>
    <n v="11613.158364054631"/>
  </r>
  <r>
    <x v="777"/>
    <n v="123445.3815504276"/>
    <n v="108669.225381257"/>
    <x v="750"/>
    <n v="14776.156169170601"/>
  </r>
  <r>
    <x v="778"/>
    <n v="77344.691873669406"/>
    <n v="68269.248838410713"/>
    <x v="751"/>
    <n v="9075.4430352586933"/>
  </r>
  <r>
    <x v="779"/>
    <n v="158963.02488179519"/>
    <n v="167521.52586053711"/>
    <x v="752"/>
    <n v="-8558.5009787419112"/>
  </r>
  <r>
    <x v="780"/>
    <n v="69598.07115293965"/>
    <n v="61492.968308179203"/>
    <x v="753"/>
    <n v="8105.1028447604476"/>
  </r>
  <r>
    <x v="781"/>
    <n v="161275.60219880519"/>
    <n v="143446.35832758571"/>
    <x v="754"/>
    <n v="17829.243871219485"/>
  </r>
  <r>
    <x v="782"/>
    <n v="325215.07679238252"/>
    <n v="345446.00184870971"/>
    <x v="755"/>
    <n v="-20230.925056327193"/>
  </r>
  <r>
    <x v="783"/>
    <n v="96957.295844458073"/>
    <n v="86455.494378043557"/>
    <x v="756"/>
    <n v="10501.801466414516"/>
  </r>
  <r>
    <x v="784"/>
    <n v="85224.477091228793"/>
    <n v="75960.718021940367"/>
    <x v="757"/>
    <n v="9263.759069288426"/>
  </r>
  <r>
    <x v="785"/>
    <n v="54612.878841539881"/>
    <n v="49071.802537897172"/>
    <x v="758"/>
    <n v="5541.0763036427088"/>
  </r>
  <r>
    <x v="786"/>
    <n v="81530.612382324645"/>
    <n v="81738.0564373136"/>
    <x v="759"/>
    <n v="-207.44405498895503"/>
  </r>
  <r>
    <x v="787"/>
    <n v="160947.53264018759"/>
    <n v="162597.49684526821"/>
    <x v="517"/>
    <n v="-1649.9642050806142"/>
  </r>
  <r>
    <x v="788"/>
    <n v="188736.24741743511"/>
    <n v="183103.23368799081"/>
    <x v="760"/>
    <n v="5633.0137294442975"/>
  </r>
  <r>
    <x v="789"/>
    <n v="215951.50786707399"/>
    <n v="210032.78807855889"/>
    <x v="761"/>
    <n v="5918.7197885150963"/>
  </r>
  <r>
    <x v="790"/>
    <n v="134995.85449594259"/>
    <n v="129938.7057703585"/>
    <x v="762"/>
    <n v="5057.1487255840912"/>
  </r>
  <r>
    <x v="791"/>
    <n v="163079.37804396759"/>
    <n v="160332.58940603069"/>
    <x v="55"/>
    <n v="2746.7886379369011"/>
  </r>
  <r>
    <x v="792"/>
    <n v="180828.6740918264"/>
    <n v="182962.33699647631"/>
    <x v="763"/>
    <n v="-2133.6629046499147"/>
  </r>
  <r>
    <x v="793"/>
    <n v="171196.1751944664"/>
    <n v="174428.680891675"/>
    <x v="764"/>
    <n v="-3232.5056972086022"/>
  </r>
  <r>
    <x v="794"/>
    <n v="129719.0505263338"/>
    <n v="131961.93250828909"/>
    <x v="765"/>
    <n v="-2242.8819819552882"/>
  </r>
  <r>
    <x v="795"/>
    <n v="142127.64209061259"/>
    <n v="144039.41368270031"/>
    <x v="766"/>
    <n v="-1911.7715920877235"/>
  </r>
  <r>
    <x v="796"/>
    <n v="152124.4078943276"/>
    <n v="153377.51203867729"/>
    <x v="767"/>
    <n v="-1253.1041443496943"/>
  </r>
  <r>
    <x v="797"/>
    <n v="74132.787023074285"/>
    <n v="74332.279484224229"/>
    <x v="768"/>
    <n v="-199.49246114994457"/>
  </r>
  <r>
    <x v="798"/>
    <n v="91143.028607709275"/>
    <n v="95167.528732048944"/>
    <x v="769"/>
    <n v="-4024.5001243396691"/>
  </r>
  <r>
    <x v="799"/>
    <n v="60528.093358145001"/>
    <n v="62342.881166359934"/>
    <x v="770"/>
    <n v="-1814.7878082149327"/>
  </r>
  <r>
    <x v="800"/>
    <n v="38340.599611080237"/>
    <n v="35918.335153329201"/>
    <x v="771"/>
    <n v="2422.2644577510364"/>
  </r>
  <r>
    <x v="801"/>
    <n v="37453.006182510253"/>
    <n v="35108.200106536773"/>
    <x v="772"/>
    <n v="2344.8060759734799"/>
  </r>
  <r>
    <x v="802"/>
    <n v="77997.045012869392"/>
    <n v="73051.675542545359"/>
    <x v="773"/>
    <n v="4945.3694703240326"/>
  </r>
  <r>
    <x v="803"/>
    <n v="79752.282678029282"/>
    <n v="74962.816397036033"/>
    <x v="386"/>
    <n v="4789.4662809932488"/>
  </r>
  <r>
    <x v="804"/>
    <n v="37155.588484560249"/>
    <n v="34962.830504184181"/>
    <x v="774"/>
    <n v="2192.7579803760673"/>
  </r>
  <r>
    <x v="805"/>
    <n v="45046.513214430241"/>
    <n v="42368.045353504087"/>
    <x v="775"/>
    <n v="2678.4678609261537"/>
  </r>
  <r>
    <x v="806"/>
    <n v="55489.332757800243"/>
    <n v="52263.056988226643"/>
    <x v="776"/>
    <n v="3226.2757695736"/>
  </r>
  <r>
    <x v="807"/>
    <n v="41893.303158000243"/>
    <n v="39495.455901503272"/>
    <x v="777"/>
    <n v="2397.8472564969707"/>
  </r>
  <r>
    <x v="808"/>
    <n v="34348.504189710133"/>
    <n v="32292.837602068419"/>
    <x v="778"/>
    <n v="2055.6665876417137"/>
  </r>
  <r>
    <x v="809"/>
    <n v="78276.831216934515"/>
    <n v="73746.758711538583"/>
    <x v="578"/>
    <n v="4530.0725053959322"/>
  </r>
  <r>
    <x v="810"/>
    <n v="92851.402660078791"/>
    <n v="87451.566175781234"/>
    <x v="779"/>
    <n v="5399.836484297557"/>
  </r>
  <r>
    <x v="811"/>
    <n v="54845.789298270247"/>
    <n v="51625.511717785288"/>
    <x v="780"/>
    <n v="3220.2775804849589"/>
  </r>
  <r>
    <x v="812"/>
    <n v="48037.799902380248"/>
    <n v="45187.641575720692"/>
    <x v="781"/>
    <n v="2850.1583266595553"/>
  </r>
  <r>
    <x v="813"/>
    <n v="65905.723262160012"/>
    <n v="62023.881297700063"/>
    <x v="782"/>
    <n v="3881.8419644599489"/>
  </r>
  <r>
    <x v="814"/>
    <n v="84870.05130086976"/>
    <n v="81472.827175989325"/>
    <x v="783"/>
    <n v="3397.2241248804348"/>
  </r>
  <r>
    <x v="815"/>
    <n v="262459.50568130391"/>
    <n v="259298.45661843679"/>
    <x v="784"/>
    <n v="3161.049062867125"/>
  </r>
  <r>
    <x v="816"/>
    <n v="228124.3980292739"/>
    <n v="222208.35038080389"/>
    <x v="785"/>
    <n v="5916.0476484700048"/>
  </r>
  <r>
    <x v="817"/>
    <n v="162929.49214412639"/>
    <n v="161434.81509850451"/>
    <x v="786"/>
    <n v="1494.6770456218801"/>
  </r>
  <r>
    <x v="818"/>
    <n v="58359.83218482013"/>
    <n v="57681.569884933917"/>
    <x v="315"/>
    <n v="678.26229988621344"/>
  </r>
  <r>
    <x v="819"/>
    <n v="85605.331920599157"/>
    <n v="85022.380920180585"/>
    <x v="787"/>
    <n v="582.95100041857222"/>
  </r>
  <r>
    <x v="820"/>
    <n v="84836.414342129283"/>
    <n v="84595.217934805929"/>
    <x v="788"/>
    <n v="241.19640732335392"/>
  </r>
  <r>
    <x v="821"/>
    <n v="64308.91421652049"/>
    <n v="68427.59466606575"/>
    <x v="789"/>
    <n v="-4118.6804495452598"/>
  </r>
  <r>
    <x v="822"/>
    <n v="131168.48552294759"/>
    <n v="138589.10006426301"/>
    <x v="790"/>
    <n v="-7420.6145413154154"/>
  </r>
  <r>
    <x v="823"/>
    <n v="232410.19797781549"/>
    <n v="245358.62998053379"/>
    <x v="791"/>
    <n v="-12948.432002718298"/>
  </r>
  <r>
    <x v="824"/>
    <n v="195831.0974571179"/>
    <n v="205442.82809681169"/>
    <x v="792"/>
    <n v="-9611.7306396937929"/>
  </r>
  <r>
    <x v="825"/>
    <n v="90716.547889139882"/>
    <n v="95543.133646196758"/>
    <x v="793"/>
    <n v="-4826.5857570568769"/>
  </r>
  <r>
    <x v="826"/>
    <n v="131638.01960717639"/>
    <n v="130700.1889420074"/>
    <x v="794"/>
    <n v="937.83066516899271"/>
  </r>
  <r>
    <x v="827"/>
    <n v="81910.872618989408"/>
    <n v="79969.510545293015"/>
    <x v="795"/>
    <n v="1941.3620736963931"/>
  </r>
  <r>
    <x v="828"/>
    <n v="54821.908513709888"/>
    <n v="50800.008514759313"/>
    <x v="796"/>
    <n v="4021.8999989505755"/>
  </r>
  <r>
    <x v="829"/>
    <n v="155615.41941446639"/>
    <n v="171592.12587915739"/>
    <x v="797"/>
    <n v="-15976.706464691"/>
  </r>
  <r>
    <x v="830"/>
    <n v="264086.89378034999"/>
    <n v="291378.57980277447"/>
    <x v="77"/>
    <n v="-27291.686022424488"/>
  </r>
  <r>
    <x v="831"/>
    <n v="272761.29754268879"/>
    <n v="298164.41609707451"/>
    <x v="798"/>
    <n v="-25403.118554385728"/>
  </r>
  <r>
    <x v="832"/>
    <n v="104689.4279184585"/>
    <n v="113609.3042530743"/>
    <x v="799"/>
    <n v="-8919.8763346157939"/>
  </r>
  <r>
    <x v="833"/>
    <n v="131170.5969337764"/>
    <n v="142022.81259344591"/>
    <x v="408"/>
    <n v="-10852.215659669513"/>
  </r>
  <r>
    <x v="834"/>
    <n v="123179.4894003888"/>
    <n v="132714.96020410041"/>
    <x v="800"/>
    <n v="-9535.470803711607"/>
  </r>
  <r>
    <x v="835"/>
    <n v="124431.0463716888"/>
    <n v="132889.05689693731"/>
    <x v="801"/>
    <n v="-8458.0105252485082"/>
  </r>
  <r>
    <x v="836"/>
    <n v="162166.83599087509"/>
    <n v="172225.65270563861"/>
    <x v="539"/>
    <n v="-10058.816714763525"/>
  </r>
  <r>
    <x v="837"/>
    <n v="354042.02323982882"/>
    <n v="373200.30598406307"/>
    <x v="802"/>
    <n v="-19158.282744234253"/>
  </r>
  <r>
    <x v="838"/>
    <n v="327352.26139595878"/>
    <n v="345338.62806920632"/>
    <x v="803"/>
    <n v="-17986.366673247539"/>
  </r>
  <r>
    <x v="839"/>
    <n v="164809.3030482539"/>
    <n v="175167.42875982969"/>
    <x v="804"/>
    <n v="-10358.125711575791"/>
  </r>
  <r>
    <x v="840"/>
    <n v="151157.79430871521"/>
    <n v="159828.76503430531"/>
    <x v="805"/>
    <n v="-8670.9707255901012"/>
  </r>
  <r>
    <x v="841"/>
    <n v="126895.93649753759"/>
    <n v="133726.28056152479"/>
    <x v="806"/>
    <n v="-6830.3440639871988"/>
  </r>
  <r>
    <x v="842"/>
    <n v="166395.44582884011"/>
    <n v="179020.54245850781"/>
    <x v="807"/>
    <n v="-12625.096629667707"/>
  </r>
  <r>
    <x v="843"/>
    <n v="167796.35478000139"/>
    <n v="182485.09893705399"/>
    <x v="531"/>
    <n v="-14688.744157052599"/>
  </r>
  <r>
    <x v="844"/>
    <n v="351146.01699924428"/>
    <n v="380098.15640387451"/>
    <x v="808"/>
    <n v="-28952.13940463023"/>
  </r>
  <r>
    <x v="845"/>
    <n v="420738.8217596446"/>
    <n v="455415.34932802978"/>
    <x v="809"/>
    <n v="-34676.52756838518"/>
  </r>
  <r>
    <x v="846"/>
    <n v="186166.15078643881"/>
    <n v="202391.17869529041"/>
    <x v="810"/>
    <n v="-16225.027908851596"/>
  </r>
  <r>
    <x v="847"/>
    <n v="251449.52963919111"/>
    <n v="273255.0985307931"/>
    <x v="811"/>
    <n v="-21805.568891601986"/>
  </r>
  <r>
    <x v="848"/>
    <n v="280321.81074676593"/>
    <n v="302469.83197523467"/>
    <x v="812"/>
    <n v="-22148.021228468744"/>
  </r>
  <r>
    <x v="849"/>
    <n v="313434.93331366457"/>
    <n v="337931.11696619709"/>
    <x v="813"/>
    <n v="-24496.18365253252"/>
  </r>
  <r>
    <x v="850"/>
    <n v="257324.60308093971"/>
    <n v="276852.17994257738"/>
    <x v="814"/>
    <n v="-19527.576861637674"/>
  </r>
  <r>
    <x v="851"/>
    <n v="455554.33604822948"/>
    <n v="489215.06753789558"/>
    <x v="815"/>
    <n v="-33660.731489666097"/>
  </r>
  <r>
    <x v="852"/>
    <n v="556865.20327505236"/>
    <n v="598925.66788870073"/>
    <x v="816"/>
    <n v="-42060.464613648364"/>
  </r>
  <r>
    <x v="853"/>
    <n v="354856.04492208688"/>
    <n v="380511.15915810911"/>
    <x v="817"/>
    <n v="-25655.114236022229"/>
  </r>
  <r>
    <x v="854"/>
    <n v="283284.5812539708"/>
    <n v="304997.85181689629"/>
    <x v="818"/>
    <n v="-21713.270562925492"/>
  </r>
  <r>
    <x v="855"/>
    <n v="297500.67396872578"/>
    <n v="319786.35946856107"/>
    <x v="819"/>
    <n v="-22285.685499835294"/>
  </r>
  <r>
    <x v="856"/>
    <n v="285968.48778251972"/>
    <n v="305506.9982349475"/>
    <x v="537"/>
    <n v="-19538.510452427785"/>
  </r>
  <r>
    <x v="857"/>
    <n v="237946.63267226369"/>
    <n v="254527.41550552609"/>
    <x v="76"/>
    <n v="-16580.782833262405"/>
  </r>
  <r>
    <x v="858"/>
    <n v="340851.5058648595"/>
    <n v="364361.03286413848"/>
    <x v="820"/>
    <n v="-23509.526999278984"/>
  </r>
  <r>
    <x v="859"/>
    <n v="388187.60143352812"/>
    <n v="414644.62349081138"/>
    <x v="821"/>
    <n v="-26457.022057283262"/>
  </r>
  <r>
    <x v="860"/>
    <n v="139178.98405924521"/>
    <n v="148731.0905273041"/>
    <x v="822"/>
    <n v="-9552.1064680588897"/>
  </r>
  <r>
    <x v="861"/>
    <n v="66400.30304726951"/>
    <n v="57741.738907512547"/>
    <x v="823"/>
    <n v="8658.5641397569634"/>
  </r>
  <r>
    <x v="862"/>
    <n v="42723.524457810243"/>
    <n v="37112.985056990263"/>
    <x v="824"/>
    <n v="5610.5394008199801"/>
  </r>
  <r>
    <x v="863"/>
    <n v="35014.399481130247"/>
    <n v="30393.74011981647"/>
    <x v="825"/>
    <n v="4620.6593613137775"/>
  </r>
  <r>
    <x v="864"/>
    <n v="27210.406631640119"/>
    <n v="23570.159155417459"/>
    <x v="826"/>
    <n v="3640.2474762226593"/>
  </r>
  <r>
    <x v="865"/>
    <n v="79840.0882456494"/>
    <n v="69078.714144542624"/>
    <x v="301"/>
    <n v="10761.374101106776"/>
  </r>
  <r>
    <x v="866"/>
    <n v="82484.448292049157"/>
    <n v="71426.011644710306"/>
    <x v="599"/>
    <n v="11058.436647338851"/>
  </r>
  <r>
    <x v="867"/>
    <n v="51497.237336430007"/>
    <n v="44611.939679509756"/>
    <x v="827"/>
    <n v="6885.297656920251"/>
  </r>
  <r>
    <x v="868"/>
    <n v="42871.832866800367"/>
    <n v="37139.308256889854"/>
    <x v="828"/>
    <n v="5732.5246099105134"/>
  </r>
  <r>
    <x v="869"/>
    <n v="39104.639102460249"/>
    <n v="33890.360432496309"/>
    <x v="829"/>
    <n v="5214.27866996394"/>
  </r>
  <r>
    <x v="870"/>
    <n v="34406.750005710237"/>
    <n v="29884.33058936759"/>
    <x v="830"/>
    <n v="4522.4194163426473"/>
  </r>
  <r>
    <x v="871"/>
    <n v="39403.658560350254"/>
    <n v="34229.631915798513"/>
    <x v="831"/>
    <n v="5174.0266445517409"/>
  </r>
  <r>
    <x v="872"/>
    <n v="96830.902423738444"/>
    <n v="83926.003498834732"/>
    <x v="832"/>
    <n v="12904.898924903711"/>
  </r>
  <r>
    <x v="873"/>
    <n v="99380.394597328297"/>
    <n v="86179.513387184299"/>
    <x v="833"/>
    <n v="13200.881210143998"/>
  </r>
  <r>
    <x v="874"/>
    <n v="61656.181334069763"/>
    <n v="53463.734557835058"/>
    <x v="315"/>
    <n v="8192.4467762347049"/>
  </r>
  <r>
    <x v="875"/>
    <n v="69163.557365579516"/>
    <n v="59948.438707535541"/>
    <x v="718"/>
    <n v="9215.1186580439753"/>
  </r>
  <r>
    <x v="876"/>
    <n v="113112.8650211096"/>
    <n v="117414.6989296848"/>
    <x v="834"/>
    <n v="-4301.8339085752086"/>
  </r>
  <r>
    <x v="877"/>
    <n v="253686.3024535861"/>
    <n v="268974.57069396519"/>
    <x v="835"/>
    <n v="-15288.268240379082"/>
  </r>
  <r>
    <x v="878"/>
    <n v="210305.2919440362"/>
    <n v="223289.08457385481"/>
    <x v="836"/>
    <n v="-12983.792629818607"/>
  </r>
  <r>
    <x v="879"/>
    <n v="364087.42429993051"/>
    <n v="386499.89642918651"/>
    <x v="837"/>
    <n v="-22412.472129255999"/>
  </r>
  <r>
    <x v="880"/>
    <n v="397480.36947452551"/>
    <n v="421674.1018697652"/>
    <x v="838"/>
    <n v="-24193.732395239698"/>
  </r>
  <r>
    <x v="881"/>
    <n v="204028.1767573524"/>
    <n v="216777.31572566379"/>
    <x v="481"/>
    <n v="-12749.138968311396"/>
  </r>
  <r>
    <x v="882"/>
    <n v="172797.93513446639"/>
    <n v="183715.80719950749"/>
    <x v="839"/>
    <n v="-10917.872065041098"/>
  </r>
  <r>
    <x v="883"/>
    <n v="258970.6541101849"/>
    <n v="274386.0154347705"/>
    <x v="840"/>
    <n v="-15415.361324585596"/>
  </r>
  <r>
    <x v="884"/>
    <n v="368789.57262197061"/>
    <n v="391923.65961429192"/>
    <x v="841"/>
    <n v="-23134.086992321303"/>
  </r>
  <r>
    <x v="885"/>
    <n v="278071.38656924601"/>
    <n v="295548.24164090329"/>
    <x v="842"/>
    <n v="-17476.855071657279"/>
  </r>
  <r>
    <x v="886"/>
    <n v="373959.36203922692"/>
    <n v="396324.1786662704"/>
    <x v="843"/>
    <n v="-22364.816627043474"/>
  </r>
  <r>
    <x v="887"/>
    <n v="402057.2528885355"/>
    <n v="426466.13217659132"/>
    <x v="844"/>
    <n v="-24408.879288055818"/>
  </r>
  <r>
    <x v="888"/>
    <n v="205719.45323581621"/>
    <n v="218408.1820732757"/>
    <x v="845"/>
    <n v="-12688.728837459494"/>
  </r>
  <r>
    <x v="889"/>
    <n v="177626.95012448641"/>
    <n v="188629.754225902"/>
    <x v="846"/>
    <n v="-11002.80410141559"/>
  </r>
  <r>
    <x v="890"/>
    <n v="70441.907412239394"/>
    <n v="60910.748400180237"/>
    <x v="847"/>
    <n v="9531.1590120591572"/>
  </r>
  <r>
    <x v="891"/>
    <n v="162923.84958070019"/>
    <n v="173292.68113445409"/>
    <x v="848"/>
    <n v="-10368.831553753902"/>
  </r>
  <r>
    <x v="892"/>
    <n v="138752.5276097676"/>
    <n v="143791.47808201631"/>
    <x v="849"/>
    <n v="-5038.9504722487181"/>
  </r>
  <r>
    <x v="893"/>
    <n v="252458.26223048879"/>
    <n v="261502.38177856401"/>
    <x v="850"/>
    <n v="-9044.1195480752212"/>
  </r>
  <r>
    <x v="894"/>
    <n v="293917.85248111701"/>
    <n v="311853.52053473581"/>
    <x v="851"/>
    <n v="-17935.668053618807"/>
  </r>
  <r>
    <x v="895"/>
    <n v="138350.12182847521"/>
    <n v="143346.67460602429"/>
    <x v="852"/>
    <n v="-4996.5527775490773"/>
  </r>
  <r>
    <x v="896"/>
    <n v="130067.2755641964"/>
    <n v="134950.56648943009"/>
    <x v="853"/>
    <n v="-4883.2909252336831"/>
  </r>
  <r>
    <x v="897"/>
    <n v="107168.6610764994"/>
    <n v="111173.15847846519"/>
    <x v="854"/>
    <n v="-4004.4974019657966"/>
  </r>
  <r>
    <x v="898"/>
    <n v="224030.55444808619"/>
    <n v="237934.73415063301"/>
    <x v="855"/>
    <n v="-13904.179702546826"/>
  </r>
  <r>
    <x v="899"/>
    <n v="201918.22207274401"/>
    <n v="209095.56974137691"/>
    <x v="856"/>
    <n v="-7177.3476686328941"/>
  </r>
  <r>
    <x v="900"/>
    <n v="329344.26830316131"/>
    <n v="341253.32963499142"/>
    <x v="857"/>
    <n v="-11909.061331830104"/>
  </r>
  <r>
    <x v="901"/>
    <n v="308642.97722408187"/>
    <n v="327672.04148404137"/>
    <x v="858"/>
    <n v="-19029.064259959501"/>
  </r>
  <r>
    <x v="902"/>
    <n v="134472.4066282764"/>
    <n v="139385.87617680739"/>
    <x v="859"/>
    <n v="-4913.4695485309931"/>
  </r>
  <r>
    <x v="903"/>
    <n v="143809.72058396641"/>
    <n v="148953.91085321491"/>
    <x v="860"/>
    <n v="-5144.1902692485019"/>
  </r>
  <r>
    <x v="904"/>
    <n v="123252.1510558476"/>
    <n v="127533.0092765032"/>
    <x v="861"/>
    <n v="-4280.8582206556021"/>
  </r>
  <r>
    <x v="905"/>
    <n v="40067.15121186024"/>
    <n v="34559.084522627527"/>
    <x v="862"/>
    <n v="5508.0666892327135"/>
  </r>
  <r>
    <x v="906"/>
    <n v="143752.73676064881"/>
    <n v="155659.53374373459"/>
    <x v="863"/>
    <n v="-11906.796983085776"/>
  </r>
  <r>
    <x v="907"/>
    <n v="389904.00855466258"/>
    <n v="422372.58158070029"/>
    <x v="864"/>
    <n v="-32468.573026037717"/>
  </r>
  <r>
    <x v="908"/>
    <n v="461280.78558277438"/>
    <n v="498910.32902054378"/>
    <x v="865"/>
    <n v="-37629.543437769404"/>
  </r>
  <r>
    <x v="909"/>
    <n v="221578.69682356139"/>
    <n v="240449.62229152219"/>
    <x v="866"/>
    <n v="-18870.925467960798"/>
  </r>
  <r>
    <x v="910"/>
    <n v="253702.2229766188"/>
    <n v="274426.08027789328"/>
    <x v="867"/>
    <n v="-20723.857301274489"/>
  </r>
  <r>
    <x v="911"/>
    <n v="200616.07618333891"/>
    <n v="217104.57971570609"/>
    <x v="845"/>
    <n v="-16488.503532367176"/>
  </r>
  <r>
    <x v="912"/>
    <n v="211700.81315721021"/>
    <n v="229023.81073969579"/>
    <x v="868"/>
    <n v="-17322.997582485579"/>
  </r>
  <r>
    <x v="913"/>
    <n v="282757.71144459757"/>
    <n v="305894.18009482371"/>
    <x v="869"/>
    <n v="-23136.468650226132"/>
  </r>
  <r>
    <x v="914"/>
    <n v="479010.15670774202"/>
    <n v="517742.19259753643"/>
    <x v="870"/>
    <n v="-38732.03588979441"/>
  </r>
  <r>
    <x v="915"/>
    <n v="454543.2857587894"/>
    <n v="490487.0246492626"/>
    <x v="871"/>
    <n v="-35943.738890473207"/>
  </r>
  <r>
    <x v="916"/>
    <n v="242185.18070257761"/>
    <n v="261534.91203924711"/>
    <x v="343"/>
    <n v="-19349.731336669502"/>
  </r>
  <r>
    <x v="917"/>
    <n v="281531.68555597891"/>
    <n v="304052.47699526697"/>
    <x v="872"/>
    <n v="-22520.791439288063"/>
  </r>
  <r>
    <x v="918"/>
    <n v="219363.2201356389"/>
    <n v="237026.35054084621"/>
    <x v="873"/>
    <n v="-17663.13040520731"/>
  </r>
  <r>
    <x v="919"/>
    <n v="204005.58223455391"/>
    <n v="219722.89495004769"/>
    <x v="874"/>
    <n v="-15717.312715493783"/>
  </r>
  <r>
    <x v="920"/>
    <n v="69579.068455469765"/>
    <n v="59598.917800192386"/>
    <x v="875"/>
    <n v="9980.150655277379"/>
  </r>
  <r>
    <x v="921"/>
    <n v="87184.740028708911"/>
    <n v="74654.520419296809"/>
    <x v="876"/>
    <n v="12530.219609412103"/>
  </r>
  <r>
    <x v="922"/>
    <n v="78700.43604833915"/>
    <n v="67367.383240402574"/>
    <x v="877"/>
    <n v="11333.052807936576"/>
  </r>
  <r>
    <x v="923"/>
    <n v="39809.559090600371"/>
    <n v="34091.569662440699"/>
    <x v="878"/>
    <n v="5717.9894281596717"/>
  </r>
  <r>
    <x v="924"/>
    <n v="45839.238770190248"/>
    <n v="39231.195372207752"/>
    <x v="879"/>
    <n v="6608.0433979824957"/>
  </r>
  <r>
    <x v="925"/>
    <n v="36851.763746850367"/>
    <n v="31574.325469600979"/>
    <x v="880"/>
    <n v="5277.4382772493882"/>
  </r>
  <r>
    <x v="926"/>
    <n v="33225.670471770121"/>
    <n v="28489.081398148792"/>
    <x v="881"/>
    <n v="4736.5890736213296"/>
  </r>
  <r>
    <x v="927"/>
    <n v="30423.391456740119"/>
    <n v="26053.796718671529"/>
    <x v="882"/>
    <n v="4369.5947380685902"/>
  </r>
  <r>
    <x v="928"/>
    <n v="80345.637659439148"/>
    <n v="68788.094536384728"/>
    <x v="883"/>
    <n v="11557.54312305442"/>
  </r>
  <r>
    <x v="929"/>
    <n v="95297.338626638681"/>
    <n v="81655.857730858726"/>
    <x v="884"/>
    <n v="13641.480895779954"/>
  </r>
  <r>
    <x v="930"/>
    <n v="45324.054527670247"/>
    <n v="38809.808900032527"/>
    <x v="610"/>
    <n v="6514.2456276377197"/>
  </r>
  <r>
    <x v="931"/>
    <n v="51604.118408790237"/>
    <n v="44222.784476633977"/>
    <x v="885"/>
    <n v="7381.3339321562598"/>
  </r>
  <r>
    <x v="932"/>
    <n v="37870.119032340357"/>
    <n v="32436.79596517127"/>
    <x v="886"/>
    <n v="5433.3230671690872"/>
  </r>
  <r>
    <x v="933"/>
    <n v="42723.524457810243"/>
    <n v="36607.390656376527"/>
    <x v="824"/>
    <n v="6116.1338014337161"/>
  </r>
  <r>
    <x v="934"/>
    <n v="35169.915809850128"/>
    <n v="30133.318639665871"/>
    <x v="887"/>
    <n v="5036.5971701842573"/>
  </r>
  <r>
    <x v="935"/>
    <n v="61148.205011279642"/>
    <n v="52384.447482992728"/>
    <x v="888"/>
    <n v="8763.7575282869147"/>
  </r>
  <r>
    <x v="936"/>
    <n v="77171.701800149516"/>
    <n v="66113.832037556145"/>
    <x v="889"/>
    <n v="11057.869762593371"/>
  </r>
  <r>
    <x v="937"/>
    <n v="40881.354912270253"/>
    <n v="35019.112638998413"/>
    <x v="890"/>
    <n v="5862.2422732718405"/>
  </r>
  <r>
    <x v="938"/>
    <n v="43085.59501152025"/>
    <n v="36887.366171890637"/>
    <x v="891"/>
    <n v="6198.2288396296135"/>
  </r>
  <r>
    <x v="939"/>
    <n v="43894.993432110241"/>
    <n v="37604.658419582847"/>
    <x v="892"/>
    <n v="6290.3350125273937"/>
  </r>
  <r>
    <x v="940"/>
    <n v="67780.728886469529"/>
    <n v="58196.145986195363"/>
    <x v="893"/>
    <n v="9584.5829002741666"/>
  </r>
  <r>
    <x v="941"/>
    <n v="51907.943146500242"/>
    <n v="44544.630743101319"/>
    <x v="894"/>
    <n v="7363.3124033989225"/>
  </r>
  <r>
    <x v="942"/>
    <n v="93508.633886369164"/>
    <n v="80346.69413385824"/>
    <x v="895"/>
    <n v="13161.939752510923"/>
  </r>
  <r>
    <x v="943"/>
    <n v="95343.59551217893"/>
    <n v="81874.288863507725"/>
    <x v="896"/>
    <n v="13469.306648671205"/>
  </r>
  <r>
    <x v="944"/>
    <n v="59514.992330639878"/>
    <n v="51145.403341245627"/>
    <x v="897"/>
    <n v="8369.5889893942513"/>
  </r>
  <r>
    <x v="945"/>
    <n v="65133.966200159761"/>
    <n v="55946.056559077122"/>
    <x v="898"/>
    <n v="9187.9096410826387"/>
  </r>
  <r>
    <x v="946"/>
    <n v="70641.253717499887"/>
    <n v="60629.552999890897"/>
    <x v="899"/>
    <n v="10011.70071760899"/>
  </r>
  <r>
    <x v="947"/>
    <n v="48442.171479960249"/>
    <n v="41610.783939948822"/>
    <x v="900"/>
    <n v="6831.3875400114266"/>
  </r>
  <r>
    <x v="948"/>
    <n v="46291.371916890253"/>
    <n v="39783.360668054564"/>
    <x v="901"/>
    <n v="6508.0112488356899"/>
  </r>
  <r>
    <x v="949"/>
    <n v="73453.14329216964"/>
    <n v="63386.492591361231"/>
    <x v="789"/>
    <n v="10066.650700808408"/>
  </r>
  <r>
    <x v="950"/>
    <n v="71508.897954089523"/>
    <n v="61500.574648541122"/>
    <x v="902"/>
    <n v="10008.323305548402"/>
  </r>
  <r>
    <x v="951"/>
    <n v="30066.12618285013"/>
    <n v="25872.48835407582"/>
    <x v="903"/>
    <n v="4193.63782877431"/>
  </r>
  <r>
    <x v="952"/>
    <n v="37726.615903170241"/>
    <n v="32490.136024940541"/>
    <x v="904"/>
    <n v="5236.4798782297003"/>
  </r>
  <r>
    <x v="953"/>
    <n v="30831.694626900251"/>
    <n v="26577.079448522589"/>
    <x v="905"/>
    <n v="4254.6151783776622"/>
  </r>
  <r>
    <x v="954"/>
    <n v="146811.45511516009"/>
    <n v="155135.6291118357"/>
    <x v="906"/>
    <n v="-8324.173996675614"/>
  </r>
  <r>
    <x v="955"/>
    <n v="99867.329619087352"/>
    <n v="103826.7014124711"/>
    <x v="907"/>
    <n v="-3959.371793383747"/>
  </r>
  <r>
    <x v="956"/>
    <n v="210664.86278147751"/>
    <n v="220379.27667655639"/>
    <x v="908"/>
    <n v="-9714.4138950788765"/>
  </r>
  <r>
    <x v="957"/>
    <n v="266271.03907309339"/>
    <n v="281658.41831912257"/>
    <x v="909"/>
    <n v="-15387.379246029188"/>
  </r>
  <r>
    <x v="958"/>
    <n v="123084.0390694151"/>
    <n v="129601.5272266189"/>
    <x v="119"/>
    <n v="-6517.4881572037993"/>
  </r>
  <r>
    <x v="959"/>
    <n v="162727.52477714521"/>
    <n v="168580.1705714394"/>
    <x v="49"/>
    <n v="-5852.6457942941925"/>
  </r>
  <r>
    <x v="960"/>
    <n v="114708.9459940466"/>
    <n v="119758.061703468"/>
    <x v="910"/>
    <n v="-5049.1157094213995"/>
  </r>
  <r>
    <x v="961"/>
    <n v="122318.90746898641"/>
    <n v="128298.34345694909"/>
    <x v="911"/>
    <n v="-5979.4359879626863"/>
  </r>
  <r>
    <x v="962"/>
    <n v="112010.3445314969"/>
    <n v="117374.1915793604"/>
    <x v="912"/>
    <n v="-5363.847047863499"/>
  </r>
  <r>
    <x v="963"/>
    <n v="229861.4702805799"/>
    <n v="241090.13355630499"/>
    <x v="913"/>
    <n v="-11228.663275725092"/>
  </r>
  <r>
    <x v="964"/>
    <n v="249981.2496941947"/>
    <n v="262145.17733741982"/>
    <x v="914"/>
    <n v="-12163.927643225121"/>
  </r>
  <r>
    <x v="965"/>
    <n v="136480.2491167002"/>
    <n v="143734.22721517089"/>
    <x v="915"/>
    <n v="-7253.9780984706886"/>
  </r>
  <r>
    <x v="966"/>
    <n v="127369.80261433141"/>
    <n v="133350.16138222881"/>
    <x v="916"/>
    <n v="-5980.3587678974"/>
  </r>
  <r>
    <x v="967"/>
    <n v="43537.728158220249"/>
    <n v="37649.387527999519"/>
    <x v="576"/>
    <n v="5888.3406302207295"/>
  </r>
  <r>
    <x v="968"/>
    <n v="120407.4132678633"/>
    <n v="127699.4159113958"/>
    <x v="917"/>
    <n v="-7292.002643532498"/>
  </r>
  <r>
    <x v="969"/>
    <n v="226375.54313479611"/>
    <n v="240429.68554720341"/>
    <x v="918"/>
    <n v="-14054.142412407295"/>
  </r>
  <r>
    <x v="970"/>
    <n v="337900.17823359562"/>
    <n v="358772.25036410952"/>
    <x v="919"/>
    <n v="-20872.072130513901"/>
  </r>
  <r>
    <x v="971"/>
    <n v="355069.54010681692"/>
    <n v="376755.56448352599"/>
    <x v="920"/>
    <n v="-21686.024376709072"/>
  </r>
  <r>
    <x v="972"/>
    <n v="153893.68522805019"/>
    <n v="163401.32915405891"/>
    <x v="921"/>
    <n v="-9507.6439260087209"/>
  </r>
  <r>
    <x v="973"/>
    <n v="159625.74092242509"/>
    <n v="169479.10605406531"/>
    <x v="922"/>
    <n v="-9853.3651316402247"/>
  </r>
  <r>
    <x v="974"/>
    <n v="133961.9669928514"/>
    <n v="142299.91779184839"/>
    <x v="923"/>
    <n v="-8337.9507989969861"/>
  </r>
  <r>
    <x v="975"/>
    <n v="236305.15636647621"/>
    <n v="250572.4533877949"/>
    <x v="924"/>
    <n v="-14267.297021318693"/>
  </r>
  <r>
    <x v="976"/>
    <n v="313491.73511881451"/>
    <n v="333030.87570402719"/>
    <x v="925"/>
    <n v="-19539.140585212677"/>
  </r>
  <r>
    <x v="977"/>
    <n v="370355.00173424062"/>
    <n v="392493.08269182261"/>
    <x v="926"/>
    <n v="-22138.080957581988"/>
  </r>
  <r>
    <x v="978"/>
    <n v="369091.05539249809"/>
    <n v="391842.50139780319"/>
    <x v="927"/>
    <n v="-22751.446005305101"/>
  </r>
  <r>
    <x v="979"/>
    <n v="209026.01967195861"/>
    <n v="222163.72890927369"/>
    <x v="172"/>
    <n v="-13137.709237315081"/>
  </r>
  <r>
    <x v="980"/>
    <n v="228177.31678002991"/>
    <n v="242589.58721854401"/>
    <x v="928"/>
    <n v="-14412.270438514097"/>
  </r>
  <r>
    <x v="981"/>
    <n v="154494.7820491702"/>
    <n v="164108.82644458601"/>
    <x v="929"/>
    <n v="-9614.0443954158109"/>
  </r>
  <r>
    <x v="982"/>
    <n v="50736.474172200127"/>
    <n v="43830.196852872301"/>
    <x v="930"/>
    <n v="6906.2773193278263"/>
  </r>
  <r>
    <x v="983"/>
    <n v="43292.149236510253"/>
    <n v="37391.680889456111"/>
    <x v="931"/>
    <n v="5900.4683470541422"/>
  </r>
  <r>
    <x v="984"/>
    <n v="77335.918597634154"/>
    <n v="69612.126701887464"/>
    <x v="932"/>
    <n v="7723.79189574669"/>
  </r>
  <r>
    <x v="985"/>
    <n v="85070.234889733911"/>
    <n v="76591.852917484997"/>
    <x v="933"/>
    <n v="8478.3819722489134"/>
  </r>
  <r>
    <x v="986"/>
    <n v="48831.666105370241"/>
    <n v="44014.232018730218"/>
    <x v="934"/>
    <n v="4817.4340866400235"/>
  </r>
  <r>
    <x v="987"/>
    <n v="52075.157176600122"/>
    <n v="46884.142508087811"/>
    <x v="321"/>
    <n v="5191.0146685123109"/>
  </r>
  <r>
    <x v="988"/>
    <n v="30424.72625669013"/>
    <n v="27398.58812689369"/>
    <x v="935"/>
    <n v="3026.1381297964399"/>
  </r>
  <r>
    <x v="989"/>
    <n v="20495.113025005001"/>
    <n v="18375.052607697839"/>
    <x v="936"/>
    <n v="2120.0604173071624"/>
  </r>
  <r>
    <x v="990"/>
    <n v="40742.171681120242"/>
    <n v="36464.759814940677"/>
    <x v="937"/>
    <n v="4277.4118661795655"/>
  </r>
  <r>
    <x v="991"/>
    <n v="69864.836990219526"/>
    <n v="62545.19068453311"/>
    <x v="938"/>
    <n v="7319.6463056864159"/>
  </r>
  <r>
    <x v="992"/>
    <n v="100120.7110532329"/>
    <n v="89572.407615025208"/>
    <x v="939"/>
    <n v="10548.303438207688"/>
  </r>
  <r>
    <x v="993"/>
    <n v="49825.097035430132"/>
    <n v="44593.796883395269"/>
    <x v="940"/>
    <n v="5231.3001520348625"/>
  </r>
  <r>
    <x v="994"/>
    <n v="46566.462052040253"/>
    <n v="41660.440426083711"/>
    <x v="941"/>
    <n v="4906.0216259565423"/>
  </r>
  <r>
    <x v="995"/>
    <n v="37923.765855785372"/>
    <n v="34031.14948711513"/>
    <x v="942"/>
    <n v="3892.6163686702421"/>
  </r>
  <r>
    <x v="996"/>
    <n v="50084.812702065246"/>
    <n v="44832.212598977239"/>
    <x v="943"/>
    <n v="5252.600103088007"/>
  </r>
  <r>
    <x v="997"/>
    <n v="41885.828278280373"/>
    <n v="37565.478590927647"/>
    <x v="944"/>
    <n v="4320.3496873527256"/>
  </r>
  <r>
    <x v="998"/>
    <n v="147503.57315832519"/>
    <n v="131964.51579369849"/>
    <x v="432"/>
    <n v="15539.0573646267"/>
  </r>
  <r>
    <x v="999"/>
    <n v="151639.18384341139"/>
    <n v="135498.16319719431"/>
    <x v="282"/>
    <n v="16141.020646217075"/>
  </r>
  <r>
    <x v="1000"/>
    <n v="72457.297587654524"/>
    <n v="64758.504173580448"/>
    <x v="542"/>
    <n v="7698.7934140740763"/>
  </r>
  <r>
    <x v="1001"/>
    <n v="67355.061182414633"/>
    <n v="60179.020849316512"/>
    <x v="945"/>
    <n v="7176.0403330981208"/>
  </r>
  <r>
    <x v="1002"/>
    <n v="58941.792828474892"/>
    <n v="52812.7825145229"/>
    <x v="946"/>
    <n v="6129.0103139519924"/>
  </r>
  <r>
    <x v="1003"/>
    <n v="58796.785015724643"/>
    <n v="57168.560498432882"/>
    <x v="947"/>
    <n v="1628.224517291761"/>
  </r>
  <r>
    <x v="1004"/>
    <n v="57019.389671394638"/>
    <n v="55187.383906271898"/>
    <x v="948"/>
    <n v="1832.0057651227398"/>
  </r>
  <r>
    <x v="1005"/>
    <n v="155918.3825994826"/>
    <n v="151036.44551858699"/>
    <x v="659"/>
    <n v="4881.9370808956155"/>
  </r>
  <r>
    <x v="1006"/>
    <n v="208489.09032479019"/>
    <n v="201416.83759006459"/>
    <x v="949"/>
    <n v="7072.2527347255964"/>
  </r>
  <r>
    <x v="1007"/>
    <n v="118580.4725762977"/>
    <n v="113346.95726852609"/>
    <x v="950"/>
    <n v="5233.5153077716095"/>
  </r>
  <r>
    <x v="1008"/>
    <n v="142758.8811215114"/>
    <n v="126506.34468214821"/>
    <x v="951"/>
    <n v="16252.53643936319"/>
  </r>
  <r>
    <x v="1009"/>
    <n v="96620.986929783307"/>
    <n v="85491.833244422392"/>
    <x v="952"/>
    <n v="11129.153685360914"/>
  </r>
  <r>
    <x v="1010"/>
    <n v="78861.594940484283"/>
    <n v="69675.429153985417"/>
    <x v="953"/>
    <n v="9186.1657864988665"/>
  </r>
  <r>
    <x v="1011"/>
    <n v="70279.474392869641"/>
    <n v="61976.305791476298"/>
    <x v="954"/>
    <n v="8303.1686013933431"/>
  </r>
  <r>
    <x v="1012"/>
    <n v="87748.862891213546"/>
    <n v="77446.609435800405"/>
    <x v="20"/>
    <n v="10302.253455413142"/>
  </r>
  <r>
    <x v="1013"/>
    <n v="92053.325769973191"/>
    <n v="81209.248347010551"/>
    <x v="955"/>
    <n v="10844.07742296264"/>
  </r>
  <r>
    <x v="1014"/>
    <n v="51751.383246910009"/>
    <n v="45607.234099697387"/>
    <x v="956"/>
    <n v="6144.1491472126218"/>
  </r>
  <r>
    <x v="1015"/>
    <n v="50934.983193855121"/>
    <n v="44983.777302442017"/>
    <x v="957"/>
    <n v="5951.2058914131048"/>
  </r>
  <r>
    <x v="1016"/>
    <n v="36113.934872670237"/>
    <n v="31885.288450330809"/>
    <x v="958"/>
    <n v="4228.6464223394287"/>
  </r>
  <r>
    <x v="1017"/>
    <n v="31023.359765175119"/>
    <n v="27817.642466410722"/>
    <x v="959"/>
    <n v="3205.7172987643971"/>
  </r>
  <r>
    <x v="1018"/>
    <n v="22334.212530659999"/>
    <n v="19704.093150736491"/>
    <x v="960"/>
    <n v="2630.1193799235079"/>
  </r>
  <r>
    <x v="1019"/>
    <n v="69440.928795190252"/>
    <n v="62070.751184300032"/>
    <x v="202"/>
    <n v="7370.1776108902195"/>
  </r>
  <r>
    <x v="1020"/>
    <n v="92159.029791471577"/>
    <n v="83371.817021350085"/>
    <x v="961"/>
    <n v="8787.2127701214922"/>
  </r>
  <r>
    <x v="1021"/>
    <n v="57296.28785375024"/>
    <n v="52701.294613812352"/>
    <x v="962"/>
    <n v="4594.9932399378886"/>
  </r>
  <r>
    <x v="1022"/>
    <n v="57184.941268830247"/>
    <n v="51764.937371772758"/>
    <x v="963"/>
    <n v="5420.0038970574897"/>
  </r>
  <r>
    <x v="1023"/>
    <n v="40951.10427692964"/>
    <n v="37288.624545278682"/>
    <x v="964"/>
    <n v="3662.4797316509575"/>
  </r>
  <r>
    <x v="1024"/>
    <n v="37672.447294289763"/>
    <n v="33678.459271288069"/>
    <x v="965"/>
    <n v="3993.9880230016934"/>
  </r>
  <r>
    <x v="1025"/>
    <n v="38648.137519559627"/>
    <n v="35038.068691629327"/>
    <x v="966"/>
    <n v="3610.0688279302994"/>
  </r>
  <r>
    <x v="1026"/>
    <n v="96020.545374096837"/>
    <n v="86810.277533434695"/>
    <x v="967"/>
    <n v="9210.2678406621417"/>
  </r>
  <r>
    <x v="1027"/>
    <n v="105662.59415837259"/>
    <n v="95930.016514689429"/>
    <x v="968"/>
    <n v="9732.5776436831657"/>
  </r>
  <r>
    <x v="1028"/>
    <n v="54738.483516835127"/>
    <n v="49990.519289317977"/>
    <x v="969"/>
    <n v="4747.96422751715"/>
  </r>
  <r>
    <x v="1029"/>
    <n v="40131.573511264643"/>
    <n v="36347.698715160222"/>
    <x v="942"/>
    <n v="3783.874796104421"/>
  </r>
  <r>
    <x v="1030"/>
    <n v="70402.991926425369"/>
    <n v="63452.761037813718"/>
    <x v="970"/>
    <n v="6950.2308886116516"/>
  </r>
  <r>
    <x v="1031"/>
    <n v="62501.740698760252"/>
    <n v="56100.874288607927"/>
    <x v="545"/>
    <n v="6400.8664101523245"/>
  </r>
  <r>
    <x v="1032"/>
    <n v="53675.218280300003"/>
    <n v="48201.940975749021"/>
    <x v="971"/>
    <n v="5473.2773045509821"/>
  </r>
  <r>
    <x v="1033"/>
    <n v="102606.3269819471"/>
    <n v="92657.699525096017"/>
    <x v="769"/>
    <n v="9948.6274568510853"/>
  </r>
  <r>
    <x v="1034"/>
    <n v="124988.1554671887"/>
    <n v="113187.8460229753"/>
    <x v="972"/>
    <n v="11800.309444213402"/>
  </r>
  <r>
    <x v="1035"/>
    <n v="67521.037488925373"/>
    <n v="61233.718874185091"/>
    <x v="973"/>
    <n v="6287.3186147402812"/>
  </r>
  <r>
    <x v="1036"/>
    <n v="70020.596009840374"/>
    <n v="62316.15133820178"/>
    <x v="974"/>
    <n v="7704.4446716385937"/>
  </r>
  <r>
    <x v="1037"/>
    <n v="126954.1701789974"/>
    <n v="110698.74289754211"/>
    <x v="975"/>
    <n v="16255.427281455297"/>
  </r>
  <r>
    <x v="1038"/>
    <n v="97558.247051041471"/>
    <n v="86203.875203719464"/>
    <x v="976"/>
    <n v="11354.371847322007"/>
  </r>
  <r>
    <x v="1039"/>
    <n v="97039.009870491587"/>
    <n v="89413.415966019093"/>
    <x v="884"/>
    <n v="7625.5939044724946"/>
  </r>
  <r>
    <x v="1040"/>
    <n v="168349.26532293609"/>
    <n v="156675.5901244042"/>
    <x v="977"/>
    <n v="11673.675198531884"/>
  </r>
  <r>
    <x v="1041"/>
    <n v="202017.4219781323"/>
    <n v="189394.69373774901"/>
    <x v="978"/>
    <n v="12622.728240383294"/>
  </r>
  <r>
    <x v="1042"/>
    <n v="108459.00005362221"/>
    <n v="102250.16777596821"/>
    <x v="979"/>
    <n v="6208.8322776540008"/>
  </r>
  <r>
    <x v="1043"/>
    <n v="112536.3770572526"/>
    <n v="105978.4824783128"/>
    <x v="980"/>
    <n v="6557.8945789397985"/>
  </r>
  <r>
    <x v="1044"/>
    <n v="100479.92998887179"/>
    <n v="94692.479289428011"/>
    <x v="981"/>
    <n v="5787.4506994437834"/>
  </r>
  <r>
    <x v="1045"/>
    <n v="81649.688672410848"/>
    <n v="77081.66057395043"/>
    <x v="982"/>
    <n v="4568.0280984604178"/>
  </r>
  <r>
    <x v="1046"/>
    <n v="71529.162644240496"/>
    <n v="67551.25097109293"/>
    <x v="983"/>
    <n v="3977.911673147566"/>
  </r>
  <r>
    <x v="1047"/>
    <n v="160938.60161507491"/>
    <n v="152555.41733723061"/>
    <x v="984"/>
    <n v="8383.1842778442951"/>
  </r>
  <r>
    <x v="1048"/>
    <n v="164998.84464116491"/>
    <n v="156263.1494739097"/>
    <x v="985"/>
    <n v="8735.6951672552095"/>
  </r>
  <r>
    <x v="1049"/>
    <n v="97946.783047396821"/>
    <n v="93112.608909273331"/>
    <x v="986"/>
    <n v="4834.1741381234897"/>
  </r>
  <r>
    <x v="1050"/>
    <n v="87834.253684381343"/>
    <n v="83068.269026507172"/>
    <x v="525"/>
    <n v="4765.9846578741708"/>
  </r>
  <r>
    <x v="1051"/>
    <n v="95509.134975070017"/>
    <n v="88104.204530400457"/>
    <x v="987"/>
    <n v="7404.9304446695605"/>
  </r>
  <r>
    <x v="1052"/>
    <n v="77229.971885239516"/>
    <n v="71428.870002172305"/>
    <x v="988"/>
    <n v="5801.101883067211"/>
  </r>
  <r>
    <x v="1053"/>
    <n v="186909828.25648293"/>
    <n v="194026109.44650924"/>
    <x v="989"/>
    <n v="-7116281.1900259992"/>
  </r>
  <r>
    <x v="1053"/>
    <m/>
    <m/>
    <x v="990"/>
    <m/>
  </r>
  <r>
    <x v="1053"/>
    <s v="Sales"/>
    <s v="Quantity Sold"/>
    <x v="991"/>
    <m/>
  </r>
  <r>
    <x v="1054"/>
    <n v="186909828.25648293"/>
    <n v="5279872"/>
    <x v="992"/>
    <m/>
  </r>
  <r>
    <x v="1053"/>
    <m/>
    <m/>
    <x v="990"/>
    <m/>
  </r>
  <r>
    <x v="1053"/>
    <s v="Sales"/>
    <s v="Gross Profit"/>
    <x v="993"/>
    <m/>
  </r>
  <r>
    <x v="1055"/>
    <n v="186909828.25648293"/>
    <n v="-7116281.1900263131"/>
    <x v="994"/>
    <m/>
  </r>
  <r>
    <x v="1053"/>
    <m/>
    <m/>
    <x v="990"/>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1">
  <r>
    <x v="0"/>
    <x v="0"/>
    <x v="0"/>
    <x v="0"/>
    <n v="32.801811611209388"/>
    <n v="-6141.6531427215086"/>
    <n v="-2.7425689360074702E-2"/>
    <n v="-0.89961229569672019"/>
  </r>
  <r>
    <x v="1"/>
    <x v="1"/>
    <x v="1"/>
    <x v="1"/>
    <n v="32.40672038886337"/>
    <n v="-6640.6359202974709"/>
    <n v="-2.2109990865811557E-2"/>
    <n v="-0.71651229178867837"/>
  </r>
  <r>
    <x v="2"/>
    <x v="2"/>
    <x v="2"/>
    <x v="2"/>
    <n v="32.405701167818442"/>
    <n v="-1203.8504870320903"/>
    <n v="-1.387204718369341E-2"/>
    <n v="-0.44953341562064614"/>
  </r>
  <r>
    <x v="3"/>
    <x v="3"/>
    <x v="3"/>
    <x v="3"/>
    <n v="32.416699069259465"/>
    <n v="-2708.0609535553958"/>
    <n v="-1.3528594635918698E-2"/>
    <n v="-0.43855238114257422"/>
  </r>
  <r>
    <x v="4"/>
    <x v="4"/>
    <x v="4"/>
    <x v="4"/>
    <n v="32.418293750131951"/>
    <n v="-6900.217697024229"/>
    <n v="-2.1107646024656933E-2"/>
    <n v="-0.68427386920113342"/>
  </r>
  <r>
    <x v="5"/>
    <x v="5"/>
    <x v="5"/>
    <x v="5"/>
    <n v="32.422802050914669"/>
    <n v="-6608.4128502015956"/>
    <n v="-2.1522694597812312E-2"/>
    <n v="-0.69782606654715895"/>
  </r>
  <r>
    <x v="6"/>
    <x v="6"/>
    <x v="6"/>
    <x v="6"/>
    <n v="32.43824845905317"/>
    <n v="-3894.4004962173058"/>
    <n v="-2.1733493722833258E-2"/>
    <n v="-0.70499646926453763"/>
  </r>
  <r>
    <x v="7"/>
    <x v="7"/>
    <x v="7"/>
    <x v="7"/>
    <n v="32.42505830429635"/>
    <n v="-7094.1172898511286"/>
    <n v="-2.3156755718250408E-2"/>
    <n v="-0.75085915430261729"/>
  </r>
  <r>
    <x v="8"/>
    <x v="8"/>
    <x v="8"/>
    <x v="8"/>
    <n v="32.41504991585564"/>
    <n v="-5513.5637599013862"/>
    <n v="-2.4611881393651561E-2"/>
    <n v="-0.79779536389833394"/>
  </r>
  <r>
    <x v="9"/>
    <x v="9"/>
    <x v="9"/>
    <x v="9"/>
    <n v="34.058997403423781"/>
    <n v="2454.4347190121771"/>
    <n v="2.4101742256353982E-2"/>
    <n v="0.82088117692714957"/>
  </r>
  <r>
    <x v="10"/>
    <x v="10"/>
    <x v="10"/>
    <x v="10"/>
    <n v="34.126085769937227"/>
    <n v="2987.8464346791006"/>
    <n v="2.7715464944944437E-2"/>
    <n v="0.94582033386486253"/>
  </r>
  <r>
    <x v="11"/>
    <x v="11"/>
    <x v="11"/>
    <x v="11"/>
    <n v="34.109740161076353"/>
    <n v="3495.9604404376878"/>
    <n v="2.4138379376178132E-2"/>
    <n v="0.8233538484309203"/>
  </r>
  <r>
    <x v="12"/>
    <x v="12"/>
    <x v="12"/>
    <x v="12"/>
    <n v="34.110189051254409"/>
    <n v="3391.8123648472829"/>
    <n v="2.314101154188335E-2"/>
    <n v="0.78934427853090128"/>
  </r>
  <r>
    <x v="13"/>
    <x v="13"/>
    <x v="13"/>
    <x v="13"/>
    <n v="34.128173454333727"/>
    <n v="2296.2257399730443"/>
    <n v="2.4063808814467624E-2"/>
    <n v="0.8212538411920759"/>
  </r>
  <r>
    <x v="14"/>
    <x v="14"/>
    <x v="14"/>
    <x v="14"/>
    <n v="34.100081267781597"/>
    <n v="2696.8651281034981"/>
    <n v="2.3474848745091904E-2"/>
    <n v="0.80049424995651475"/>
  </r>
  <r>
    <x v="15"/>
    <x v="15"/>
    <x v="15"/>
    <x v="15"/>
    <n v="34.110221499102515"/>
    <n v="1994.0398976415599"/>
    <n v="2.4897240327883503E-2"/>
    <n v="0.84925038230049399"/>
  </r>
  <r>
    <x v="16"/>
    <x v="16"/>
    <x v="16"/>
    <x v="16"/>
    <n v="34.083834364132905"/>
    <n v="1786.3685722078517"/>
    <n v="1.8054089355386282E-2"/>
    <n v="0.61535259118424102"/>
  </r>
  <r>
    <x v="17"/>
    <x v="17"/>
    <x v="17"/>
    <x v="17"/>
    <n v="34.084665481376085"/>
    <n v="1554.4685552832671"/>
    <n v="1.8308348798488465E-2"/>
    <n v="0.62403394431283299"/>
  </r>
  <r>
    <x v="18"/>
    <x v="18"/>
    <x v="18"/>
    <x v="18"/>
    <n v="34.138261014109176"/>
    <n v="2757.2842842134996"/>
    <n v="2.0354877234718433E-2"/>
    <n v="0.69488011194896659"/>
  </r>
  <r>
    <x v="19"/>
    <x v="19"/>
    <x v="19"/>
    <x v="19"/>
    <n v="34.128329088498774"/>
    <n v="2997.337904882821"/>
    <n v="1.9992148854782128E-2"/>
    <n v="0.68229863530225832"/>
  </r>
  <r>
    <x v="20"/>
    <x v="20"/>
    <x v="20"/>
    <x v="20"/>
    <n v="34.143983080966422"/>
    <n v="1515.0228627800097"/>
    <n v="2.0391356298072417E-2"/>
    <n v="0.69624212443934275"/>
  </r>
  <r>
    <x v="21"/>
    <x v="21"/>
    <x v="21"/>
    <x v="21"/>
    <n v="34.120517626362137"/>
    <n v="1567.2884388499515"/>
    <n v="1.8802251261379414E-2"/>
    <n v="0.641542545579186"/>
  </r>
  <r>
    <x v="22"/>
    <x v="22"/>
    <x v="22"/>
    <x v="22"/>
    <n v="34.087192678609775"/>
    <n v="1533.0982170128555"/>
    <n v="1.7049197898679657E-2"/>
    <n v="0.58115929378804221"/>
  </r>
  <r>
    <x v="23"/>
    <x v="23"/>
    <x v="23"/>
    <x v="23"/>
    <n v="33.923886608039339"/>
    <n v="649.02023600674147"/>
    <n v="1.1227499507721147E-2"/>
    <n v="0.38088042019174967"/>
  </r>
  <r>
    <x v="24"/>
    <x v="24"/>
    <x v="24"/>
    <x v="24"/>
    <n v="34.176148690664292"/>
    <n v="1113.7631098605634"/>
    <n v="1.7408600705499842E-2"/>
    <n v="0.59495892620756596"/>
  </r>
  <r>
    <x v="25"/>
    <x v="25"/>
    <x v="25"/>
    <x v="25"/>
    <n v="34.168507113044697"/>
    <n v="2135.0046241392993"/>
    <n v="1.8254330814909469E-2"/>
    <n v="0.62372323229310522"/>
  </r>
  <r>
    <x v="26"/>
    <x v="26"/>
    <x v="26"/>
    <x v="26"/>
    <n v="34.170956163177863"/>
    <n v="2636.5482431142882"/>
    <n v="1.6980100970129541E-2"/>
    <n v="0.58022628589663028"/>
  </r>
  <r>
    <x v="27"/>
    <x v="27"/>
    <x v="27"/>
    <x v="27"/>
    <n v="34.165381661072843"/>
    <n v="1302.0489599095308"/>
    <n v="1.5709061569280026E-2"/>
    <n v="0.53670608405174391"/>
  </r>
  <r>
    <x v="28"/>
    <x v="28"/>
    <x v="28"/>
    <x v="28"/>
    <n v="34.177338631295846"/>
    <n v="976.26942701695953"/>
    <n v="1.3493064289768734E-2"/>
    <n v="0.46115702740527137"/>
  </r>
  <r>
    <x v="29"/>
    <x v="29"/>
    <x v="29"/>
    <x v="29"/>
    <n v="34.157116370182358"/>
    <n v="646.80551938593999"/>
    <n v="1.2829394518728518E-2"/>
    <n v="0.43821512153518971"/>
  </r>
  <r>
    <x v="30"/>
    <x v="30"/>
    <x v="30"/>
    <x v="30"/>
    <n v="34.173405213411243"/>
    <n v="928.8598947423452"/>
    <n v="1.3769393368950188E-2"/>
    <n v="0.47054705913999251"/>
  </r>
  <r>
    <x v="31"/>
    <x v="31"/>
    <x v="31"/>
    <x v="31"/>
    <n v="34.165100059827587"/>
    <n v="882.52944474171818"/>
    <n v="1.3652914643258147E-2"/>
    <n v="0.46645319489519987"/>
  </r>
  <r>
    <x v="32"/>
    <x v="32"/>
    <x v="32"/>
    <x v="32"/>
    <n v="34.167214268072307"/>
    <n v="2084.3659182816918"/>
    <n v="1.5137680895270008E-2"/>
    <n v="0.51721238667039504"/>
  </r>
  <r>
    <x v="33"/>
    <x v="33"/>
    <x v="33"/>
    <x v="33"/>
    <n v="34.164616983637366"/>
    <n v="2773.4131354166893"/>
    <n v="1.5305040969303218E-2"/>
    <n v="0.52289086263512241"/>
  </r>
  <r>
    <x v="34"/>
    <x v="34"/>
    <x v="34"/>
    <x v="34"/>
    <n v="34.166741278752106"/>
    <n v="1967.0641979197972"/>
    <n v="1.7341109923449585E-2"/>
    <n v="0.59248921624090278"/>
  </r>
  <r>
    <x v="35"/>
    <x v="35"/>
    <x v="35"/>
    <x v="35"/>
    <n v="34.166674625668435"/>
    <n v="2686.8986331732012"/>
    <n v="1.8764237004521896E-2"/>
    <n v="0.64111158033242688"/>
  </r>
  <r>
    <x v="36"/>
    <x v="36"/>
    <x v="36"/>
    <x v="36"/>
    <n v="34.162943001544079"/>
    <n v="1630.3621917087003"/>
    <n v="1.2529041461151837E-2"/>
    <n v="0.42802892930131275"/>
  </r>
  <r>
    <x v="37"/>
    <x v="37"/>
    <x v="37"/>
    <x v="37"/>
    <n v="32.469789824035338"/>
    <n v="-7922.7347852030944"/>
    <n v="-4.2332280824348437E-2"/>
    <n v="-1.3745202611386353"/>
  </r>
  <r>
    <x v="38"/>
    <x v="38"/>
    <x v="38"/>
    <x v="38"/>
    <n v="33.789534212848089"/>
    <n v="336.71964121540077"/>
    <n v="3.2910188822634955E-3"/>
    <n v="0.11120199511737146"/>
  </r>
  <r>
    <x v="39"/>
    <x v="39"/>
    <x v="39"/>
    <x v="39"/>
    <n v="32.481025695291564"/>
    <n v="-11975.345193628804"/>
    <n v="-3.9712129323774693E-2"/>
    <n v="-1.2898906929802676"/>
  </r>
  <r>
    <x v="40"/>
    <x v="40"/>
    <x v="40"/>
    <x v="40"/>
    <n v="32.461043190859023"/>
    <n v="-13681.601914187893"/>
    <n v="-4.328618461163096E-2"/>
    <n v="-1.4051147082456499"/>
  </r>
  <r>
    <x v="41"/>
    <x v="41"/>
    <x v="41"/>
    <x v="41"/>
    <n v="32.47130496146584"/>
    <n v="-6352.6661287090101"/>
    <n v="-4.6994807800563657E-2"/>
    <n v="-1.5259827356975764"/>
  </r>
  <r>
    <x v="42"/>
    <x v="42"/>
    <x v="42"/>
    <x v="42"/>
    <n v="32.453320779067113"/>
    <n v="-7101.1683887632098"/>
    <n v="-4.8069368334923049E-2"/>
    <n v="-1.5600106302203889"/>
  </r>
  <r>
    <x v="43"/>
    <x v="43"/>
    <x v="43"/>
    <x v="43"/>
    <n v="32.478127143908466"/>
    <n v="-4325.4151966265927"/>
    <n v="-3.1922178692641329E-2"/>
    <n v="-1.0367725782901709"/>
  </r>
  <r>
    <x v="44"/>
    <x v="44"/>
    <x v="44"/>
    <x v="44"/>
    <n v="32.446465198586914"/>
    <n v="-3460.5237137227959"/>
    <n v="-2.1173979498283549E-2"/>
    <n v="-0.68702078890664997"/>
  </r>
  <r>
    <x v="45"/>
    <x v="45"/>
    <x v="45"/>
    <x v="45"/>
    <n v="32.470446894009413"/>
    <n v="-2735.8011340952071"/>
    <n v="-1.9782839123270179E-2"/>
    <n v="-0.6423576271648761"/>
  </r>
  <r>
    <x v="46"/>
    <x v="46"/>
    <x v="46"/>
    <x v="46"/>
    <n v="32.453652991050902"/>
    <n v="-6618.5038468473358"/>
    <n v="-1.9645226772003029E-2"/>
    <n v="-0.63755937258908923"/>
  </r>
  <r>
    <x v="47"/>
    <x v="47"/>
    <x v="47"/>
    <x v="47"/>
    <n v="32.450517844547477"/>
    <n v="-6244.3251204402186"/>
    <n v="-1.6980767265985852E-2"/>
    <n v="-0.55103469117898152"/>
  </r>
  <r>
    <x v="48"/>
    <x v="48"/>
    <x v="48"/>
    <x v="48"/>
    <n v="32.448229073756018"/>
    <n v="-2883.2359827617183"/>
    <n v="-2.1530530025055311E-2"/>
    <n v="-0.69862757033237666"/>
  </r>
  <r>
    <x v="49"/>
    <x v="49"/>
    <x v="49"/>
    <x v="49"/>
    <n v="32.437157886999849"/>
    <n v="-2086.7593828180979"/>
    <n v="-1.3837895098394745E-2"/>
    <n v="-0.4488619881303717"/>
  </r>
  <r>
    <x v="50"/>
    <x v="50"/>
    <x v="50"/>
    <x v="50"/>
    <n v="34.168365295497182"/>
    <n v="2128.6861237806152"/>
    <n v="3.8291279164501084E-2"/>
    <n v="1.308350414124533"/>
  </r>
  <r>
    <x v="51"/>
    <x v="51"/>
    <x v="51"/>
    <x v="51"/>
    <n v="32.437425126127401"/>
    <n v="-1309.2522371345985"/>
    <n v="-1.2301858336329713E-2"/>
    <n v="-0.39904060869692121"/>
  </r>
  <r>
    <x v="52"/>
    <x v="52"/>
    <x v="52"/>
    <x v="52"/>
    <n v="34.173400183895211"/>
    <n v="3006.1596027583582"/>
    <n v="3.8081308456253002E-2"/>
    <n v="1.3013677934018866"/>
  </r>
  <r>
    <x v="53"/>
    <x v="53"/>
    <x v="53"/>
    <x v="53"/>
    <n v="32.433821450574811"/>
    <n v="-4173.4710969076259"/>
    <n v="-1.3127577486490417E-2"/>
    <n v="-0.42577750427541583"/>
  </r>
  <r>
    <x v="54"/>
    <x v="54"/>
    <x v="54"/>
    <x v="54"/>
    <n v="31.643253741560194"/>
    <n v="-10899.048760751786"/>
    <n v="-3.5247149735196714E-2"/>
    <n v="-1.1153345027375958"/>
  </r>
  <r>
    <x v="55"/>
    <x v="55"/>
    <x v="55"/>
    <x v="55"/>
    <n v="32.433618255377588"/>
    <n v="-2261.0516412048892"/>
    <n v="-1.6326278693636221E-2"/>
    <n v="-0.52952029068030193"/>
  </r>
  <r>
    <x v="56"/>
    <x v="56"/>
    <x v="56"/>
    <x v="56"/>
    <n v="32.427233854173423"/>
    <n v="-1359.1820185586985"/>
    <n v="-1.0208190634681391E-2"/>
    <n v="-0.33102338493879652"/>
  </r>
  <r>
    <x v="57"/>
    <x v="57"/>
    <x v="57"/>
    <x v="57"/>
    <n v="32.433999738055675"/>
    <n v="-2551.7903767083772"/>
    <n v="-1.1341559928579345E-2"/>
    <n v="-0.36785215175268521"/>
  </r>
  <r>
    <x v="58"/>
    <x v="58"/>
    <x v="58"/>
    <x v="58"/>
    <n v="32.456243361412199"/>
    <n v="-3162.550651399215"/>
    <n v="-1.4052558485677026E-2"/>
    <n v="-0.45609325806161161"/>
  </r>
  <r>
    <x v="59"/>
    <x v="59"/>
    <x v="59"/>
    <x v="59"/>
    <n v="31.068370550544124"/>
    <n v="-21635.970514796209"/>
    <n v="-6.2840518357131017E-2"/>
    <n v="-1.9523525099076167"/>
  </r>
  <r>
    <x v="60"/>
    <x v="60"/>
    <x v="60"/>
    <x v="60"/>
    <n v="31.813338139853375"/>
    <n v="-24780.290992521332"/>
    <n v="-3.743944828458852E-2"/>
    <n v="-1.191073828047168"/>
  </r>
  <r>
    <x v="61"/>
    <x v="61"/>
    <x v="61"/>
    <x v="61"/>
    <n v="32.059007503248921"/>
    <n v="-25403.196842717007"/>
    <n v="-3.0003360423429569E-2"/>
    <n v="-0.96187795693741029"/>
  </r>
  <r>
    <x v="62"/>
    <x v="62"/>
    <x v="62"/>
    <x v="62"/>
    <n v="31.918308775781338"/>
    <n v="-16652.145052065316"/>
    <n v="-3.4771486548853037E-2"/>
    <n v="-1.1098470442592185"/>
  </r>
  <r>
    <x v="63"/>
    <x v="63"/>
    <x v="63"/>
    <x v="63"/>
    <n v="31.913480344263363"/>
    <n v="-18739.934852270759"/>
    <n v="-3.4779118014277688E-2"/>
    <n v="-1.1099226991394668"/>
  </r>
  <r>
    <x v="64"/>
    <x v="64"/>
    <x v="64"/>
    <x v="64"/>
    <n v="31.703557185365689"/>
    <n v="-12978.908639479894"/>
    <n v="-4.1820753504615442E-2"/>
    <n v="-1.325866650268658"/>
  </r>
  <r>
    <x v="65"/>
    <x v="65"/>
    <x v="65"/>
    <x v="65"/>
    <n v="31.735427925544286"/>
    <n v="-10917.984872238216"/>
    <n v="-4.258341836550255E-2"/>
    <n v="-1.3514030043617051"/>
  </r>
  <r>
    <x v="66"/>
    <x v="66"/>
    <x v="66"/>
    <x v="66"/>
    <n v="33.084317779198301"/>
    <n v="-332.03023002811824"/>
    <n v="-1.9786828873169849E-3"/>
    <n v="-6.5463373428256755E-2"/>
  </r>
  <r>
    <x v="67"/>
    <x v="67"/>
    <x v="67"/>
    <x v="67"/>
    <n v="31.978422205454347"/>
    <n v="-18456.575203726243"/>
    <n v="-3.966443238920949E-2"/>
    <n v="-1.2684059654818391"/>
  </r>
  <r>
    <x v="68"/>
    <x v="68"/>
    <x v="68"/>
    <x v="68"/>
    <n v="31.985410751419913"/>
    <n v="-21352.208605005639"/>
    <n v="-4.1050354769688692E-2"/>
    <n v="-1.3130124588000023"/>
  </r>
  <r>
    <x v="69"/>
    <x v="69"/>
    <x v="69"/>
    <x v="69"/>
    <n v="32.035821616682668"/>
    <n v="-8890.7301489077799"/>
    <n v="-3.9567243937625111E-2"/>
    <n v="-1.2675691686495267"/>
  </r>
  <r>
    <x v="70"/>
    <x v="70"/>
    <x v="70"/>
    <x v="70"/>
    <n v="32.045530552657681"/>
    <n v="-11412.212540121109"/>
    <n v="-3.9870682570173295E-2"/>
    <n v="-1.2776771764578043"/>
  </r>
  <r>
    <x v="71"/>
    <x v="71"/>
    <x v="71"/>
    <x v="71"/>
    <n v="32.620362221123145"/>
    <n v="-4356.024750624405"/>
    <n v="-2.3276448118239087E-2"/>
    <n v="-0.75928616883813926"/>
  </r>
  <r>
    <x v="72"/>
    <x v="72"/>
    <x v="72"/>
    <x v="72"/>
    <n v="32.475078625823258"/>
    <n v="-5453.0348908253945"/>
    <n v="-2.8445612007483616E-2"/>
    <n v="-0.92377348650269264"/>
  </r>
  <r>
    <x v="73"/>
    <x v="73"/>
    <x v="73"/>
    <x v="73"/>
    <n v="32.568031567009946"/>
    <n v="-4311.2064426385041"/>
    <n v="-2.618184479216408E-2"/>
    <n v="-0.85269114767375476"/>
  </r>
  <r>
    <x v="74"/>
    <x v="74"/>
    <x v="74"/>
    <x v="74"/>
    <n v="32.542232689419102"/>
    <n v="-10824.568821861176"/>
    <n v="-2.7338819133041075E-2"/>
    <n v="-0.88966621368136567"/>
  </r>
  <r>
    <x v="75"/>
    <x v="75"/>
    <x v="75"/>
    <x v="75"/>
    <n v="32.44525767797348"/>
    <n v="-16199.932743694109"/>
    <n v="-3.1262944108075563E-2"/>
    <n v="-1.0143342773585944"/>
  </r>
  <r>
    <x v="76"/>
    <x v="76"/>
    <x v="76"/>
    <x v="76"/>
    <n v="32.522668619441852"/>
    <n v="-6573.1496259520936"/>
    <n v="-2.9005422927254658E-2"/>
    <n v="-0.94333375802986419"/>
  </r>
  <r>
    <x v="77"/>
    <x v="77"/>
    <x v="77"/>
    <x v="77"/>
    <n v="32.520399245713506"/>
    <n v="-7086.3493167177076"/>
    <n v="-2.9077227830571838E-2"/>
    <n v="-0.94560305800876798"/>
  </r>
  <r>
    <x v="78"/>
    <x v="78"/>
    <x v="78"/>
    <x v="78"/>
    <n v="35.038693682959178"/>
    <n v="4278.1548767936183"/>
    <n v="4.51045485776417E-2"/>
    <n v="1.5804044613201398"/>
  </r>
  <r>
    <x v="79"/>
    <x v="79"/>
    <x v="79"/>
    <x v="79"/>
    <n v="35.034805865216391"/>
    <n v="4130.9420747817203"/>
    <n v="4.4713561157388573E-2"/>
    <n v="1.566530934691589"/>
  </r>
  <r>
    <x v="80"/>
    <x v="80"/>
    <x v="80"/>
    <x v="80"/>
    <n v="35.034924782373317"/>
    <n v="8050.5232649592799"/>
    <n v="4.4627239968039988E-2"/>
    <n v="1.5635119955252048"/>
  </r>
  <r>
    <x v="81"/>
    <x v="81"/>
    <x v="81"/>
    <x v="81"/>
    <n v="35.037435460147165"/>
    <n v="8920.5480890169856"/>
    <n v="4.4394156197173823E-2"/>
    <n v="1.5554573825661702"/>
  </r>
  <r>
    <x v="82"/>
    <x v="82"/>
    <x v="82"/>
    <x v="82"/>
    <n v="35.039287826264221"/>
    <n v="7752.6196919302747"/>
    <n v="4.4824768821579077E-2"/>
    <n v="1.5706279764850637"/>
  </r>
  <r>
    <x v="83"/>
    <x v="83"/>
    <x v="83"/>
    <x v="83"/>
    <n v="35.044832520150379"/>
    <n v="3133.1768284143327"/>
    <n v="4.4635455176766765E-2"/>
    <n v="1.5642420511304707"/>
  </r>
  <r>
    <x v="84"/>
    <x v="84"/>
    <x v="84"/>
    <x v="84"/>
    <n v="35.031517275794648"/>
    <n v="3674.5682979874691"/>
    <n v="4.5154201460662076E-2"/>
    <n v="1.5818201885438954"/>
  </r>
  <r>
    <x v="85"/>
    <x v="85"/>
    <x v="85"/>
    <x v="85"/>
    <n v="34.073002280109577"/>
    <n v="2832.725472442602"/>
    <n v="2.1752210773249653E-2"/>
    <n v="0.74116312727435951"/>
  </r>
  <r>
    <x v="86"/>
    <x v="86"/>
    <x v="86"/>
    <x v="86"/>
    <n v="34.181679325655701"/>
    <n v="3034.9338256763003"/>
    <n v="2.4219399440586917E-2"/>
    <n v="0.82785974513810701"/>
  </r>
  <r>
    <x v="87"/>
    <x v="87"/>
    <x v="87"/>
    <x v="87"/>
    <n v="33.715026710287866"/>
    <n v="1265.764593322805"/>
    <n v="1.0596398506678562E-2"/>
    <n v="0.35725785868552218"/>
  </r>
  <r>
    <x v="88"/>
    <x v="88"/>
    <x v="88"/>
    <x v="88"/>
    <n v="33.969836324758148"/>
    <n v="4623.8737394612399"/>
    <n v="1.674256395992086E-2"/>
    <n v="0.56874215737530631"/>
  </r>
  <r>
    <x v="89"/>
    <x v="89"/>
    <x v="89"/>
    <x v="89"/>
    <n v="33.976922127842862"/>
    <n v="5118.4368660334148"/>
    <n v="1.4322543485205291E-2"/>
    <n v="0.48663594466946331"/>
  </r>
  <r>
    <x v="90"/>
    <x v="90"/>
    <x v="90"/>
    <x v="90"/>
    <n v="34.202774008078443"/>
    <n v="3340.0633949903131"/>
    <n v="2.0382957933557596E-2"/>
    <n v="0.69715370381763997"/>
  </r>
  <r>
    <x v="91"/>
    <x v="91"/>
    <x v="91"/>
    <x v="91"/>
    <n v="34.160776379831631"/>
    <n v="3647.0192986617039"/>
    <n v="1.9122413327417893E-2"/>
    <n v="0.65323648552063474"/>
  </r>
  <r>
    <x v="92"/>
    <x v="92"/>
    <x v="92"/>
    <x v="92"/>
    <n v="34.176828123754532"/>
    <n v="4834.5204278650053"/>
    <n v="1.977024299387703E-2"/>
    <n v="0.67568419676659752"/>
  </r>
  <r>
    <x v="93"/>
    <x v="93"/>
    <x v="93"/>
    <x v="93"/>
    <n v="34.015410664224589"/>
    <n v="2254.4849782753154"/>
    <n v="1.4487069013313219E-2"/>
    <n v="0.49278360180881209"/>
  </r>
  <r>
    <x v="94"/>
    <x v="94"/>
    <x v="94"/>
    <x v="94"/>
    <n v="34.026014050557265"/>
    <n v="1478.9095263569907"/>
    <n v="1.0874176584522034E-2"/>
    <n v="0.37000488525318759"/>
  </r>
  <r>
    <x v="95"/>
    <x v="95"/>
    <x v="95"/>
    <x v="95"/>
    <n v="34.285694046917484"/>
    <n v="2817.5875010147865"/>
    <n v="1.4785837343790466E-2"/>
    <n v="0.50694269539668702"/>
  </r>
  <r>
    <x v="96"/>
    <x v="96"/>
    <x v="96"/>
    <x v="96"/>
    <n v="34.352927615367278"/>
    <n v="3569.7683449274045"/>
    <n v="1.6442172549660919E-2"/>
    <n v="0.56483676343788047"/>
  </r>
  <r>
    <x v="97"/>
    <x v="97"/>
    <x v="97"/>
    <x v="97"/>
    <n v="34.577922826387095"/>
    <n v="2333.7853691401106"/>
    <n v="1.9580362542540568E-2"/>
    <n v="0.67704826490864822"/>
  </r>
  <r>
    <x v="98"/>
    <x v="98"/>
    <x v="98"/>
    <x v="98"/>
    <n v="34.226828607040062"/>
    <n v="1125.7527424672153"/>
    <n v="8.53423589848578E-3"/>
    <n v="0.29209982938952134"/>
  </r>
  <r>
    <x v="99"/>
    <x v="99"/>
    <x v="99"/>
    <x v="99"/>
    <n v="35.038688178037361"/>
    <n v="3615.5024908131018"/>
    <n v="3.0402478424267219E-2"/>
    <n v="1.0652629613474076"/>
  </r>
  <r>
    <x v="100"/>
    <x v="100"/>
    <x v="100"/>
    <x v="100"/>
    <n v="35.034600852317929"/>
    <n v="3563.5797186459968"/>
    <n v="2.8547855002577865E-2"/>
    <n v="1.0001627052051634"/>
  </r>
  <r>
    <x v="101"/>
    <x v="101"/>
    <x v="101"/>
    <x v="101"/>
    <n v="33.332061380687065"/>
    <n v="-3952.0121988900064"/>
    <n v="-2.2038083686705734E-2"/>
    <n v="-0.73457475815799378"/>
  </r>
  <r>
    <x v="102"/>
    <x v="102"/>
    <x v="102"/>
    <x v="102"/>
    <n v="33.317645153678058"/>
    <n v="-7372.708956100163"/>
    <n v="-2.3115576688987383E-2"/>
    <n v="-0.77015658164631395"/>
  </r>
  <r>
    <x v="103"/>
    <x v="103"/>
    <x v="103"/>
    <x v="103"/>
    <n v="33.336098606461242"/>
    <n v="-8696.0846902352641"/>
    <n v="-2.3187635569594491E-2"/>
    <n v="-0.77298530579869018"/>
  </r>
  <r>
    <x v="104"/>
    <x v="104"/>
    <x v="104"/>
    <x v="104"/>
    <n v="33.345398938932405"/>
    <n v="-3668.3234412500169"/>
    <n v="-2.2046068769866464E-2"/>
    <n v="-0.73513495816633601"/>
  </r>
  <r>
    <x v="105"/>
    <x v="105"/>
    <x v="105"/>
    <x v="105"/>
    <n v="33.330865364514437"/>
    <n v="-4559.7409621395054"/>
    <n v="-2.3546016795657682E-2"/>
    <n v="-0.7848091156866619"/>
  </r>
  <r>
    <x v="106"/>
    <x v="106"/>
    <x v="106"/>
    <x v="106"/>
    <n v="33.320730587367137"/>
    <n v="-6151.1368217970885"/>
    <n v="-2.4623702832552493E-2"/>
    <n v="-0.82047976814687051"/>
  </r>
  <r>
    <x v="107"/>
    <x v="107"/>
    <x v="107"/>
    <x v="107"/>
    <n v="33.332208467072917"/>
    <n v="-7498.9413663211744"/>
    <n v="-2.5504572386504304E-2"/>
    <n v="-0.85012372365051292"/>
  </r>
  <r>
    <x v="108"/>
    <x v="108"/>
    <x v="108"/>
    <x v="108"/>
    <n v="33.335293792727747"/>
    <n v="-15691.752876151935"/>
    <n v="-2.5630235281112787E-2"/>
    <n v="-0.85439142307263072"/>
  </r>
  <r>
    <x v="109"/>
    <x v="109"/>
    <x v="109"/>
    <x v="109"/>
    <n v="33.344011324859892"/>
    <n v="-11877.025825862016"/>
    <n v="-2.5552128466633774E-2"/>
    <n v="-0.85201046096571131"/>
  </r>
  <r>
    <x v="110"/>
    <x v="110"/>
    <x v="110"/>
    <x v="110"/>
    <n v="33.334653268867932"/>
    <n v="-9284.6723136868677"/>
    <n v="-2.5756347345600061E-2"/>
    <n v="-0.85857890823810501"/>
  </r>
  <r>
    <x v="111"/>
    <x v="111"/>
    <x v="111"/>
    <x v="111"/>
    <n v="33.327377443502336"/>
    <n v="-2911.2489003972005"/>
    <n v="-2.5474795850289805E-2"/>
    <n v="-0.84900813659877528"/>
  </r>
  <r>
    <x v="112"/>
    <x v="112"/>
    <x v="112"/>
    <x v="112"/>
    <n v="33.341088209087751"/>
    <n v="-4244.2634427734884"/>
    <n v="-2.6333944520279873E-2"/>
    <n v="-0.87800236714387425"/>
  </r>
  <r>
    <x v="113"/>
    <x v="113"/>
    <x v="113"/>
    <x v="113"/>
    <n v="33.330255067635655"/>
    <n v="-4861.5906763529929"/>
    <n v="-2.6641313292337758E-2"/>
    <n v="-0.88796176737040966"/>
  </r>
  <r>
    <x v="114"/>
    <x v="114"/>
    <x v="114"/>
    <x v="114"/>
    <n v="35.03954262384476"/>
    <n v="2508.5137334534957"/>
    <n v="2.2938461481304268E-2"/>
    <n v="0.80375319879958207"/>
  </r>
  <r>
    <x v="115"/>
    <x v="115"/>
    <x v="115"/>
    <x v="115"/>
    <n v="35.04098045898558"/>
    <n v="2232.6318778596906"/>
    <n v="2.2682406680751371E-2"/>
    <n v="0.79481376926297276"/>
  </r>
  <r>
    <x v="116"/>
    <x v="116"/>
    <x v="116"/>
    <x v="116"/>
    <n v="34.642303732210685"/>
    <n v="3414.3187061985955"/>
    <n v="1.1544948791481154E-2"/>
    <n v="0.39994362260730881"/>
  </r>
  <r>
    <x v="117"/>
    <x v="117"/>
    <x v="117"/>
    <x v="117"/>
    <n v="34.724568148754734"/>
    <n v="3894.3988097145921"/>
    <n v="1.3661969605294411E-2"/>
    <n v="0.47440599460526156"/>
  </r>
  <r>
    <x v="118"/>
    <x v="118"/>
    <x v="118"/>
    <x v="118"/>
    <n v="34.789754027856013"/>
    <n v="1922.637515161201"/>
    <n v="1.5385433093972431E-2"/>
    <n v="0.5352554329513366"/>
  </r>
  <r>
    <x v="119"/>
    <x v="119"/>
    <x v="119"/>
    <x v="119"/>
    <n v="34.724778621968341"/>
    <n v="1659.7426479563001"/>
    <n v="1.3366070815092427E-2"/>
    <n v="0.46413385009963648"/>
  </r>
  <r>
    <x v="120"/>
    <x v="120"/>
    <x v="120"/>
    <x v="120"/>
    <n v="34.631618500720727"/>
    <n v="1437.3077740727022"/>
    <n v="1.0901697048824781E-2"/>
    <n v="0.37754341320533286"/>
  </r>
  <r>
    <x v="121"/>
    <x v="121"/>
    <x v="121"/>
    <x v="121"/>
    <n v="35.209199012660612"/>
    <n v="4205.7090170141892"/>
    <n v="2.7159880283515774E-2"/>
    <n v="0.95627763006234401"/>
  </r>
  <r>
    <x v="122"/>
    <x v="122"/>
    <x v="122"/>
    <x v="122"/>
    <n v="35.186235115149806"/>
    <n v="4637.6183368143102"/>
    <n v="2.5722494505683226E-2"/>
    <n v="0.90507773942511904"/>
  </r>
  <r>
    <x v="123"/>
    <x v="123"/>
    <x v="123"/>
    <x v="123"/>
    <n v="35.76708924463685"/>
    <n v="6548.4102336094074"/>
    <n v="3.9966120035130268E-2"/>
    <n v="1.4294717820583731"/>
  </r>
  <r>
    <x v="124"/>
    <x v="124"/>
    <x v="124"/>
    <x v="124"/>
    <n v="35.552283594114527"/>
    <n v="3834.8477215016028"/>
    <n v="2.917636416785712E-2"/>
    <n v="1.0372863731408177"/>
  </r>
  <r>
    <x v="125"/>
    <x v="125"/>
    <x v="125"/>
    <x v="125"/>
    <n v="35.231659332661927"/>
    <n v="1480.5374134977901"/>
    <n v="1.5905725213591584E-2"/>
    <n v="0.56038509216419008"/>
  </r>
  <r>
    <x v="126"/>
    <x v="126"/>
    <x v="126"/>
    <x v="126"/>
    <n v="35.157581895121176"/>
    <n v="1426.8600745415897"/>
    <n v="1.2867693268256351E-2"/>
    <n v="0.45239697988002209"/>
  </r>
  <r>
    <x v="127"/>
    <x v="127"/>
    <x v="127"/>
    <x v="127"/>
    <n v="35.916238077002681"/>
    <n v="3692.4687261091021"/>
    <n v="3.0928935214564968E-2"/>
    <n v="1.1108510006345074"/>
  </r>
  <r>
    <x v="128"/>
    <x v="128"/>
    <x v="128"/>
    <x v="128"/>
    <n v="34.26208045529976"/>
    <n v="-1437.5812036884454"/>
    <n v="-1.5673655032957878E-2"/>
    <n v="-0.5370120297678167"/>
  </r>
  <r>
    <x v="129"/>
    <x v="129"/>
    <x v="129"/>
    <x v="129"/>
    <n v="35.905869903610679"/>
    <n v="2639.2328141736652"/>
    <n v="2.7396278762405187E-2"/>
    <n v="0.98368722108597284"/>
  </r>
  <r>
    <x v="130"/>
    <x v="130"/>
    <x v="130"/>
    <x v="130"/>
    <n v="32.507107456502411"/>
    <n v="-22610.64175963786"/>
    <n v="-7.4566889093577907E-2"/>
    <n v="-2.4239538764620345"/>
  </r>
  <r>
    <x v="131"/>
    <x v="131"/>
    <x v="131"/>
    <x v="131"/>
    <n v="32.443687747435753"/>
    <n v="-33558.10654820787"/>
    <n v="-7.7735557327942961E-2"/>
    <n v="-2.5220281488206728"/>
  </r>
  <r>
    <x v="132"/>
    <x v="132"/>
    <x v="132"/>
    <x v="132"/>
    <n v="32.465134791437258"/>
    <n v="-15500.547845286899"/>
    <n v="-7.7345234524906159E-2"/>
    <n v="-2.5110234643264051"/>
  </r>
  <r>
    <x v="133"/>
    <x v="133"/>
    <x v="133"/>
    <x v="133"/>
    <n v="32.445375614317356"/>
    <n v="-14421.786736061797"/>
    <n v="-7.8629819253855204E-2"/>
    <n v="-2.5511740201772151"/>
  </r>
  <r>
    <x v="134"/>
    <x v="134"/>
    <x v="134"/>
    <x v="134"/>
    <n v="32.459827031930331"/>
    <n v="-11526.588175744721"/>
    <n v="-7.8859247509658406E-2"/>
    <n v="-2.5597575340316947"/>
  </r>
  <r>
    <x v="135"/>
    <x v="135"/>
    <x v="135"/>
    <x v="135"/>
    <n v="32.163877761204972"/>
    <n v="-16978.034247196396"/>
    <n v="-8.4417128191370649E-2"/>
    <n v="-2.7151821920992156"/>
  </r>
  <r>
    <x v="136"/>
    <x v="136"/>
    <x v="136"/>
    <x v="136"/>
    <n v="32.126968461385395"/>
    <n v="-19741.247650943813"/>
    <n v="-7.3082289903168715E-2"/>
    <n v="-2.3479124228049253"/>
  </r>
  <r>
    <x v="137"/>
    <x v="137"/>
    <x v="137"/>
    <x v="137"/>
    <n v="32.073162711270939"/>
    <n v="-26475.383278979862"/>
    <n v="-6.3747658531904922E-2"/>
    <n v="-2.0445890245563256"/>
  </r>
  <r>
    <x v="138"/>
    <x v="138"/>
    <x v="138"/>
    <x v="138"/>
    <n v="32.158692130191781"/>
    <n v="-27990.379406631109"/>
    <n v="-5.6124775261030595E-2"/>
    <n v="-1.8048993684956867"/>
  </r>
  <r>
    <x v="139"/>
    <x v="139"/>
    <x v="139"/>
    <x v="139"/>
    <n v="32.3736961932036"/>
    <n v="-7943.4603453587042"/>
    <n v="-4.7727626913157947E-2"/>
    <n v="-1.5451196937091429"/>
  </r>
  <r>
    <x v="140"/>
    <x v="140"/>
    <x v="140"/>
    <x v="140"/>
    <n v="32.445250167005874"/>
    <n v="-7019.4861508166941"/>
    <n v="-4.1653571893040968E-2"/>
    <n v="-1.3514605604190786"/>
  </r>
  <r>
    <x v="141"/>
    <x v="141"/>
    <x v="141"/>
    <x v="141"/>
    <n v="32.094330109826068"/>
    <n v="-9624.6400926627102"/>
    <n v="-5.4033512465630686E-2"/>
    <n v="-1.7341693860653531"/>
  </r>
  <r>
    <x v="142"/>
    <x v="142"/>
    <x v="142"/>
    <x v="142"/>
    <n v="32.105239313777744"/>
    <n v="-9581.8627428119071"/>
    <n v="-4.9168316991235271E-2"/>
    <n v="-1.5785605836592929"/>
  </r>
  <r>
    <x v="143"/>
    <x v="143"/>
    <x v="143"/>
    <x v="143"/>
    <n v="33.754778397035892"/>
    <n v="463.7742874280957"/>
    <n v="4.0162277399493325E-3"/>
    <n v="0.13556687735401804"/>
  </r>
  <r>
    <x v="144"/>
    <x v="144"/>
    <x v="144"/>
    <x v="144"/>
    <n v="32.166842837616194"/>
    <n v="-18753.161719710391"/>
    <n v="-4.3559223942213315E-2"/>
    <n v="-1.401162710677704"/>
  </r>
  <r>
    <x v="145"/>
    <x v="145"/>
    <x v="145"/>
    <x v="145"/>
    <n v="32.177098804785558"/>
    <n v="-23602.968488883693"/>
    <n v="-3.9961491892301214E-2"/>
    <n v="-1.2858448730052132"/>
  </r>
  <r>
    <x v="146"/>
    <x v="146"/>
    <x v="146"/>
    <x v="146"/>
    <n v="32.425341223429371"/>
    <n v="-6599.7450591012894"/>
    <n v="-3.1313329494717518E-2"/>
    <n v="-1.0153453937078907"/>
  </r>
  <r>
    <x v="147"/>
    <x v="147"/>
    <x v="147"/>
    <x v="147"/>
    <n v="32.314773181493955"/>
    <n v="-7418.2466638249171"/>
    <n v="-3.3999123761514559E-2"/>
    <n v="-1.0986739727228847"/>
  </r>
  <r>
    <x v="148"/>
    <x v="148"/>
    <x v="148"/>
    <x v="148"/>
    <n v="32.198841510659577"/>
    <n v="-8364.0489022942202"/>
    <n v="-3.6987386759766296E-2"/>
    <n v="-1.1909510041711833"/>
  </r>
  <r>
    <x v="149"/>
    <x v="149"/>
    <x v="149"/>
    <x v="149"/>
    <n v="32.15739121850735"/>
    <n v="-9208.4266473137832"/>
    <n v="-3.778267622783546E-2"/>
    <n v="-1.2149923007407024"/>
  </r>
  <r>
    <x v="150"/>
    <x v="150"/>
    <x v="150"/>
    <x v="150"/>
    <n v="32.169576465281622"/>
    <n v="-7689.4174469813006"/>
    <n v="-3.7070041036447635E-2"/>
    <n v="-1.1925275196931298"/>
  </r>
  <r>
    <x v="151"/>
    <x v="151"/>
    <x v="151"/>
    <x v="151"/>
    <n v="32.1768517839322"/>
    <n v="-18501.654780225246"/>
    <n v="-3.6771689735899206E-2"/>
    <n v="-1.1831972104767696"/>
  </r>
  <r>
    <x v="152"/>
    <x v="152"/>
    <x v="152"/>
    <x v="152"/>
    <n v="32.157059362241078"/>
    <n v="-22510.597322739777"/>
    <n v="-3.7284707999845242E-2"/>
    <n v="-1.1989665684548483"/>
  </r>
  <r>
    <x v="153"/>
    <x v="153"/>
    <x v="153"/>
    <x v="153"/>
    <n v="32.141067316935185"/>
    <n v="-17206.517638900201"/>
    <n v="-3.7732146313447915E-2"/>
    <n v="-1.2127514546729772"/>
  </r>
  <r>
    <x v="154"/>
    <x v="154"/>
    <x v="154"/>
    <x v="154"/>
    <n v="32.124713038980168"/>
    <n v="-16310.795116466063"/>
    <n v="-3.8302170056071609E-2"/>
    <n v="-1.2304462218215195"/>
  </r>
  <r>
    <x v="155"/>
    <x v="155"/>
    <x v="155"/>
    <x v="155"/>
    <n v="32.105817270140562"/>
    <n v="-12695.821772555995"/>
    <n v="-3.8681092051742541E-2"/>
    <n v="-1.2418880732227326"/>
  </r>
  <r>
    <x v="156"/>
    <x v="156"/>
    <x v="156"/>
    <x v="156"/>
    <n v="32.16599267772947"/>
    <n v="-10496.673728299094"/>
    <n v="-3.6649629449756319E-2"/>
    <n v="-1.17887171252236"/>
  </r>
  <r>
    <x v="157"/>
    <x v="157"/>
    <x v="157"/>
    <x v="157"/>
    <n v="31.98856798666365"/>
    <n v="-7835.0014615881082"/>
    <n v="-4.2353674128087826E-2"/>
    <n v="-1.3548333843313347"/>
  </r>
  <r>
    <x v="158"/>
    <x v="158"/>
    <x v="158"/>
    <x v="158"/>
    <n v="31.995369733198849"/>
    <n v="-12095.254959206155"/>
    <n v="-4.1980168467262297E-2"/>
    <n v="-1.3431710115720328"/>
  </r>
  <r>
    <x v="159"/>
    <x v="159"/>
    <x v="159"/>
    <x v="159"/>
    <n v="32.067654885424723"/>
    <n v="-15508.041590879962"/>
    <n v="-3.9568307732308079E-2"/>
    <n v="-1.2688628367599379"/>
  </r>
  <r>
    <x v="160"/>
    <x v="160"/>
    <x v="160"/>
    <x v="160"/>
    <n v="32.097495628424234"/>
    <n v="-7482.1314027491899"/>
    <n v="-3.8612952152132465E-2"/>
    <n v="-1.2393790629036259"/>
  </r>
  <r>
    <x v="161"/>
    <x v="161"/>
    <x v="161"/>
    <x v="161"/>
    <n v="32.416828128139606"/>
    <n v="-6077.2357362100156"/>
    <n v="-2.8374698643281425E-2"/>
    <n v="-0.9198177291070101"/>
  </r>
  <r>
    <x v="162"/>
    <x v="162"/>
    <x v="162"/>
    <x v="162"/>
    <n v="32.155458625692283"/>
    <n v="-6920.259833022079"/>
    <n v="-3.6744510724884771E-2"/>
    <n v="-1.1815365943353386"/>
  </r>
  <r>
    <x v="163"/>
    <x v="163"/>
    <x v="163"/>
    <x v="163"/>
    <n v="32.109964047791436"/>
    <n v="-6653.6062227696821"/>
    <n v="-3.81678268788316E-2"/>
    <n v="-1.2255675488616102"/>
  </r>
  <r>
    <x v="164"/>
    <x v="164"/>
    <x v="164"/>
    <x v="164"/>
    <n v="32.136001976293279"/>
    <n v="-7486.1386569561146"/>
    <n v="-3.7379937998258936E-2"/>
    <n v="-1.2012417613857693"/>
  </r>
  <r>
    <x v="165"/>
    <x v="165"/>
    <x v="165"/>
    <x v="165"/>
    <n v="32.135867684190174"/>
    <n v="-17478.914187966147"/>
    <n v="-3.7292198410917674E-2"/>
    <n v="-1.1984171537858175"/>
  </r>
  <r>
    <x v="166"/>
    <x v="166"/>
    <x v="166"/>
    <x v="166"/>
    <n v="32.107545212407516"/>
    <n v="-18709.538137485972"/>
    <n v="-3.9519476862434136E-2"/>
    <n v="-1.2688733901312967"/>
  </r>
  <r>
    <x v="167"/>
    <x v="167"/>
    <x v="167"/>
    <x v="167"/>
    <n v="32.074398709068028"/>
    <n v="-9321.9108713392052"/>
    <n v="-4.1572593677359673E-2"/>
    <n v="-1.333415944977715"/>
  </r>
  <r>
    <x v="168"/>
    <x v="168"/>
    <x v="168"/>
    <x v="168"/>
    <n v="32.067428302469715"/>
    <n v="-7734.0403505176946"/>
    <n v="-4.1669067222567663E-2"/>
    <n v="-1.3362198255904794"/>
  </r>
  <r>
    <x v="169"/>
    <x v="169"/>
    <x v="169"/>
    <x v="169"/>
    <n v="32.06988983938664"/>
    <n v="-8716.135602427792"/>
    <n v="-4.0980947242314991E-2"/>
    <n v="-1.3142544635747575"/>
  </r>
  <r>
    <x v="170"/>
    <x v="170"/>
    <x v="170"/>
    <x v="170"/>
    <n v="32.034021630997863"/>
    <n v="-7797.8184255780943"/>
    <n v="-4.2319719104601271E-2"/>
    <n v="-1.3556707972145505"/>
  </r>
  <r>
    <x v="171"/>
    <x v="171"/>
    <x v="171"/>
    <x v="171"/>
    <n v="31.787539451587339"/>
    <n v="-5808.2036063009"/>
    <n v="-5.1067498370464898E-2"/>
    <n v="-1.6233101191450252"/>
  </r>
  <r>
    <x v="172"/>
    <x v="172"/>
    <x v="172"/>
    <x v="172"/>
    <n v="33.202334200872663"/>
    <n v="-2185.5601035825966"/>
    <n v="-1.0757557704194827E-2"/>
    <n v="-0.35717602607984911"/>
  </r>
  <r>
    <x v="173"/>
    <x v="173"/>
    <x v="173"/>
    <x v="173"/>
    <n v="33.005233657645654"/>
    <n v="-3573.6680291109078"/>
    <n v="-1.7574387032064969E-2"/>
    <n v="-0.58004675038320208"/>
  </r>
  <r>
    <x v="174"/>
    <x v="174"/>
    <x v="174"/>
    <x v="174"/>
    <n v="33.610084425144812"/>
    <n v="-428.0380580748897"/>
    <n v="-3.1719565678573398E-3"/>
    <n v="-0.10660972803857775"/>
  </r>
  <r>
    <x v="175"/>
    <x v="175"/>
    <x v="175"/>
    <x v="175"/>
    <n v="33.461942957891701"/>
    <n v="-907.81664511430427"/>
    <n v="-6.5641966263069972E-3"/>
    <n v="-0.2196507730738699"/>
  </r>
  <r>
    <x v="176"/>
    <x v="176"/>
    <x v="176"/>
    <x v="176"/>
    <n v="35.045539505158061"/>
    <n v="1393.6156266972685"/>
    <n v="3.7980753434810208E-2"/>
    <n v="1.3310559949353089"/>
  </r>
  <r>
    <x v="177"/>
    <x v="177"/>
    <x v="177"/>
    <x v="177"/>
    <n v="35.026572574722508"/>
    <n v="2152.2850610930691"/>
    <n v="3.8380516651902001E-2"/>
    <n v="1.3443379519631913"/>
  </r>
  <r>
    <x v="178"/>
    <x v="178"/>
    <x v="178"/>
    <x v="178"/>
    <n v="35.038132821822074"/>
    <n v="2092.4662572900925"/>
    <n v="3.7512364988879068E-2"/>
    <n v="1.3143632269410128"/>
  </r>
  <r>
    <x v="179"/>
    <x v="179"/>
    <x v="179"/>
    <x v="179"/>
    <n v="35.041563798028413"/>
    <n v="4418.8111820674094"/>
    <n v="3.3546687220174731E-2"/>
    <n v="1.1755283804382572"/>
  </r>
  <r>
    <x v="180"/>
    <x v="180"/>
    <x v="180"/>
    <x v="43"/>
    <n v="35.035732639490078"/>
    <n v="5156.7471601028228"/>
    <n v="3.5279330492071506E-2"/>
    <n v="1.2360371908204273"/>
  </r>
  <r>
    <x v="181"/>
    <x v="181"/>
    <x v="181"/>
    <x v="180"/>
    <n v="35.030240075045704"/>
    <n v="1989.7155761135509"/>
    <n v="3.2054142883414898E-2"/>
    <n v="1.1228643206058413"/>
  </r>
  <r>
    <x v="182"/>
    <x v="182"/>
    <x v="182"/>
    <x v="181"/>
    <n v="35.037367885963974"/>
    <n v="3325.4709036074055"/>
    <n v="3.5521003403440617E-2"/>
    <n v="1.2445624639249273"/>
  </r>
  <r>
    <x v="183"/>
    <x v="183"/>
    <x v="183"/>
    <x v="182"/>
    <n v="35.034616246550925"/>
    <n v="6340.110430105502"/>
    <n v="3.5187056086199979E-2"/>
    <n v="1.2327650068258802"/>
  </r>
  <r>
    <x v="184"/>
    <x v="184"/>
    <x v="184"/>
    <x v="9"/>
    <n v="35.037025496919732"/>
    <n v="3144.9742200535984"/>
    <n v="3.0020551913568169E-2"/>
    <n v="1.0518308428272904"/>
  </r>
  <r>
    <x v="185"/>
    <x v="185"/>
    <x v="185"/>
    <x v="183"/>
    <n v="35.039570185568238"/>
    <n v="2523.4440272628417"/>
    <n v="2.7002992147387848E-2"/>
    <n v="0.94617323856874458"/>
  </r>
  <r>
    <x v="186"/>
    <x v="186"/>
    <x v="186"/>
    <x v="184"/>
    <n v="35.043785603408622"/>
    <n v="2664.2819167135167"/>
    <n v="2.7162282637796638E-2"/>
    <n v="0.9518692092581339"/>
  </r>
  <r>
    <x v="187"/>
    <x v="187"/>
    <x v="187"/>
    <x v="185"/>
    <n v="35.040912937510939"/>
    <n v="3166.6352779028966"/>
    <n v="2.6935814262544377E-2"/>
    <n v="0.94385552247478288"/>
  </r>
  <r>
    <x v="188"/>
    <x v="188"/>
    <x v="188"/>
    <x v="186"/>
    <n v="35.041498987088588"/>
    <n v="1900.8387626626209"/>
    <n v="2.7095584916893335E-2"/>
    <n v="0.94946991141989057"/>
  </r>
  <r>
    <x v="189"/>
    <x v="189"/>
    <x v="189"/>
    <x v="187"/>
    <n v="35.037323481185112"/>
    <n v="1927.5339353390591"/>
    <n v="2.7968343835220368E-2"/>
    <n v="0.97993591018762538"/>
  </r>
  <r>
    <x v="190"/>
    <x v="190"/>
    <x v="190"/>
    <x v="188"/>
    <n v="35.041177386347641"/>
    <n v="3044.1027999886137"/>
    <n v="2.8077621492810335E-2"/>
    <n v="0.98387291531629406"/>
  </r>
  <r>
    <x v="191"/>
    <x v="191"/>
    <x v="191"/>
    <x v="189"/>
    <n v="35.03323692012895"/>
    <n v="2306.113964535587"/>
    <n v="2.8191203374074457E-2"/>
    <n v="0.98762910686748906"/>
  </r>
  <r>
    <x v="192"/>
    <x v="192"/>
    <x v="192"/>
    <x v="190"/>
    <n v="35.039946001829684"/>
    <n v="2727.5886824845074"/>
    <n v="2.6227177467417557E-2"/>
    <n v="0.9189988822387154"/>
  </r>
  <r>
    <x v="193"/>
    <x v="193"/>
    <x v="193"/>
    <x v="191"/>
    <n v="35.037408957771923"/>
    <n v="3384.8265489292971"/>
    <n v="2.5256490131528274E-2"/>
    <n v="0.88492197357628688"/>
  </r>
  <r>
    <x v="194"/>
    <x v="194"/>
    <x v="194"/>
    <x v="192"/>
    <n v="35.043169609251855"/>
    <n v="2588.8016899929935"/>
    <n v="2.6076471690434026E-2"/>
    <n v="0.91380222025873403"/>
  </r>
  <r>
    <x v="195"/>
    <x v="195"/>
    <x v="195"/>
    <x v="193"/>
    <n v="35.028352360761616"/>
    <n v="1334.9230059144757"/>
    <n v="2.6856790567170163E-2"/>
    <n v="0.94074912326601523"/>
  </r>
  <r>
    <x v="196"/>
    <x v="196"/>
    <x v="196"/>
    <x v="194"/>
    <n v="35.046292213264223"/>
    <n v="1991.127957062432"/>
    <n v="2.6412936186599664E-2"/>
    <n v="0.92567547980587261"/>
  </r>
  <r>
    <x v="197"/>
    <x v="197"/>
    <x v="197"/>
    <x v="195"/>
    <n v="35.0343818850669"/>
    <n v="2850.8532225778035"/>
    <n v="2.5849114766631685E-2"/>
    <n v="0.90560775812509642"/>
  </r>
  <r>
    <x v="198"/>
    <x v="198"/>
    <x v="198"/>
    <x v="196"/>
    <n v="32.442836519258258"/>
    <n v="-8104.6677820640907"/>
    <n v="-5.1774877688597787E-2"/>
    <n v="-1.67972389265577"/>
  </r>
  <r>
    <x v="199"/>
    <x v="199"/>
    <x v="199"/>
    <x v="197"/>
    <n v="35.033835803173481"/>
    <n v="1978.198697583779"/>
    <n v="2.4475672131384241E-2"/>
    <n v="0.85747667862322452"/>
  </r>
  <r>
    <x v="200"/>
    <x v="200"/>
    <x v="200"/>
    <x v="198"/>
    <n v="35.033929043690975"/>
    <n v="3003.5066838528001"/>
    <n v="2.4102155913911127E-2"/>
    <n v="0.84439322008793927"/>
  </r>
  <r>
    <x v="201"/>
    <x v="201"/>
    <x v="201"/>
    <x v="199"/>
    <n v="32.43272552149309"/>
    <n v="-13020.903932117508"/>
    <n v="-5.3637173433881316E-2"/>
    <n v="-1.739599723729794"/>
  </r>
  <r>
    <x v="202"/>
    <x v="202"/>
    <x v="202"/>
    <x v="200"/>
    <n v="35.040462804545342"/>
    <n v="2057.7295639736112"/>
    <n v="2.418631926024483E-2"/>
    <n v="0.84749982041746752"/>
  </r>
  <r>
    <x v="203"/>
    <x v="203"/>
    <x v="203"/>
    <x v="201"/>
    <n v="35.045683808994283"/>
    <n v="2094.7956000453705"/>
    <n v="2.415082168855192E-2"/>
    <n v="0.84638206062439214"/>
  </r>
  <r>
    <x v="204"/>
    <x v="204"/>
    <x v="204"/>
    <x v="202"/>
    <n v="35.026956620284828"/>
    <n v="1394.9079823902721"/>
    <n v="2.4613004877381547E-2"/>
    <n v="0.86211865413490241"/>
  </r>
  <r>
    <x v="205"/>
    <x v="205"/>
    <x v="205"/>
    <x v="203"/>
    <n v="32.460276236630143"/>
    <n v="-7983.1870563894918"/>
    <n v="-4.8166299705313873E-2"/>
    <n v="-1.5634913937308053"/>
  </r>
  <r>
    <x v="206"/>
    <x v="206"/>
    <x v="206"/>
    <x v="204"/>
    <n v="35.037833933202954"/>
    <n v="3201.3449654733704"/>
    <n v="3.3480481032916898E-2"/>
    <n v="1.1730835344350936"/>
  </r>
  <r>
    <x v="207"/>
    <x v="207"/>
    <x v="207"/>
    <x v="205"/>
    <n v="32.440007282265533"/>
    <n v="-22561.476037731569"/>
    <n v="-4.3749328528510364E-2"/>
    <n v="-1.4192285360591035"/>
  </r>
  <r>
    <x v="208"/>
    <x v="208"/>
    <x v="208"/>
    <x v="206"/>
    <n v="32.439045525447767"/>
    <n v="-24080.147536947392"/>
    <n v="-4.2802274921107636E-2"/>
    <n v="-1.388464944758542"/>
  </r>
  <r>
    <x v="209"/>
    <x v="209"/>
    <x v="209"/>
    <x v="207"/>
    <n v="32.44863237358026"/>
    <n v="-10932.084471506649"/>
    <n v="-4.1050849450580171E-2"/>
    <n v="-1.3320439224450651"/>
  </r>
  <r>
    <x v="210"/>
    <x v="210"/>
    <x v="210"/>
    <x v="208"/>
    <n v="32.45007160044571"/>
    <n v="-11873.633337988576"/>
    <n v="-4.0574926637223063E-2"/>
    <n v="-1.3166592745607204"/>
  </r>
  <r>
    <x v="211"/>
    <x v="211"/>
    <x v="211"/>
    <x v="209"/>
    <n v="32.431428386981096"/>
    <n v="-8656.0800218145887"/>
    <n v="-4.0761158140926408E-2"/>
    <n v="-1.3219425812178662"/>
  </r>
  <r>
    <x v="212"/>
    <x v="212"/>
    <x v="212"/>
    <x v="210"/>
    <n v="32.451545737714831"/>
    <n v="-7884.4928536718071"/>
    <n v="-3.9816783393790772E-2"/>
    <n v="-1.2921161674322856"/>
  </r>
  <r>
    <x v="213"/>
    <x v="213"/>
    <x v="213"/>
    <x v="211"/>
    <n v="32.44491955360845"/>
    <n v="-11714.06812742172"/>
    <n v="-3.964039942521453E-2"/>
    <n v="-1.2861295704239921"/>
  </r>
  <r>
    <x v="214"/>
    <x v="214"/>
    <x v="214"/>
    <x v="212"/>
    <n v="32.43200684692583"/>
    <n v="-24446.642745246529"/>
    <n v="-3.9952370590448268E-2"/>
    <n v="-1.2957355565403366"/>
  </r>
  <r>
    <x v="215"/>
    <x v="215"/>
    <x v="215"/>
    <x v="213"/>
    <n v="32.433203612688608"/>
    <n v="-25094.744624888059"/>
    <n v="-3.9916231324247882E-2"/>
    <n v="-1.2946112579905107"/>
  </r>
  <r>
    <x v="216"/>
    <x v="216"/>
    <x v="216"/>
    <x v="214"/>
    <n v="32.436681487380653"/>
    <n v="-12227.325727171206"/>
    <n v="-3.9793077532127949E-2"/>
    <n v="-1.2907553813122776"/>
  </r>
  <r>
    <x v="217"/>
    <x v="217"/>
    <x v="217"/>
    <x v="215"/>
    <n v="32.417773736431585"/>
    <n v="-14539.218298544991"/>
    <n v="-4.0151770233768778E-2"/>
    <n v="-1.3016310025555049"/>
  </r>
  <r>
    <x v="218"/>
    <x v="218"/>
    <x v="218"/>
    <x v="216"/>
    <n v="32.424866020605094"/>
    <n v="-10459.699471094063"/>
    <n v="-3.9869318767803474E-2"/>
    <n v="-1.2927573193788238"/>
  </r>
  <r>
    <x v="219"/>
    <x v="219"/>
    <x v="219"/>
    <x v="217"/>
    <n v="35.040340208767354"/>
    <n v="3048.2669675376383"/>
    <n v="3.7773806199410759E-2"/>
    <n v="1.3236070202073984"/>
  </r>
  <r>
    <x v="220"/>
    <x v="220"/>
    <x v="220"/>
    <x v="218"/>
    <n v="35.043305976705263"/>
    <n v="3905.3894906624337"/>
    <n v="3.7816309763938731E-2"/>
    <n v="1.3252085139675716"/>
  </r>
  <r>
    <x v="221"/>
    <x v="221"/>
    <x v="221"/>
    <x v="219"/>
    <n v="32.448783197982117"/>
    <n v="-17088.199783146498"/>
    <n v="-3.8887953397361077E-2"/>
    <n v="-1.2618667688042016"/>
  </r>
  <r>
    <x v="222"/>
    <x v="222"/>
    <x v="222"/>
    <x v="220"/>
    <n v="32.46078413027594"/>
    <n v="-15724.598750871606"/>
    <n v="-3.8482549037878594E-2"/>
    <n v="-1.2491737171013351"/>
  </r>
  <r>
    <x v="223"/>
    <x v="223"/>
    <x v="223"/>
    <x v="221"/>
    <n v="32.471281999244596"/>
    <n v="-7464.6617653130961"/>
    <n v="-3.8110914119017472E-2"/>
    <n v="-1.2375102396076088"/>
  </r>
  <r>
    <x v="224"/>
    <x v="224"/>
    <x v="224"/>
    <x v="222"/>
    <n v="32.459814636670799"/>
    <n v="-8787.1746251168079"/>
    <n v="-3.7819129442436226E-2"/>
    <n v="-1.227601931421739"/>
  </r>
  <r>
    <x v="225"/>
    <x v="225"/>
    <x v="225"/>
    <x v="223"/>
    <n v="32.462081041000289"/>
    <n v="-7112.9304951302183"/>
    <n v="-3.7372513991049731E-2"/>
    <n v="-1.2131895778833734"/>
  </r>
  <r>
    <x v="226"/>
    <x v="226"/>
    <x v="226"/>
    <x v="224"/>
    <n v="32.452087746362594"/>
    <n v="-7416.0103973863879"/>
    <n v="-3.7511790459853339E-2"/>
    <n v="-1.2173359155263277"/>
  </r>
  <r>
    <x v="227"/>
    <x v="227"/>
    <x v="227"/>
    <x v="225"/>
    <n v="32.435521532333361"/>
    <n v="-6778.6935355186288"/>
    <n v="-3.8102062286410082E-2"/>
    <n v="-1.2358602617171612"/>
  </r>
  <r>
    <x v="228"/>
    <x v="228"/>
    <x v="228"/>
    <x v="226"/>
    <n v="32.448199249451818"/>
    <n v="-18237.540511290368"/>
    <n v="-3.8530947305503764E-2"/>
    <n v="-1.2502598554391149"/>
  </r>
  <r>
    <x v="229"/>
    <x v="229"/>
    <x v="229"/>
    <x v="227"/>
    <n v="32.458401783502985"/>
    <n v="-21352.478614122956"/>
    <n v="-3.942474785996751E-2"/>
    <n v="-1.2796643062521249"/>
  </r>
  <r>
    <x v="230"/>
    <x v="230"/>
    <x v="230"/>
    <x v="228"/>
    <n v="32.454468704967077"/>
    <n v="-9689.1417255677807"/>
    <n v="-4.0453345413472348E-2"/>
    <n v="-1.3128918327327617"/>
  </r>
  <r>
    <x v="231"/>
    <x v="231"/>
    <x v="231"/>
    <x v="229"/>
    <n v="32.454758717237183"/>
    <n v="-10308.323652469"/>
    <n v="-4.0389284172878584E-2"/>
    <n v="-1.310824472592701"/>
  </r>
  <r>
    <x v="232"/>
    <x v="232"/>
    <x v="232"/>
    <x v="230"/>
    <n v="32.457405324636653"/>
    <n v="-6649.1181199790153"/>
    <n v="-4.1460582106723924E-2"/>
    <n v="-1.3457029184333162"/>
  </r>
  <r>
    <x v="233"/>
    <x v="233"/>
    <x v="233"/>
    <x v="231"/>
    <n v="33.311460347998484"/>
    <n v="-3135.8431754034245"/>
    <n v="-1.8275493500814664E-2"/>
    <n v="-0.60878337709249164"/>
  </r>
  <r>
    <x v="234"/>
    <x v="234"/>
    <x v="234"/>
    <x v="232"/>
    <n v="33.321440871062336"/>
    <n v="-3031.5881473362097"/>
    <n v="-1.8461871701221946E-2"/>
    <n v="-0.61517616626140614"/>
  </r>
  <r>
    <x v="235"/>
    <x v="235"/>
    <x v="235"/>
    <x v="233"/>
    <n v="33.316724352683487"/>
    <n v="-7227.2096164114191"/>
    <n v="-1.9181570012811493E-2"/>
    <n v="-0.63906708076854002"/>
  </r>
  <r>
    <x v="236"/>
    <x v="236"/>
    <x v="236"/>
    <x v="234"/>
    <n v="33.32354910587835"/>
    <n v="-9616.5972767759813"/>
    <n v="-2.1199046870239418E-2"/>
    <n v="-0.70642747937824002"/>
  </r>
  <r>
    <x v="237"/>
    <x v="237"/>
    <x v="237"/>
    <x v="235"/>
    <n v="33.373661402981412"/>
    <n v="-3955.3969241768064"/>
    <n v="-1.8449333597851832E-2"/>
    <n v="-0.61572181260535586"/>
  </r>
  <r>
    <x v="238"/>
    <x v="238"/>
    <x v="238"/>
    <x v="236"/>
    <n v="33.330249902289054"/>
    <n v="-6889.334318043082"/>
    <n v="-2.1773849132893052E-2"/>
    <n v="-0.72572783293406529"/>
  </r>
  <r>
    <x v="239"/>
    <x v="239"/>
    <x v="239"/>
    <x v="237"/>
    <n v="31.87091499415342"/>
    <n v="-17036.011208230891"/>
    <n v="-7.0157711080173712E-2"/>
    <n v="-2.2359904460205922"/>
  </r>
  <r>
    <x v="240"/>
    <x v="240"/>
    <x v="240"/>
    <x v="238"/>
    <n v="30.835363484585205"/>
    <n v="-29622.531359267188"/>
    <n v="-0.10783112513232113"/>
    <n v="-3.325011938406913"/>
  </r>
  <r>
    <x v="241"/>
    <x v="241"/>
    <x v="241"/>
    <x v="239"/>
    <n v="30.722163023212453"/>
    <n v="-29102.396694840805"/>
    <n v="-0.11277106473533138"/>
    <n v="-3.464571035100096"/>
  </r>
  <r>
    <x v="242"/>
    <x v="242"/>
    <x v="242"/>
    <x v="240"/>
    <n v="30.750489889926612"/>
    <n v="-66930.591601891094"/>
    <n v="-0.11267639536043397"/>
    <n v="-3.4648543563643988"/>
  </r>
  <r>
    <x v="243"/>
    <x v="243"/>
    <x v="243"/>
    <x v="241"/>
    <n v="30.763479743387361"/>
    <n v="-80692.179157878156"/>
    <n v="-0.11252621538416881"/>
    <n v="-3.4616979475709204"/>
  </r>
  <r>
    <x v="244"/>
    <x v="244"/>
    <x v="244"/>
    <x v="242"/>
    <n v="30.754851135910783"/>
    <n v="-40391.611101341841"/>
    <n v="-0.11277186459916631"/>
    <n v="-3.4682819080664471"/>
  </r>
  <r>
    <x v="245"/>
    <x v="245"/>
    <x v="245"/>
    <x v="243"/>
    <n v="30.721555040092884"/>
    <n v="-67897.355854645371"/>
    <n v="-0.1141220960274035"/>
    <n v="-3.506008254396642"/>
  </r>
  <r>
    <x v="246"/>
    <x v="246"/>
    <x v="246"/>
    <x v="244"/>
    <n v="30.702370088622562"/>
    <n v="-54010.362320514105"/>
    <n v="-0.1150454110066725"/>
    <n v="-3.5321667857245509"/>
  </r>
  <r>
    <x v="247"/>
    <x v="247"/>
    <x v="247"/>
    <x v="245"/>
    <n v="30.732966843722689"/>
    <n v="-53112.743955342798"/>
    <n v="-0.11445039718518658"/>
    <n v="-3.5174002619432314"/>
  </r>
  <r>
    <x v="248"/>
    <x v="248"/>
    <x v="248"/>
    <x v="246"/>
    <n v="30.727268199644893"/>
    <n v="-35865.166564591229"/>
    <n v="-0.11483763623966582"/>
    <n v="-3.5286468481494717"/>
  </r>
  <r>
    <x v="249"/>
    <x v="249"/>
    <x v="249"/>
    <x v="247"/>
    <n v="30.734457415357504"/>
    <n v="-57487.689902465092"/>
    <n v="-0.11468202308792333"/>
    <n v="-3.524689754902826"/>
  </r>
  <r>
    <x v="250"/>
    <x v="250"/>
    <x v="250"/>
    <x v="248"/>
    <n v="30.731381915938421"/>
    <n v="-63465.947672983981"/>
    <n v="-0.11482811545466282"/>
    <n v="-3.528826670724714"/>
  </r>
  <r>
    <x v="251"/>
    <x v="251"/>
    <x v="251"/>
    <x v="249"/>
    <n v="30.728840185133308"/>
    <n v="-26934.624162252003"/>
    <n v="-0.1150296450842991"/>
    <n v="-3.534727580348032"/>
  </r>
  <r>
    <x v="252"/>
    <x v="252"/>
    <x v="252"/>
    <x v="250"/>
    <n v="30.721474959701656"/>
    <n v="-28151.902073451987"/>
    <n v="-0.11514941758342084"/>
    <n v="-3.5375599489132932"/>
  </r>
  <r>
    <x v="253"/>
    <x v="253"/>
    <x v="253"/>
    <x v="251"/>
    <n v="35.041288974681358"/>
    <n v="2678.6850897113909"/>
    <n v="2.1822346629690913E-2"/>
    <n v="0.76468315435666312"/>
  </r>
  <r>
    <x v="254"/>
    <x v="254"/>
    <x v="254"/>
    <x v="252"/>
    <n v="35.04067772128225"/>
    <n v="1664.8601336111024"/>
    <n v="2.1144731960896845E-2"/>
    <n v="0.74092573814468288"/>
  </r>
  <r>
    <x v="255"/>
    <x v="255"/>
    <x v="255"/>
    <x v="253"/>
    <n v="35.034656781384633"/>
    <n v="1385.749821905978"/>
    <n v="1.9551995176173342E-2"/>
    <n v="0.68499744038852106"/>
  </r>
  <r>
    <x v="256"/>
    <x v="256"/>
    <x v="256"/>
    <x v="254"/>
    <n v="35.038753278376987"/>
    <n v="2678.2517109541805"/>
    <n v="1.801905794213314E-2"/>
    <n v="0.63136532554318259"/>
  </r>
  <r>
    <x v="257"/>
    <x v="257"/>
    <x v="257"/>
    <x v="255"/>
    <n v="35.038732663116505"/>
    <n v="3072.6252104922896"/>
    <n v="1.7892725427573929E-2"/>
    <n v="0.62693842287130985"/>
  </r>
  <r>
    <x v="258"/>
    <x v="258"/>
    <x v="258"/>
    <x v="256"/>
    <n v="35.03676482973291"/>
    <n v="1487.3242577873461"/>
    <n v="1.720729140661419E-2"/>
    <n v="0.60288782237022542"/>
  </r>
  <r>
    <x v="259"/>
    <x v="259"/>
    <x v="259"/>
    <x v="257"/>
    <n v="35.033852769047201"/>
    <n v="2142.1395102210954"/>
    <n v="1.7816097135301478E-2"/>
    <n v="0.62416652395719563"/>
  </r>
  <r>
    <x v="260"/>
    <x v="260"/>
    <x v="260"/>
    <x v="258"/>
    <n v="35.033345976497301"/>
    <n v="1450.7721006355132"/>
    <n v="1.7436285166815068E-2"/>
    <n v="0.61085141079390026"/>
  </r>
  <r>
    <x v="261"/>
    <x v="261"/>
    <x v="261"/>
    <x v="259"/>
    <n v="35.044197023715427"/>
    <n v="1296.1154115164827"/>
    <n v="1.7570149674909476E-2"/>
    <n v="0.61573178694369723"/>
  </r>
  <r>
    <x v="262"/>
    <x v="262"/>
    <x v="262"/>
    <x v="260"/>
    <n v="35.027974326826929"/>
    <n v="1145.0618388757866"/>
    <n v="1.6493402915405575E-2"/>
    <n v="0.57773049388283881"/>
  </r>
  <r>
    <x v="263"/>
    <x v="263"/>
    <x v="263"/>
    <x v="261"/>
    <n v="35.03319389215617"/>
    <n v="1878.0445017455204"/>
    <n v="1.3692866686706806E-2"/>
    <n v="0.47970485357484555"/>
  </r>
  <r>
    <x v="264"/>
    <x v="264"/>
    <x v="264"/>
    <x v="262"/>
    <n v="35.037431412322661"/>
    <n v="2192.9262904056231"/>
    <n v="1.4279740095802566E-2"/>
    <n v="0.50032541419247623"/>
  </r>
  <r>
    <x v="265"/>
    <x v="265"/>
    <x v="265"/>
    <x v="263"/>
    <n v="35.031644552425355"/>
    <n v="1086.6523350871867"/>
    <n v="1.4367375736372657E-2"/>
    <n v="0.50331279994774736"/>
  </r>
  <r>
    <x v="266"/>
    <x v="266"/>
    <x v="266"/>
    <x v="264"/>
    <n v="35.037009958599874"/>
    <n v="1162.2922232379642"/>
    <n v="1.2798329826443536E-2"/>
    <n v="0.44841520958254794"/>
  </r>
  <r>
    <x v="267"/>
    <x v="267"/>
    <x v="267"/>
    <x v="265"/>
    <n v="35.03600266989185"/>
    <n v="1237.7474282869953"/>
    <n v="1.1240175724399186E-2"/>
    <n v="0.39381082669010348"/>
  </r>
  <r>
    <x v="268"/>
    <x v="268"/>
    <x v="268"/>
    <x v="266"/>
    <n v="32.508654655666675"/>
    <n v="-13645.703490110987"/>
    <n v="-6.5007901484589709E-2"/>
    <n v="-2.1133194192521274"/>
  </r>
  <r>
    <x v="269"/>
    <x v="269"/>
    <x v="269"/>
    <x v="267"/>
    <n v="32.463600232701637"/>
    <n v="-24602.300206889631"/>
    <n v="-6.8651384259446543E-2"/>
    <n v="-2.2286710940202581"/>
  </r>
  <r>
    <x v="270"/>
    <x v="270"/>
    <x v="270"/>
    <x v="268"/>
    <n v="32.460855844275905"/>
    <n v="-40516.934202054515"/>
    <n v="-6.9204826391314339E-2"/>
    <n v="-2.2464478932165957"/>
  </r>
  <r>
    <x v="271"/>
    <x v="271"/>
    <x v="271"/>
    <x v="269"/>
    <n v="32.445658701920422"/>
    <n v="-43991.499729441712"/>
    <n v="-7.129682101090648E-2"/>
    <n v="-2.3132723210517807"/>
  </r>
  <r>
    <x v="272"/>
    <x v="272"/>
    <x v="272"/>
    <x v="270"/>
    <n v="32.451194364410597"/>
    <n v="-20590.054400955152"/>
    <n v="-7.2538351551546656E-2"/>
    <n v="-2.3539561450731852"/>
  </r>
  <r>
    <x v="273"/>
    <x v="273"/>
    <x v="273"/>
    <x v="271"/>
    <n v="32.443489673266946"/>
    <n v="-19595.858329335868"/>
    <n v="-7.4137683716522768E-2"/>
    <n v="-2.4052851760569371"/>
  </r>
  <r>
    <x v="274"/>
    <x v="274"/>
    <x v="274"/>
    <x v="272"/>
    <n v="32.441553221169436"/>
    <n v="-26798.458529246273"/>
    <n v="-7.4850806299285505E-2"/>
    <n v="-2.4282764162057151"/>
  </r>
  <r>
    <x v="275"/>
    <x v="275"/>
    <x v="275"/>
    <x v="273"/>
    <n v="32.429802552116733"/>
    <n v="-44868.288002165733"/>
    <n v="-7.5480145631382625E-2"/>
    <n v="-2.4478062194307548"/>
  </r>
  <r>
    <x v="276"/>
    <x v="276"/>
    <x v="276"/>
    <x v="274"/>
    <n v="32.442092190887323"/>
    <n v="-35564.370296990208"/>
    <n v="-7.5587228626351186E-2"/>
    <n v="-2.4522078395497626"/>
  </r>
  <r>
    <x v="277"/>
    <x v="277"/>
    <x v="277"/>
    <x v="275"/>
    <n v="32.446736435935975"/>
    <n v="-39245.840611496242"/>
    <n v="-7.5662869194678059E-2"/>
    <n v="-2.4550131747464183"/>
  </r>
  <r>
    <x v="278"/>
    <x v="278"/>
    <x v="278"/>
    <x v="276"/>
    <n v="32.450468695478698"/>
    <n v="-49645.471833786462"/>
    <n v="-7.5650723681793194E-2"/>
    <n v="-2.4549014406263394"/>
  </r>
  <r>
    <x v="279"/>
    <x v="279"/>
    <x v="279"/>
    <x v="277"/>
    <n v="32.447586341879649"/>
    <n v="-21224.537265668798"/>
    <n v="-7.5787000211631428E-2"/>
    <n v="-2.4591052329589616"/>
  </r>
  <r>
    <x v="280"/>
    <x v="280"/>
    <x v="280"/>
    <x v="278"/>
    <n v="32.442181315826382"/>
    <n v="-28530.903599274228"/>
    <n v="-7.5951162453877702E-2"/>
    <n v="-2.4640213834764859"/>
  </r>
  <r>
    <x v="281"/>
    <x v="281"/>
    <x v="281"/>
    <x v="279"/>
    <n v="36.723891143921357"/>
    <n v="3859.8417371552641"/>
    <n v="4.9414376125989118E-2"/>
    <n v="1.8146881697956108"/>
  </r>
  <r>
    <x v="282"/>
    <x v="282"/>
    <x v="282"/>
    <x v="280"/>
    <n v="36.666215700229003"/>
    <n v="3367.1531624563358"/>
    <n v="4.7754851451815392E-2"/>
    <n v="1.7509896840646573"/>
  </r>
  <r>
    <x v="283"/>
    <x v="283"/>
    <x v="283"/>
    <x v="115"/>
    <n v="36.767999660937022"/>
    <n v="5215.3719691212173"/>
    <n v="5.0496763801913591E-2"/>
    <n v="1.856664994347176"/>
  </r>
  <r>
    <x v="284"/>
    <x v="284"/>
    <x v="284"/>
    <x v="281"/>
    <n v="36.769869511290864"/>
    <n v="9083.8506025166134"/>
    <n v="5.051033297845875E-2"/>
    <n v="1.8572583525897799"/>
  </r>
  <r>
    <x v="285"/>
    <x v="285"/>
    <x v="285"/>
    <x v="282"/>
    <n v="36.731836017268471"/>
    <n v="6845.9229814213177"/>
    <n v="4.9594394956617424E-2"/>
    <n v="1.8216931829221175"/>
  </r>
  <r>
    <x v="286"/>
    <x v="286"/>
    <x v="286"/>
    <x v="283"/>
    <n v="36.747478765785893"/>
    <n v="3045.2207187826789"/>
    <n v="4.9890929577253489E-2"/>
    <n v="1.8333658752454418"/>
  </r>
  <r>
    <x v="287"/>
    <x v="287"/>
    <x v="287"/>
    <x v="284"/>
    <n v="36.779559090695642"/>
    <n v="4407.4261894253286"/>
    <n v="5.0776940133790915E-2"/>
    <n v="1.8675534700954783"/>
  </r>
  <r>
    <x v="288"/>
    <x v="288"/>
    <x v="288"/>
    <x v="285"/>
    <n v="36.732049348838828"/>
    <n v="3256.5604874305282"/>
    <n v="4.6809501423376261E-2"/>
    <n v="1.719408916277998"/>
  </r>
  <r>
    <x v="289"/>
    <x v="289"/>
    <x v="289"/>
    <x v="286"/>
    <n v="36.77462101049673"/>
    <n v="6077.923715653902"/>
    <n v="4.6582568156288737E-2"/>
    <n v="1.7130562896431516"/>
  </r>
  <r>
    <x v="290"/>
    <x v="290"/>
    <x v="290"/>
    <x v="287"/>
    <n v="36.754061551555857"/>
    <n v="4141.9221445383446"/>
    <n v="4.3493982954865389E-2"/>
    <n v="1.5985805266454436"/>
  </r>
  <r>
    <x v="291"/>
    <x v="291"/>
    <x v="291"/>
    <x v="288"/>
    <n v="36.762180772396931"/>
    <n v="4108.0700092923944"/>
    <n v="3.3934764465000614E-2"/>
    <n v="1.2475159457310643"/>
  </r>
  <r>
    <x v="292"/>
    <x v="292"/>
    <x v="292"/>
    <x v="289"/>
    <n v="36.759686919393822"/>
    <n v="5005.9697524763178"/>
    <n v="2.9533933663010315E-2"/>
    <n v="1.0856581549504052"/>
  </r>
  <r>
    <x v="293"/>
    <x v="293"/>
    <x v="293"/>
    <x v="290"/>
    <n v="36.74731599493596"/>
    <n v="2781.1642922964675"/>
    <n v="3.0665910617605978E-2"/>
    <n v="1.1268899077376286"/>
  </r>
  <r>
    <x v="294"/>
    <x v="294"/>
    <x v="294"/>
    <x v="291"/>
    <n v="36.683705374717739"/>
    <n v="2853.1031268945808"/>
    <n v="2.8047515933493142E-2"/>
    <n v="1.0288868109969638"/>
  </r>
  <r>
    <x v="295"/>
    <x v="295"/>
    <x v="295"/>
    <x v="292"/>
    <n v="36.730263328150052"/>
    <n v="2971.5355254195019"/>
    <n v="2.873945218564275E-2"/>
    <n v="1.0556076466854358"/>
  </r>
  <r>
    <x v="296"/>
    <x v="296"/>
    <x v="296"/>
    <x v="293"/>
    <n v="36.681080746398301"/>
    <n v="2563.8769384836778"/>
    <n v="2.5877985718752269E-2"/>
    <n v="0.94923248370369406"/>
  </r>
  <r>
    <x v="297"/>
    <x v="297"/>
    <x v="297"/>
    <x v="294"/>
    <n v="36.7695755260551"/>
    <n v="2712.3021708061278"/>
    <n v="2.7825291804565281E-2"/>
    <n v="1.023124168542485"/>
  </r>
  <r>
    <x v="298"/>
    <x v="298"/>
    <x v="298"/>
    <x v="295"/>
    <n v="36.716509774781947"/>
    <n v="7013.509537493781"/>
    <n v="2.8169572521152642E-2"/>
    <n v="1.0342883848243298"/>
  </r>
  <r>
    <x v="299"/>
    <x v="299"/>
    <x v="299"/>
    <x v="296"/>
    <n v="36.697985610425548"/>
    <n v="8592.012177281722"/>
    <n v="2.8382546250430286E-2"/>
    <n v="1.0415822738855283"/>
  </r>
  <r>
    <x v="300"/>
    <x v="300"/>
    <x v="300"/>
    <x v="297"/>
    <n v="36.699236951443091"/>
    <n v="3781.4938552657113"/>
    <n v="2.9423221606977086E-2"/>
    <n v="1.0798097816292722"/>
  </r>
  <r>
    <x v="301"/>
    <x v="301"/>
    <x v="301"/>
    <x v="298"/>
    <n v="36.765071748818663"/>
    <n v="4533.3311576645938"/>
    <n v="3.1224456927479206E-2"/>
    <n v="1.1479693992566711"/>
  </r>
  <r>
    <x v="302"/>
    <x v="302"/>
    <x v="302"/>
    <x v="299"/>
    <n v="36.76696370918345"/>
    <n v="2460.5053129474254"/>
    <n v="2.7483217519998344E-2"/>
    <n v="1.0104744611693739"/>
  </r>
  <r>
    <x v="303"/>
    <x v="303"/>
    <x v="303"/>
    <x v="300"/>
    <n v="36.734714534682389"/>
    <n v="1879.3348264228407"/>
    <n v="2.2920986337853163E-2"/>
    <n v="0.84199588997439101"/>
  </r>
  <r>
    <x v="304"/>
    <x v="304"/>
    <x v="304"/>
    <x v="301"/>
    <n v="36.725232409162537"/>
    <n v="1411.3947227943718"/>
    <n v="2.0248260912121289E-2"/>
    <n v="0.74362208787901574"/>
  </r>
  <r>
    <x v="305"/>
    <x v="305"/>
    <x v="305"/>
    <x v="302"/>
    <n v="36.7318480976909"/>
    <n v="3332.6783485470223"/>
    <n v="1.9997782523090347E-2"/>
    <n v="0.73455550992881247"/>
  </r>
  <r>
    <x v="306"/>
    <x v="306"/>
    <x v="306"/>
    <x v="303"/>
    <n v="36.768663029011535"/>
    <n v="4814.300987779221"/>
    <n v="1.9455407692465111E-2"/>
    <n v="0.71534932953628838"/>
  </r>
  <r>
    <x v="307"/>
    <x v="307"/>
    <x v="307"/>
    <x v="304"/>
    <n v="36.769732840310766"/>
    <n v="2829.8444074806757"/>
    <n v="1.9059248321412304E-2"/>
    <n v="0.70080346891547196"/>
  </r>
  <r>
    <x v="308"/>
    <x v="308"/>
    <x v="308"/>
    <x v="305"/>
    <n v="36.797871821250887"/>
    <n v="4087.6836088382115"/>
    <n v="1.9904100174470536E-2"/>
    <n v="0.73242852693750427"/>
  </r>
  <r>
    <x v="309"/>
    <x v="309"/>
    <x v="309"/>
    <x v="306"/>
    <n v="39.398444559765444"/>
    <n v="8295.2395938480622"/>
    <n v="8.3583718941392215E-2"/>
    <n v="3.293068516811458"/>
  </r>
  <r>
    <x v="310"/>
    <x v="310"/>
    <x v="310"/>
    <x v="307"/>
    <n v="39.39191288579886"/>
    <n v="4884.0887731852563"/>
    <n v="6.7128908051844308E-2"/>
    <n v="2.6443360980970527"/>
  </r>
  <r>
    <x v="311"/>
    <x v="311"/>
    <x v="311"/>
    <x v="308"/>
    <n v="37.621246461929466"/>
    <n v="2381.3719945315388"/>
    <n v="2.7413856087766666E-2"/>
    <n v="1.0313434363497354"/>
  </r>
  <r>
    <x v="312"/>
    <x v="312"/>
    <x v="312"/>
    <x v="309"/>
    <n v="37.659270247771417"/>
    <n v="3628.6005657585047"/>
    <n v="2.5887546681730662E-2"/>
    <n v="0.97490611653909309"/>
  </r>
  <r>
    <x v="313"/>
    <x v="313"/>
    <x v="313"/>
    <x v="310"/>
    <n v="37.658693248120642"/>
    <n v="4026.4777872465784"/>
    <n v="2.5051610507539634E-2"/>
    <n v="0.94341091547483091"/>
  </r>
  <r>
    <x v="314"/>
    <x v="314"/>
    <x v="314"/>
    <x v="311"/>
    <n v="37.660380475836121"/>
    <n v="2121.2823827923421"/>
    <n v="2.8621255972755125E-2"/>
    <n v="1.0778873896302552"/>
  </r>
  <r>
    <x v="315"/>
    <x v="315"/>
    <x v="315"/>
    <x v="312"/>
    <n v="37.749648569710068"/>
    <n v="2135.685822104133"/>
    <n v="2.8062988860870722E-2"/>
    <n v="1.0593679673135581"/>
  </r>
  <r>
    <x v="316"/>
    <x v="316"/>
    <x v="316"/>
    <x v="313"/>
    <n v="37.610799315016948"/>
    <n v="1306.4999669896351"/>
    <n v="2.3204650920101266E-2"/>
    <n v="0.87274546893095195"/>
  </r>
  <r>
    <x v="317"/>
    <x v="317"/>
    <x v="317"/>
    <x v="314"/>
    <n v="37.623147537686741"/>
    <n v="1146.9235884256195"/>
    <n v="2.3199786806025656E-2"/>
    <n v="0.87284900184598135"/>
  </r>
  <r>
    <x v="318"/>
    <x v="318"/>
    <x v="318"/>
    <x v="315"/>
    <n v="37.539646933138044"/>
    <n v="1035.9035308727834"/>
    <n v="1.8823273796252198E-2"/>
    <n v="0.70661905243709644"/>
  </r>
  <r>
    <x v="319"/>
    <x v="319"/>
    <x v="319"/>
    <x v="316"/>
    <n v="37.602451291346988"/>
    <n v="2813.2704435948981"/>
    <n v="1.8779152830913699E-2"/>
    <n v="0.70614217961719328"/>
  </r>
  <r>
    <x v="320"/>
    <x v="320"/>
    <x v="320"/>
    <x v="317"/>
    <n v="37.627136761747252"/>
    <n v="3787.232909539598"/>
    <n v="2.0960357552968233E-2"/>
    <n v="0.78867824022065769"/>
  </r>
  <r>
    <x v="321"/>
    <x v="321"/>
    <x v="321"/>
    <x v="318"/>
    <n v="37.615982531095923"/>
    <n v="1965.6266064004594"/>
    <n v="2.5907333381374742E-2"/>
    <n v="0.97452979990107058"/>
  </r>
  <r>
    <x v="322"/>
    <x v="322"/>
    <x v="322"/>
    <x v="319"/>
    <n v="37.576549448485032"/>
    <n v="1894.5449738594907"/>
    <n v="2.1949621040405393E-2"/>
    <n v="0.82479102040030072"/>
  </r>
  <r>
    <x v="323"/>
    <x v="323"/>
    <x v="323"/>
    <x v="320"/>
    <n v="37.616695947189413"/>
    <n v="1473.4376618776005"/>
    <n v="2.3525392711619898E-2"/>
    <n v="0.88494754467123149"/>
  </r>
  <r>
    <x v="324"/>
    <x v="324"/>
    <x v="324"/>
    <x v="321"/>
    <n v="37.590320186165954"/>
    <n v="1119.5493038730783"/>
    <n v="2.3069647414669006E-2"/>
    <n v="0.86719543289936352"/>
  </r>
  <r>
    <x v="325"/>
    <x v="325"/>
    <x v="325"/>
    <x v="322"/>
    <n v="37.502484473233103"/>
    <n v="1002.7387339091583"/>
    <n v="1.9645795821551851E-2"/>
    <n v="0.73676615276205604"/>
  </r>
  <r>
    <x v="326"/>
    <x v="326"/>
    <x v="326"/>
    <x v="323"/>
    <n v="42.134209398922721"/>
    <n v="6781.4239559181224"/>
    <n v="0.1256426006203771"/>
    <n v="5.2938516439641861"/>
  </r>
  <r>
    <x v="327"/>
    <x v="327"/>
    <x v="327"/>
    <x v="324"/>
    <n v="42.333317766051586"/>
    <n v="6318.8942880507166"/>
    <n v="0.13303500382553574"/>
    <n v="5.6318130909542932"/>
  </r>
  <r>
    <x v="328"/>
    <x v="328"/>
    <x v="328"/>
    <x v="325"/>
    <n v="42.360856891071755"/>
    <n v="4326.64685141886"/>
    <n v="0.13858595672189586"/>
    <n v="5.8706198798084941"/>
  </r>
  <r>
    <x v="329"/>
    <x v="329"/>
    <x v="329"/>
    <x v="326"/>
    <n v="41.919382017893916"/>
    <n v="3354.282155374498"/>
    <n v="0.12483221903723672"/>
    <n v="5.2328894779633357"/>
  </r>
  <r>
    <x v="330"/>
    <x v="330"/>
    <x v="330"/>
    <x v="327"/>
    <n v="41.870498236239676"/>
    <n v="4856.4515295137098"/>
    <n v="0.11982172634828449"/>
    <n v="5.0169953817290391"/>
  </r>
  <r>
    <x v="331"/>
    <x v="331"/>
    <x v="331"/>
    <x v="328"/>
    <n v="42.836997651692357"/>
    <n v="4316.5821667684431"/>
    <n v="0.14212639895528828"/>
    <n v="6.0882682182911747"/>
  </r>
  <r>
    <x v="332"/>
    <x v="332"/>
    <x v="332"/>
    <x v="329"/>
    <n v="42.928021325852136"/>
    <n v="5056.9691303282416"/>
    <n v="0.13386491276404958"/>
    <n v="5.7465558299184565"/>
  </r>
  <r>
    <x v="333"/>
    <x v="333"/>
    <x v="333"/>
    <x v="330"/>
    <n v="42.717340622819343"/>
    <n v="6165.6289137586209"/>
    <n v="0.13169297864523316"/>
    <n v="5.6255738264220998"/>
  </r>
  <r>
    <x v="334"/>
    <x v="334"/>
    <x v="334"/>
    <x v="331"/>
    <n v="42.708716416712157"/>
    <n v="8441.3818668242602"/>
    <n v="9.5575481251399225E-2"/>
    <n v="4.0819061251567987"/>
  </r>
  <r>
    <x v="335"/>
    <x v="335"/>
    <x v="335"/>
    <x v="258"/>
    <n v="42.542243296754357"/>
    <n v="7859.943125401318"/>
    <n v="7.7792083363492179E-2"/>
    <n v="3.3094497370110814"/>
  </r>
  <r>
    <x v="336"/>
    <x v="336"/>
    <x v="336"/>
    <x v="332"/>
    <n v="42.175227788327248"/>
    <n v="7843.2729827821313"/>
    <n v="7.462629075785146E-2"/>
    <n v="3.1473808117103257"/>
  </r>
  <r>
    <x v="337"/>
    <x v="337"/>
    <x v="337"/>
    <x v="333"/>
    <n v="40.654159211119762"/>
    <n v="2686.0965648113779"/>
    <n v="3.0447869107761157E-2"/>
    <n v="1.2378325183462571"/>
  </r>
  <r>
    <x v="338"/>
    <x v="338"/>
    <x v="338"/>
    <x v="334"/>
    <n v="40.129130767500207"/>
    <n v="1935.4389833163586"/>
    <n v="2.7034907104575935E-2"/>
    <n v="1.0848873224867481"/>
  </r>
  <r>
    <x v="339"/>
    <x v="339"/>
    <x v="339"/>
    <x v="335"/>
    <n v="40.202208839634686"/>
    <n v="493.59314511568664"/>
    <n v="8.9749720969119033E-3"/>
    <n v="0.36081370256994638"/>
  </r>
  <r>
    <x v="340"/>
    <x v="340"/>
    <x v="340"/>
    <x v="336"/>
    <n v="40.691839921538921"/>
    <n v="264.88672043508268"/>
    <n v="3.4010336240300923E-3"/>
    <n v="0.13839431579680392"/>
  </r>
  <r>
    <x v="341"/>
    <x v="341"/>
    <x v="341"/>
    <x v="337"/>
    <n v="39.938942024880845"/>
    <n v="-4628.7178582004271"/>
    <n v="-3.0782165759080087E-2"/>
    <n v="-1.2294071336521719"/>
  </r>
  <r>
    <x v="342"/>
    <x v="342"/>
    <x v="342"/>
    <x v="338"/>
    <n v="38.597115086780676"/>
    <n v="-7228.3617871301103"/>
    <n v="-6.905503524692061E-2"/>
    <n v="-2.6653251427470908"/>
  </r>
  <r>
    <x v="343"/>
    <x v="343"/>
    <x v="343"/>
    <x v="339"/>
    <n v="40.558744588237964"/>
    <n v="-960.13771902139706"/>
    <n v="-1.0653810626163881E-2"/>
    <n v="-0.4321051840780365"/>
  </r>
  <r>
    <x v="344"/>
    <x v="344"/>
    <x v="344"/>
    <x v="340"/>
    <n v="40.529523749753082"/>
    <n v="-1588.8122620150825"/>
    <n v="-2.1064672398487898E-2"/>
    <n v="-0.85374114025528347"/>
  </r>
  <r>
    <x v="345"/>
    <x v="345"/>
    <x v="345"/>
    <x v="341"/>
    <n v="39.522541986733501"/>
    <n v="-7503.7091491910978"/>
    <n v="-4.6363607058856574E-2"/>
    <n v="-1.8324076066400727"/>
  </r>
  <r>
    <x v="346"/>
    <x v="346"/>
    <x v="346"/>
    <x v="342"/>
    <n v="38.153321377917628"/>
    <n v="-13089.636638529919"/>
    <n v="-8.2530640515828452E-2"/>
    <n v="-3.1488180511257924"/>
  </r>
  <r>
    <x v="347"/>
    <x v="347"/>
    <x v="347"/>
    <x v="343"/>
    <n v="38.44773329059791"/>
    <n v="-22144.013923359802"/>
    <n v="-7.9343034948632776E-2"/>
    <n v="-3.0505598461716219"/>
  </r>
  <r>
    <x v="348"/>
    <x v="348"/>
    <x v="348"/>
    <x v="344"/>
    <n v="38.258855342956103"/>
    <n v="-33213.689146686986"/>
    <n v="-8.9924462347770989E-2"/>
    <n v="-3.4404069967564723"/>
  </r>
  <r>
    <x v="349"/>
    <x v="349"/>
    <x v="349"/>
    <x v="345"/>
    <n v="38.320403222281669"/>
    <n v="-14827.212930513022"/>
    <n v="-8.3533543277809721E-2"/>
    <n v="-3.2010390609915849"/>
  </r>
  <r>
    <x v="350"/>
    <x v="350"/>
    <x v="350"/>
    <x v="346"/>
    <n v="38.44798102142591"/>
    <n v="-22243.009573643387"/>
    <n v="-7.8806998254695101E-2"/>
    <n v="-3.029969973252062"/>
  </r>
  <r>
    <x v="351"/>
    <x v="351"/>
    <x v="351"/>
    <x v="347"/>
    <n v="38.541765489673558"/>
    <n v="-13533.203350427299"/>
    <n v="-8.1506699695066923E-2"/>
    <n v="-3.141412105484517"/>
  </r>
  <r>
    <x v="352"/>
    <x v="352"/>
    <x v="352"/>
    <x v="348"/>
    <n v="38.528072020739614"/>
    <n v="-12226.523642888875"/>
    <n v="-8.2106249891076552E-2"/>
    <n v="-3.163395509156242"/>
  </r>
  <r>
    <x v="353"/>
    <x v="353"/>
    <x v="353"/>
    <x v="349"/>
    <n v="38.267614012834947"/>
    <n v="-19076.625749764818"/>
    <n v="-9.4271133374013522E-2"/>
    <n v="-3.6075313445092321"/>
  </r>
  <r>
    <x v="354"/>
    <x v="354"/>
    <x v="354"/>
    <x v="350"/>
    <n v="38.418100314414481"/>
    <n v="-25173.183419748908"/>
    <n v="-9.1757848308279058E-2"/>
    <n v="-3.5251622209422919"/>
  </r>
  <r>
    <x v="355"/>
    <x v="355"/>
    <x v="355"/>
    <x v="351"/>
    <n v="38.239849378153444"/>
    <n v="-30211.230109275552"/>
    <n v="-9.5554637186369001E-2"/>
    <n v="-3.6539949333908504"/>
  </r>
  <r>
    <x v="356"/>
    <x v="356"/>
    <x v="356"/>
    <x v="352"/>
    <n v="38.280863274259787"/>
    <n v="-16811.101440277998"/>
    <n v="-9.6708120694063121E-2"/>
    <n v="-3.7020703458000437"/>
  </r>
  <r>
    <x v="357"/>
    <x v="357"/>
    <x v="357"/>
    <x v="353"/>
    <n v="40.798779783687969"/>
    <n v="-5623.8275750364119"/>
    <n v="-2.7491630167660864E-2"/>
    <n v="-1.1216249651049883"/>
  </r>
  <r>
    <x v="358"/>
    <x v="358"/>
    <x v="358"/>
    <x v="354"/>
    <n v="40.678160305645306"/>
    <n v="-10232.407559066429"/>
    <n v="-3.2340638326499631E-2"/>
    <n v="-1.3155576702322485"/>
  </r>
  <r>
    <x v="359"/>
    <x v="359"/>
    <x v="359"/>
    <x v="355"/>
    <n v="41.174555016820023"/>
    <n v="-9678.7693697682698"/>
    <n v="-1.990572979059383E-2"/>
    <n v="-0.81960956641275895"/>
  </r>
  <r>
    <x v="360"/>
    <x v="360"/>
    <x v="360"/>
    <x v="356"/>
    <n v="41.174202183195689"/>
    <n v="-2839.2546404970053"/>
    <n v="-2.0621150065878526E-2"/>
    <n v="-0.84905940206250163"/>
  </r>
  <r>
    <x v="361"/>
    <x v="361"/>
    <x v="361"/>
    <x v="357"/>
    <n v="41.148813010291065"/>
    <n v="-925.40266315355984"/>
    <n v="-1.9237955768392264E-2"/>
    <n v="-0.7916190446138236"/>
  </r>
  <r>
    <x v="362"/>
    <x v="362"/>
    <x v="362"/>
    <x v="358"/>
    <n v="41.166715987499295"/>
    <n v="-2221.4272647581965"/>
    <n v="-2.0165071470386171E-2"/>
    <n v="-0.83012977008901212"/>
  </r>
  <r>
    <x v="363"/>
    <x v="363"/>
    <x v="363"/>
    <x v="359"/>
    <n v="41.175514068825507"/>
    <n v="-1431.3807095487136"/>
    <n v="-2.0729225092516047E-2"/>
    <n v="-0.85353649943274512"/>
  </r>
  <r>
    <x v="364"/>
    <x v="364"/>
    <x v="364"/>
    <x v="360"/>
    <n v="41.182381514620822"/>
    <n v="-2696.1135629242053"/>
    <n v="-2.0224790151518249E-2"/>
    <n v="-0.8329050240729704"/>
  </r>
  <r>
    <x v="365"/>
    <x v="365"/>
    <x v="365"/>
    <x v="361"/>
    <n v="38.592741977680575"/>
    <n v="-19334.260485053208"/>
    <n v="-8.9349345063571978E-2"/>
    <n v="-3.4482362199131815"/>
  </r>
  <r>
    <x v="366"/>
    <x v="366"/>
    <x v="366"/>
    <x v="362"/>
    <n v="38.573046493313797"/>
    <n v="-32958.036317650287"/>
    <n v="-9.0282308551920848E-2"/>
    <n v="-3.4824636852969451"/>
  </r>
  <r>
    <x v="367"/>
    <x v="367"/>
    <x v="367"/>
    <x v="363"/>
    <n v="38.609783000603443"/>
    <n v="-10009.012067874704"/>
    <n v="-8.9237565841041713E-2"/>
    <n v="-3.4454430526246829"/>
  </r>
  <r>
    <x v="368"/>
    <x v="368"/>
    <x v="368"/>
    <x v="148"/>
    <n v="38.6019452755678"/>
    <n v="-23918.007759277592"/>
    <n v="-8.8225299900316856E-2"/>
    <n v="-3.405668198672589"/>
  </r>
  <r>
    <x v="369"/>
    <x v="369"/>
    <x v="369"/>
    <x v="364"/>
    <n v="38.583156225415792"/>
    <n v="-21921.436943246721"/>
    <n v="-8.9179218478261213E-2"/>
    <n v="-3.4408157186072392"/>
  </r>
  <r>
    <x v="370"/>
    <x v="370"/>
    <x v="370"/>
    <x v="365"/>
    <n v="38.580192906044267"/>
    <n v="-16032.635975953599"/>
    <n v="-8.9871649272927845E-2"/>
    <n v="-3.4672655657339098"/>
  </r>
  <r>
    <x v="371"/>
    <x v="371"/>
    <x v="371"/>
    <x v="366"/>
    <n v="38.559319832825786"/>
    <n v="-19544.395976122294"/>
    <n v="-8.8659381287308131E-2"/>
    <n v="-3.4186454392377637"/>
  </r>
  <r>
    <x v="372"/>
    <x v="372"/>
    <x v="372"/>
    <x v="367"/>
    <n v="38.583249452216492"/>
    <n v="-15794.755238132086"/>
    <n v="-8.7007055550353415E-2"/>
    <n v="-3.3570149284021435"/>
  </r>
  <r>
    <x v="373"/>
    <x v="373"/>
    <x v="373"/>
    <x v="368"/>
    <n v="41.176475937326856"/>
    <n v="-1552.3498032308271"/>
    <n v="-1.8663326185784056E-2"/>
    <n v="-0.76849000159941938"/>
  </r>
  <r>
    <x v="374"/>
    <x v="374"/>
    <x v="374"/>
    <x v="369"/>
    <n v="41.164228773396879"/>
    <n v="-1573.3161509820929"/>
    <n v="-2.0460636785851988E-2"/>
    <n v="-0.84224633350219114"/>
  </r>
  <r>
    <x v="375"/>
    <x v="375"/>
    <x v="375"/>
    <x v="370"/>
    <n v="41.176658230298401"/>
    <n v="-2584.7545615433046"/>
    <n v="-2.0868459017786559E-2"/>
    <n v="-0.85929340476838578"/>
  </r>
  <r>
    <x v="376"/>
    <x v="376"/>
    <x v="376"/>
    <x v="371"/>
    <n v="41.175042317084973"/>
    <n v="-2585.2299094533955"/>
    <n v="-2.1399568093845339E-2"/>
    <n v="-0.88112812183142319"/>
  </r>
  <r>
    <x v="377"/>
    <x v="377"/>
    <x v="377"/>
    <x v="372"/>
    <n v="41.181874171201407"/>
    <n v="-1453.9961536023766"/>
    <n v="-2.0891539565057498E-2"/>
    <n v="-0.86035275361087371"/>
  </r>
  <r>
    <x v="378"/>
    <x v="378"/>
    <x v="378"/>
    <x v="373"/>
    <n v="41.175070170680335"/>
    <n v="-1729.2433390215592"/>
    <n v="-2.0406869775181306E-2"/>
    <n v="-0.84025429495702586"/>
  </r>
  <r>
    <x v="379"/>
    <x v="379"/>
    <x v="379"/>
    <x v="374"/>
    <n v="41.180873973337818"/>
    <n v="-1326.4499517194417"/>
    <n v="-2.0516140120290436E-2"/>
    <n v="-0.84487258071302018"/>
  </r>
  <r>
    <x v="380"/>
    <x v="380"/>
    <x v="380"/>
    <x v="375"/>
    <n v="41.184914267648857"/>
    <n v="-1149.9699977573473"/>
    <n v="-1.9309901155886405E-2"/>
    <n v="-0.79527662362195528"/>
  </r>
  <r>
    <x v="381"/>
    <x v="381"/>
    <x v="381"/>
    <x v="376"/>
    <n v="41.16645338767848"/>
    <n v="-1256.9913544441806"/>
    <n v="-1.5895034428110723E-2"/>
    <n v="-0.65434219388036474"/>
  </r>
  <r>
    <x v="382"/>
    <x v="382"/>
    <x v="382"/>
    <x v="377"/>
    <n v="41.180506141486333"/>
    <n v="-2586.9296930812998"/>
    <n v="-1.7310355116768195E-2"/>
    <n v="-0.71284918519738216"/>
  </r>
  <r>
    <x v="383"/>
    <x v="383"/>
    <x v="383"/>
    <x v="378"/>
    <n v="41.173764463294283"/>
    <n v="-2922.9471741509042"/>
    <n v="-1.7130918304433591E-2"/>
    <n v="-0.70534439530668536"/>
  </r>
  <r>
    <x v="384"/>
    <x v="384"/>
    <x v="384"/>
    <x v="379"/>
    <n v="41.181423222733052"/>
    <n v="-1259.6451049533352"/>
    <n v="-1.6852728421221042E-2"/>
    <n v="-0.69401934157208556"/>
  </r>
  <r>
    <x v="385"/>
    <x v="385"/>
    <x v="385"/>
    <x v="380"/>
    <n v="41.180521425988928"/>
    <n v="-966.80794650503958"/>
    <n v="-1.0725131073093122E-2"/>
    <n v="-0.44166648995205099"/>
  </r>
  <r>
    <x v="386"/>
    <x v="386"/>
    <x v="386"/>
    <x v="381"/>
    <n v="41.172899327011379"/>
    <n v="-1307.498187614503"/>
    <n v="-1.3365438407323552E-2"/>
    <n v="-0.55029385000610398"/>
  </r>
  <r>
    <x v="387"/>
    <x v="387"/>
    <x v="387"/>
    <x v="382"/>
    <n v="41.177691243226469"/>
    <n v="-1348.1097293255516"/>
    <n v="-2.146808995832233E-2"/>
    <n v="-0.8840063798856076"/>
  </r>
  <r>
    <x v="388"/>
    <x v="388"/>
    <x v="388"/>
    <x v="383"/>
    <n v="41.18254320982696"/>
    <n v="-1401.1607277611329"/>
    <n v="-2.1053942719736745E-2"/>
    <n v="-0.86705490579278022"/>
  </r>
  <r>
    <x v="389"/>
    <x v="389"/>
    <x v="389"/>
    <x v="384"/>
    <n v="41.168722571401091"/>
    <n v="-3360.9003424181137"/>
    <n v="-2.1729365669203662E-2"/>
    <n v="-0.89457022688797283"/>
  </r>
  <r>
    <x v="390"/>
    <x v="390"/>
    <x v="390"/>
    <x v="385"/>
    <n v="41.173049448862237"/>
    <n v="-3360.3128131504927"/>
    <n v="-2.1171044826496507E-2"/>
    <n v="-0.8716764755254196"/>
  </r>
  <r>
    <x v="391"/>
    <x v="391"/>
    <x v="391"/>
    <x v="386"/>
    <n v="41.16619763944675"/>
    <n v="-1702.7661811302096"/>
    <n v="-2.1804540067775189E-2"/>
    <n v="-0.89761000586726913"/>
  </r>
  <r>
    <x v="392"/>
    <x v="392"/>
    <x v="392"/>
    <x v="387"/>
    <n v="41.179552485999942"/>
    <n v="-1977.6847030925128"/>
    <n v="-2.1536274034275243E-2"/>
    <n v="-0.88685412694731514"/>
  </r>
  <r>
    <x v="393"/>
    <x v="393"/>
    <x v="393"/>
    <x v="388"/>
    <n v="41.172692878722181"/>
    <n v="-1621.5220701653452"/>
    <n v="-2.1060660381065889E-2"/>
    <n v="-0.86712410169269794"/>
  </r>
  <r>
    <x v="394"/>
    <x v="394"/>
    <x v="394"/>
    <x v="389"/>
    <n v="41.166815037759704"/>
    <n v="-1296.4643759492028"/>
    <n v="-2.164463797831373E-2"/>
    <n v="-0.89104080821251053"/>
  </r>
  <r>
    <x v="395"/>
    <x v="395"/>
    <x v="395"/>
    <x v="390"/>
    <n v="41.171116409712901"/>
    <n v="-1221.2169428661073"/>
    <n v="-2.1308895620983363E-2"/>
    <n v="-0.87731102217392765"/>
  </r>
  <r>
    <x v="396"/>
    <x v="396"/>
    <x v="396"/>
    <x v="391"/>
    <n v="41.168976274705507"/>
    <n v="-2681.3230078395864"/>
    <n v="-1.9929528271433072E-2"/>
    <n v="-0.82047827657270089"/>
  </r>
  <r>
    <x v="397"/>
    <x v="397"/>
    <x v="397"/>
    <x v="392"/>
    <n v="41.175156725454606"/>
    <n v="-3621.1243899247202"/>
    <n v="-1.8088111572410758E-2"/>
    <n v="-0.74478082886152208"/>
  </r>
  <r>
    <x v="398"/>
    <x v="398"/>
    <x v="398"/>
    <x v="393"/>
    <n v="41.16925102753008"/>
    <n v="-3182.5274603015278"/>
    <n v="-1.8560265642324842E-2"/>
    <n v="-0.76411223536651329"/>
  </r>
  <r>
    <x v="399"/>
    <x v="399"/>
    <x v="399"/>
    <x v="394"/>
    <n v="41.176992898905077"/>
    <n v="-2411.3799805562885"/>
    <n v="-1.5891816122046633E-2"/>
    <n v="-0.65437719960821938"/>
  </r>
  <r>
    <x v="400"/>
    <x v="400"/>
    <x v="400"/>
    <x v="395"/>
    <n v="41.174846069212947"/>
    <n v="-1562.5208234370948"/>
    <n v="-1.5307959438459893E-2"/>
    <n v="-0.6303028735123416"/>
  </r>
  <r>
    <x v="401"/>
    <x v="401"/>
    <x v="401"/>
    <x v="396"/>
    <n v="41.154167142159793"/>
    <n v="-718.28624733175093"/>
    <n v="-8.7050116617866137E-3"/>
    <n v="-0.3582475049036164"/>
  </r>
  <r>
    <x v="402"/>
    <x v="402"/>
    <x v="402"/>
    <x v="324"/>
    <n v="41.186570818244427"/>
    <n v="-195.96665919872612"/>
    <n v="-4.2406623824694095E-3"/>
    <n v="-0.17465834153184145"/>
  </r>
  <r>
    <x v="403"/>
    <x v="403"/>
    <x v="403"/>
    <x v="397"/>
    <n v="41.176952358530322"/>
    <n v="-35.294525601435453"/>
    <n v="-4.1169199611908446E-4"/>
    <n v="-1.695222171058379E-2"/>
  </r>
  <r>
    <x v="404"/>
    <x v="404"/>
    <x v="404"/>
    <x v="398"/>
    <n v="41.165290824177383"/>
    <n v="255.73704970820108"/>
    <n v="2.4144747971583569E-3"/>
    <n v="9.9392557212670457E-2"/>
  </r>
  <r>
    <x v="405"/>
    <x v="405"/>
    <x v="405"/>
    <x v="399"/>
    <n v="41.173427774081446"/>
    <n v="-4.5730284562887391"/>
    <n v="-6.2608494956753935E-5"/>
    <n v="-2.5778063451458509E-3"/>
  </r>
  <r>
    <x v="406"/>
    <x v="406"/>
    <x v="406"/>
    <x v="400"/>
    <n v="41.172643858746291"/>
    <n v="810.61050590559898"/>
    <n v="8.2792619229654484E-3"/>
    <n v="0.34087910256753534"/>
  </r>
  <r>
    <x v="407"/>
    <x v="407"/>
    <x v="407"/>
    <x v="401"/>
    <n v="37.712106584480935"/>
    <n v="-9855.4331092835055"/>
    <n v="-7.1072450903673423E-2"/>
    <n v="-2.6802918436996208"/>
  </r>
  <r>
    <x v="408"/>
    <x v="408"/>
    <x v="408"/>
    <x v="402"/>
    <n v="37.720889397144454"/>
    <n v="-11499.724316762411"/>
    <n v="-7.091499226552006E-2"/>
    <n v="-2.6749765798470366"/>
  </r>
  <r>
    <x v="409"/>
    <x v="409"/>
    <x v="409"/>
    <x v="403"/>
    <n v="37.702810779511815"/>
    <n v="-9236.2159898887912"/>
    <n v="-6.6677790462627465E-2"/>
    <n v="-2.513940117008381"/>
  </r>
  <r>
    <x v="410"/>
    <x v="410"/>
    <x v="410"/>
    <x v="404"/>
    <n v="37.727241295019304"/>
    <n v="-23849.651907926484"/>
    <n v="-6.6508150956574322E-2"/>
    <n v="-2.5091690592242486"/>
  </r>
  <r>
    <x v="411"/>
    <x v="411"/>
    <x v="411"/>
    <x v="405"/>
    <n v="37.733370340576769"/>
    <n v="-27538.145042563207"/>
    <n v="-6.494694151723017E-2"/>
    <n v="-2.4506669967574268"/>
  </r>
  <r>
    <x v="412"/>
    <x v="412"/>
    <x v="412"/>
    <x v="406"/>
    <n v="37.710224265284019"/>
    <n v="-13204.142782701878"/>
    <n v="-6.4770172748534999E-2"/>
    <n v="-2.442497740048442"/>
  </r>
  <r>
    <x v="413"/>
    <x v="413"/>
    <x v="413"/>
    <x v="407"/>
    <n v="37.719159995349898"/>
    <n v="-14217.010712506803"/>
    <n v="-6.4474423443780293E-2"/>
    <n v="-2.4319210934838869"/>
  </r>
  <r>
    <x v="414"/>
    <x v="414"/>
    <x v="414"/>
    <x v="408"/>
    <n v="37.688105837959924"/>
    <n v="-8761.606719644391"/>
    <n v="-6.2611555751582629E-2"/>
    <n v="-2.3597109398449745"/>
  </r>
  <r>
    <x v="415"/>
    <x v="415"/>
    <x v="415"/>
    <x v="55"/>
    <n v="37.720082516366254"/>
    <n v="-9674.6142782843963"/>
    <n v="-6.0066613814848756E-2"/>
    <n v="-2.2657176295748003"/>
  </r>
  <r>
    <x v="416"/>
    <x v="416"/>
    <x v="416"/>
    <x v="409"/>
    <n v="37.713233652988031"/>
    <n v="-8495.5697084194107"/>
    <n v="-5.8862712828126738E-2"/>
    <n v="-2.2199032423358793"/>
  </r>
  <r>
    <x v="417"/>
    <x v="417"/>
    <x v="417"/>
    <x v="410"/>
    <n v="37.718373126950233"/>
    <n v="-17168.61919893726"/>
    <n v="-5.8581622623801274E-2"/>
    <n v="-2.2096035005067258"/>
  </r>
  <r>
    <x v="418"/>
    <x v="418"/>
    <x v="418"/>
    <x v="411"/>
    <n v="37.705175156562682"/>
    <n v="-15648.182871855039"/>
    <n v="-5.8436242446839759E-2"/>
    <n v="-2.2033487569494561"/>
  </r>
  <r>
    <x v="419"/>
    <x v="419"/>
    <x v="419"/>
    <x v="412"/>
    <n v="37.708616525395009"/>
    <n v="-7967.4343361149076"/>
    <n v="-5.856138844759045E-2"/>
    <n v="-2.2082689401648858"/>
  </r>
  <r>
    <x v="420"/>
    <x v="420"/>
    <x v="420"/>
    <x v="413"/>
    <n v="40.327122832734496"/>
    <n v="972.34755109647813"/>
    <n v="1.1214652649642748E-2"/>
    <n v="0.4522546749285945"/>
  </r>
  <r>
    <x v="421"/>
    <x v="421"/>
    <x v="421"/>
    <x v="414"/>
    <n v="37.736900145889187"/>
    <n v="-5393.1666916562535"/>
    <n v="-5.6488117231378782E-2"/>
    <n v="-2.1316864393898234"/>
  </r>
  <r>
    <x v="422"/>
    <x v="422"/>
    <x v="422"/>
    <x v="415"/>
    <n v="37.774914815720827"/>
    <n v="-11068.1665821395"/>
    <n v="-5.5778238177452429E-2"/>
    <n v="-2.1070181957242529"/>
  </r>
  <r>
    <x v="423"/>
    <x v="423"/>
    <x v="423"/>
    <x v="416"/>
    <n v="37.71079693093867"/>
    <n v="-9013.3036285252019"/>
    <n v="-5.7303097876622341E-2"/>
    <n v="-2.1609454875390077"/>
  </r>
  <r>
    <x v="424"/>
    <x v="424"/>
    <x v="424"/>
    <x v="417"/>
    <n v="37.707292196694084"/>
    <n v="-17456.661321791238"/>
    <n v="-5.676212199548205E-2"/>
    <n v="-2.1403459197880381"/>
  </r>
  <r>
    <x v="425"/>
    <x v="425"/>
    <x v="425"/>
    <x v="418"/>
    <n v="37.747285231311281"/>
    <n v="-24131.871941789519"/>
    <n v="-6.8771607230480467E-2"/>
    <n v="-2.5959414739446558"/>
  </r>
  <r>
    <x v="426"/>
    <x v="426"/>
    <x v="426"/>
    <x v="419"/>
    <n v="37.733579705033165"/>
    <n v="-19867.707659018895"/>
    <n v="-7.7396136569608781E-2"/>
    <n v="-2.9204332881109649"/>
  </r>
  <r>
    <x v="427"/>
    <x v="427"/>
    <x v="427"/>
    <x v="420"/>
    <n v="37.727952544462788"/>
    <n v="-18004.230290656793"/>
    <n v="-7.6709847760644406E-2"/>
    <n v="-2.8941054960065573"/>
  </r>
  <r>
    <x v="428"/>
    <x v="428"/>
    <x v="428"/>
    <x v="421"/>
    <n v="37.722064051970833"/>
    <n v="-19381.266909365193"/>
    <n v="-7.7717631582799554E-2"/>
    <n v="-2.9316694765338367"/>
  </r>
  <r>
    <x v="429"/>
    <x v="429"/>
    <x v="429"/>
    <x v="422"/>
    <n v="37.73366128418791"/>
    <n v="-20614.162510838622"/>
    <n v="-7.9834426306258352E-2"/>
    <n v="-3.012445201057814"/>
  </r>
  <r>
    <x v="430"/>
    <x v="430"/>
    <x v="430"/>
    <x v="423"/>
    <n v="37.837178315921484"/>
    <n v="-11602.171923702903"/>
    <n v="-7.9480086602876809E-2"/>
    <n v="-3.0073022093579325"/>
  </r>
  <r>
    <x v="431"/>
    <x v="431"/>
    <x v="431"/>
    <x v="424"/>
    <n v="37.772145424195877"/>
    <n v="-22125.164970730431"/>
    <n v="-8.2176411695422683E-2"/>
    <n v="-3.1039793729980962"/>
  </r>
  <r>
    <x v="432"/>
    <x v="432"/>
    <x v="432"/>
    <x v="425"/>
    <n v="37.765499151137206"/>
    <n v="-25322.199950193928"/>
    <n v="-8.2504178587915866E-2"/>
    <n v="-3.1158114864272091"/>
  </r>
  <r>
    <x v="433"/>
    <x v="433"/>
    <x v="433"/>
    <x v="426"/>
    <n v="41.168845455963051"/>
    <n v="711.98342121420137"/>
    <n v="5.8308255292850398E-3"/>
    <n v="0.24004835509581976"/>
  </r>
  <r>
    <x v="434"/>
    <x v="434"/>
    <x v="434"/>
    <x v="427"/>
    <n v="41.169097548127048"/>
    <n v="800.12251899560215"/>
    <n v="6.8002193551362691E-3"/>
    <n v="0.27995889398026669"/>
  </r>
  <r>
    <x v="435"/>
    <x v="435"/>
    <x v="435"/>
    <x v="428"/>
    <n v="41.172463222371789"/>
    <n v="425.92651739516441"/>
    <n v="6.8148461761614121E-3"/>
    <n v="0.28058400355412677"/>
  </r>
  <r>
    <x v="436"/>
    <x v="436"/>
    <x v="436"/>
    <x v="429"/>
    <n v="41.171705717366791"/>
    <n v="425.70275366226269"/>
    <n v="7.4600951930589689E-3"/>
    <n v="0.30714484391216645"/>
  </r>
  <r>
    <x v="437"/>
    <x v="437"/>
    <x v="437"/>
    <x v="430"/>
    <n v="41.173655953396441"/>
    <n v="326.81076278866385"/>
    <n v="6.8073545224609303E-3"/>
    <n v="0.28028367306060364"/>
  </r>
  <r>
    <x v="438"/>
    <x v="438"/>
    <x v="438"/>
    <x v="431"/>
    <n v="41.166084512200598"/>
    <n v="765.69756164960563"/>
    <n v="6.5195246413646719E-3"/>
    <n v="0.26838330236579239"/>
  </r>
  <r>
    <x v="439"/>
    <x v="439"/>
    <x v="439"/>
    <x v="432"/>
    <n v="41.178984933233579"/>
    <n v="1017.7203081455955"/>
    <n v="6.7581502569836532E-3"/>
    <n v="0.27829376760885849"/>
  </r>
  <r>
    <x v="440"/>
    <x v="440"/>
    <x v="440"/>
    <x v="433"/>
    <n v="41.172578144476006"/>
    <n v="349.49173580048955"/>
    <n v="5.204450558847845E-3"/>
    <n v="0.21428064733322474"/>
  </r>
  <r>
    <x v="441"/>
    <x v="441"/>
    <x v="441"/>
    <x v="434"/>
    <n v="41.16145444032184"/>
    <n v="513.99872604888515"/>
    <n v="6.3743645101126721E-3"/>
    <n v="0.26237811436900721"/>
  </r>
  <r>
    <x v="442"/>
    <x v="442"/>
    <x v="442"/>
    <x v="435"/>
    <n v="41.194826909219813"/>
    <n v="360.68004413233575"/>
    <n v="7.1182677592958217E-3"/>
    <n v="0.29323580823767137"/>
  </r>
  <r>
    <x v="443"/>
    <x v="443"/>
    <x v="443"/>
    <x v="436"/>
    <n v="41.158200224145723"/>
    <n v="286.92387299247639"/>
    <n v="5.8978379052697866E-3"/>
    <n v="0.24274439339465007"/>
  </r>
  <r>
    <x v="444"/>
    <x v="444"/>
    <x v="444"/>
    <x v="437"/>
    <n v="41.155407254905001"/>
    <n v="231.96076989569701"/>
    <n v="5.3678248785146857E-3"/>
    <n v="0.22091501894828286"/>
  </r>
  <r>
    <x v="445"/>
    <x v="445"/>
    <x v="445"/>
    <x v="438"/>
    <n v="41.173403355116612"/>
    <n v="427.73080970619048"/>
    <n v="4.4150115070898327E-3"/>
    <n v="0.18178104959889099"/>
  </r>
  <r>
    <x v="446"/>
    <x v="446"/>
    <x v="446"/>
    <x v="218"/>
    <n v="41.18116224677177"/>
    <n v="531.59717016600189"/>
    <n v="4.3803007002408065E-3"/>
    <n v="0.18038587382626464"/>
  </r>
  <r>
    <x v="447"/>
    <x v="447"/>
    <x v="447"/>
    <x v="439"/>
    <n v="41.177347092232701"/>
    <n v="197.98992832825752"/>
    <n v="2.9570876263440163E-3"/>
    <n v="0.12176502357211409"/>
  </r>
  <r>
    <x v="448"/>
    <x v="448"/>
    <x v="448"/>
    <x v="440"/>
    <n v="41.165056054620635"/>
    <n v="210.13786669445108"/>
    <n v="2.583382228290338E-3"/>
    <n v="0.10634507423808252"/>
  </r>
  <r>
    <x v="449"/>
    <x v="449"/>
    <x v="449"/>
    <x v="441"/>
    <n v="37.759875577215098"/>
    <n v="-11314.444801780293"/>
    <n v="-9.0471619669430015E-2"/>
    <n v="-3.4161971019868034"/>
  </r>
  <r>
    <x v="450"/>
    <x v="450"/>
    <x v="450"/>
    <x v="442"/>
    <n v="37.771305376190959"/>
    <n v="-22975.9982420585"/>
    <n v="-9.0735740818983099E-2"/>
    <n v="-3.427207375008726"/>
  </r>
  <r>
    <x v="451"/>
    <x v="451"/>
    <x v="451"/>
    <x v="443"/>
    <n v="37.713423050924256"/>
    <n v="-21176.67832885898"/>
    <n v="-9.2400144543404644E-2"/>
    <n v="-3.4847257411319696"/>
  </r>
  <r>
    <x v="452"/>
    <x v="452"/>
    <x v="452"/>
    <x v="444"/>
    <n v="37.736133704514138"/>
    <n v="-32273.300376416417"/>
    <n v="-9.1118262176086914E-2"/>
    <n v="-3.4384509243997887"/>
  </r>
  <r>
    <x v="453"/>
    <x v="453"/>
    <x v="453"/>
    <x v="445"/>
    <n v="37.721424073186633"/>
    <n v="-41877.905854861892"/>
    <n v="-9.1141030149073585E-2"/>
    <n v="-3.4379694487202932"/>
  </r>
  <r>
    <x v="454"/>
    <x v="454"/>
    <x v="454"/>
    <x v="446"/>
    <n v="37.746823053867985"/>
    <n v="-20256.918991418672"/>
    <n v="-9.0391155284269387E-2"/>
    <n v="-3.4119789441500203"/>
  </r>
  <r>
    <x v="455"/>
    <x v="455"/>
    <x v="455"/>
    <x v="447"/>
    <n v="37.715309986392903"/>
    <n v="-19615.888644331309"/>
    <n v="-9.1150391542406936E-2"/>
    <n v="-3.4377652724029635"/>
  </r>
  <r>
    <x v="456"/>
    <x v="456"/>
    <x v="456"/>
    <x v="448"/>
    <n v="37.738553448897882"/>
    <n v="-31454.002706416941"/>
    <n v="-8.8469519141611885E-2"/>
    <n v="-3.3387116767240146"/>
  </r>
  <r>
    <x v="457"/>
    <x v="457"/>
    <x v="457"/>
    <x v="449"/>
    <n v="37.774993861600393"/>
    <n v="-43589.491875352513"/>
    <n v="-8.7372190937195518E-2"/>
    <n v="-3.3004839763271381"/>
  </r>
  <r>
    <x v="458"/>
    <x v="458"/>
    <x v="458"/>
    <x v="450"/>
    <n v="37.760466300709915"/>
    <n v="-62490.002880772809"/>
    <n v="-8.7394670849871639E-2"/>
    <n v="-3.3000635234882134"/>
  </r>
  <r>
    <x v="459"/>
    <x v="459"/>
    <x v="459"/>
    <x v="451"/>
    <n v="37.790803199668893"/>
    <n v="-43870.603808297834"/>
    <n v="-8.5972037947683558E-2"/>
    <n v="-3.2489523667553755"/>
  </r>
  <r>
    <x v="460"/>
    <x v="460"/>
    <x v="460"/>
    <x v="452"/>
    <n v="37.76434334834066"/>
    <n v="-34570.689417934802"/>
    <n v="-8.6361512076658306E-2"/>
    <n v="-3.2613857941447928"/>
  </r>
  <r>
    <x v="461"/>
    <x v="461"/>
    <x v="461"/>
    <x v="453"/>
    <n v="37.754999566983457"/>
    <n v="-11757.721608628315"/>
    <n v="-8.6722801378577116E-2"/>
    <n v="-3.2742193284957715"/>
  </r>
  <r>
    <x v="462"/>
    <x v="462"/>
    <x v="462"/>
    <x v="454"/>
    <n v="37.730822003445056"/>
    <n v="-15938.973903665406"/>
    <n v="-8.735299513566662E-2"/>
    <n v="-3.2959003109316392"/>
  </r>
  <r>
    <x v="463"/>
    <x v="463"/>
    <x v="463"/>
    <x v="455"/>
    <n v="40.665639965379555"/>
    <n v="-1575.9464920834871"/>
    <n v="-8.9130085093944746E-3"/>
    <n v="-0.3624531950514"/>
  </r>
  <r>
    <x v="464"/>
    <x v="464"/>
    <x v="464"/>
    <x v="456"/>
    <n v="41.174080605956263"/>
    <n v="338.54261683369987"/>
    <n v="3.3546415764753473E-3"/>
    <n v="0.13812428267388815"/>
  </r>
  <r>
    <x v="465"/>
    <x v="465"/>
    <x v="465"/>
    <x v="457"/>
    <n v="41.174571515683844"/>
    <n v="263.08675726653019"/>
    <n v="3.5223508860269671E-3"/>
    <n v="0.14503128846004973"/>
  </r>
  <r>
    <x v="466"/>
    <x v="466"/>
    <x v="466"/>
    <x v="458"/>
    <n v="41.179450217230141"/>
    <n v="413.10353850720276"/>
    <n v="3.621584325675217E-3"/>
    <n v="0.1491348514466436"/>
  </r>
  <r>
    <x v="467"/>
    <x v="467"/>
    <x v="467"/>
    <x v="459"/>
    <n v="41.180924785535936"/>
    <n v="464.03178182888951"/>
    <n v="3.6680092324479791E-3"/>
    <n v="0.15105201231409163"/>
  </r>
  <r>
    <x v="468"/>
    <x v="468"/>
    <x v="468"/>
    <x v="460"/>
    <n v="41.183365767652795"/>
    <n v="299.22694329779188"/>
    <n v="3.7568373187590173E-3"/>
    <n v="0.15471920542802062"/>
  </r>
  <r>
    <x v="469"/>
    <x v="469"/>
    <x v="469"/>
    <x v="461"/>
    <n v="41.177529681817852"/>
    <n v="437.07825728729949"/>
    <n v="5.2572980007288429E-3"/>
    <n v="0.2164825444711736"/>
  </r>
  <r>
    <x v="470"/>
    <x v="470"/>
    <x v="470"/>
    <x v="462"/>
    <n v="41.650691584954288"/>
    <n v="835.82748244704999"/>
    <n v="2.0498011765171055E-2"/>
    <n v="0.853756366135904"/>
  </r>
  <r>
    <x v="471"/>
    <x v="471"/>
    <x v="471"/>
    <x v="463"/>
    <n v="41.6870228369459"/>
    <n v="1308.5353318109192"/>
    <n v="2.245315642138853E-2"/>
    <n v="0.93600524449994216"/>
  </r>
  <r>
    <x v="472"/>
    <x v="472"/>
    <x v="472"/>
    <x v="464"/>
    <n v="41.736311722387512"/>
    <n v="1172.2160622474839"/>
    <n v="2.3444273679603538E-2"/>
    <n v="0.97847751439689812"/>
  </r>
  <r>
    <x v="473"/>
    <x v="473"/>
    <x v="473"/>
    <x v="465"/>
    <n v="41.815661602466072"/>
    <n v="2502.9694954079896"/>
    <n v="2.4087414778950756E-2"/>
    <n v="1.007231185274845"/>
  </r>
  <r>
    <x v="474"/>
    <x v="474"/>
    <x v="474"/>
    <x v="466"/>
    <n v="41.879956688706301"/>
    <n v="3297.6904930591845"/>
    <n v="2.4823927243750057E-2"/>
    <n v="1.0396249978118488"/>
  </r>
  <r>
    <x v="475"/>
    <x v="475"/>
    <x v="475"/>
    <x v="313"/>
    <n v="41.941624099652643"/>
    <n v="1573.3553721134303"/>
    <n v="2.5058771927786321E-2"/>
    <n v="1.0510055925941419"/>
  </r>
  <r>
    <x v="476"/>
    <x v="476"/>
    <x v="476"/>
    <x v="467"/>
    <n v="41.929235634842584"/>
    <n v="1526.5312159635941"/>
    <n v="2.6672031345677423E-2"/>
    <n v="1.1183378871528162"/>
  </r>
  <r>
    <x v="477"/>
    <x v="477"/>
    <x v="477"/>
    <x v="468"/>
    <n v="42.035732043614196"/>
    <n v="1702.1742294613505"/>
    <n v="2.9928682534163698E-2"/>
    <n v="1.2580740794245016"/>
  </r>
  <r>
    <x v="478"/>
    <x v="478"/>
    <x v="478"/>
    <x v="469"/>
    <n v="38.597771740883573"/>
    <n v="-7526.1930854932871"/>
    <n v="-5.6699724242964461E-2"/>
    <n v="-2.188483014100985"/>
  </r>
  <r>
    <x v="479"/>
    <x v="479"/>
    <x v="479"/>
    <x v="470"/>
    <n v="42.057419071213396"/>
    <n v="1864.2840182186337"/>
    <n v="3.0911516180042082E-2"/>
    <n v="1.3000585901106232"/>
  </r>
  <r>
    <x v="480"/>
    <x v="480"/>
    <x v="480"/>
    <x v="471"/>
    <n v="38.64001444879883"/>
    <n v="-18803.587563189096"/>
    <n v="-5.4727294976735813E-2"/>
    <n v="-2.1146634686447476"/>
  </r>
  <r>
    <x v="481"/>
    <x v="481"/>
    <x v="481"/>
    <x v="472"/>
    <n v="37.802975884335261"/>
    <n v="-38423.694846485509"/>
    <n v="-7.7329568158714987E-2"/>
    <n v="-2.9232878002499625"/>
  </r>
  <r>
    <x v="482"/>
    <x v="482"/>
    <x v="482"/>
    <x v="473"/>
    <n v="38.688903236466729"/>
    <n v="-10594.938225335325"/>
    <n v="-5.28769138180646E-2"/>
    <n v="-2.0457498021500919"/>
  </r>
  <r>
    <x v="483"/>
    <x v="483"/>
    <x v="483"/>
    <x v="353"/>
    <n v="38.697260035743163"/>
    <n v="-10025.437115431007"/>
    <n v="-5.1670036908228828E-2"/>
    <n v="-1.9994888542941776"/>
  </r>
  <r>
    <x v="484"/>
    <x v="484"/>
    <x v="484"/>
    <x v="82"/>
    <n v="38.606276171359887"/>
    <n v="-10243.457663267502"/>
    <n v="-5.3754337372648418E-2"/>
    <n v="-2.0752547940169168"/>
  </r>
  <r>
    <x v="485"/>
    <x v="485"/>
    <x v="485"/>
    <x v="474"/>
    <n v="38.637941674293671"/>
    <n v="-10498.476186160406"/>
    <n v="-5.2760032676122913E-2"/>
    <n v="-2.0385390652738651"/>
  </r>
  <r>
    <x v="486"/>
    <x v="486"/>
    <x v="486"/>
    <x v="475"/>
    <n v="38.602330465222131"/>
    <n v="-20769.135567708174"/>
    <n v="-5.3878231887623432E-2"/>
    <n v="-2.0798253122079084"/>
  </r>
  <r>
    <x v="487"/>
    <x v="487"/>
    <x v="487"/>
    <x v="476"/>
    <n v="38.62591131777306"/>
    <n v="-26503.522454186401"/>
    <n v="-5.3038505788762048E-2"/>
    <n v="-2.0486606210239158"/>
  </r>
  <r>
    <x v="488"/>
    <x v="488"/>
    <x v="488"/>
    <x v="477"/>
    <n v="37.788901029795582"/>
    <n v="-35185.798112063087"/>
    <n v="-7.6214669483140429E-2"/>
    <n v="-2.8800686021169755"/>
  </r>
  <r>
    <x v="489"/>
    <x v="489"/>
    <x v="489"/>
    <x v="478"/>
    <n v="38.61651669714535"/>
    <n v="-13738.437648890802"/>
    <n v="-5.2933468805119552E-2"/>
    <n v="-2.0441061819507218"/>
  </r>
  <r>
    <x v="490"/>
    <x v="490"/>
    <x v="490"/>
    <x v="479"/>
    <n v="38.670683858696933"/>
    <n v="-16433.327963799005"/>
    <n v="-5.1304564922449843E-2"/>
    <n v="-1.9839826106240499"/>
  </r>
  <r>
    <x v="491"/>
    <x v="491"/>
    <x v="491"/>
    <x v="480"/>
    <n v="38.753512865603327"/>
    <n v="-11777.968250251579"/>
    <n v="-4.9090617994200537E-2"/>
    <n v="-1.9024338960186689"/>
  </r>
  <r>
    <x v="492"/>
    <x v="492"/>
    <x v="492"/>
    <x v="481"/>
    <n v="37.757038944479845"/>
    <n v="-17265.664469510812"/>
    <n v="-7.6738266354503981E-2"/>
    <n v="-2.8974097112788741"/>
  </r>
  <r>
    <x v="493"/>
    <x v="493"/>
    <x v="493"/>
    <x v="482"/>
    <n v="41.150973219769554"/>
    <n v="1428.8854020222934"/>
    <n v="1.2192065962671481E-2"/>
    <n v="0.50171537992355808"/>
  </r>
  <r>
    <x v="494"/>
    <x v="494"/>
    <x v="494"/>
    <x v="483"/>
    <n v="37.790260609609021"/>
    <n v="-24975.841921617975"/>
    <n v="-7.554947934099579E-2"/>
    <n v="-2.8550345132165038"/>
  </r>
  <r>
    <x v="495"/>
    <x v="495"/>
    <x v="495"/>
    <x v="484"/>
    <n v="37.755070167074258"/>
    <n v="-29855.016766516492"/>
    <n v="-7.6556797919857839E-2"/>
    <n v="-2.8904072772307572"/>
  </r>
  <r>
    <x v="496"/>
    <x v="496"/>
    <x v="496"/>
    <x v="485"/>
    <n v="37.763265365888962"/>
    <n v="-12707.051569829579"/>
    <n v="-7.6302130168363611E-2"/>
    <n v="-2.8814175895305167"/>
  </r>
  <r>
    <x v="497"/>
    <x v="497"/>
    <x v="497"/>
    <x v="486"/>
    <n v="37.748318937384042"/>
    <n v="-15233.515772102313"/>
    <n v="-7.6765229699466739E-2"/>
    <n v="-2.8977583739970161"/>
  </r>
  <r>
    <x v="498"/>
    <x v="498"/>
    <x v="498"/>
    <x v="487"/>
    <n v="37.745633167782884"/>
    <n v="-14857.022892842011"/>
    <n v="-7.6906809714741411E-2"/>
    <n v="-2.9028962275971102"/>
  </r>
  <r>
    <x v="499"/>
    <x v="499"/>
    <x v="499"/>
    <x v="485"/>
    <n v="37.73313537320243"/>
    <n v="-12818.445297817292"/>
    <n v="-7.7032478471027052E-2"/>
    <n v="-2.9066769382805653"/>
  </r>
  <r>
    <x v="500"/>
    <x v="500"/>
    <x v="500"/>
    <x v="488"/>
    <n v="37.74762183224545"/>
    <n v="-11441.605659838882"/>
    <n v="-7.6697365079491805E-2"/>
    <n v="-2.8951431325503245"/>
  </r>
  <r>
    <x v="501"/>
    <x v="501"/>
    <x v="501"/>
    <x v="4"/>
    <n v="37.742223084433476"/>
    <n v="-29219.855080261419"/>
    <n v="-7.6774631985187164E-2"/>
    <n v="-2.8976452876102159"/>
  </r>
  <r>
    <x v="502"/>
    <x v="502"/>
    <x v="502"/>
    <x v="489"/>
    <n v="37.732595670589312"/>
    <n v="-31869.540175064001"/>
    <n v="-7.7035355066346539E-2"/>
    <n v="-2.9067439050587378"/>
  </r>
  <r>
    <x v="503"/>
    <x v="503"/>
    <x v="503"/>
    <x v="490"/>
    <n v="37.733689683837937"/>
    <n v="-13651.904878618807"/>
    <n v="-7.705988977278258E-2"/>
    <n v="-2.9077539677569342"/>
  </r>
  <r>
    <x v="504"/>
    <x v="504"/>
    <x v="504"/>
    <x v="491"/>
    <n v="37.73693823954811"/>
    <n v="-15090.022583497019"/>
    <n v="-7.6824986889261218E-2"/>
    <n v="-2.8991397854941439"/>
  </r>
  <r>
    <x v="505"/>
    <x v="505"/>
    <x v="505"/>
    <x v="492"/>
    <n v="37.916677340243325"/>
    <n v="-9905.1799995914043"/>
    <n v="-7.1807433461990672E-2"/>
    <n v="-2.7226992852092922"/>
  </r>
  <r>
    <x v="506"/>
    <x v="506"/>
    <x v="506"/>
    <x v="493"/>
    <n v="37.818908468728424"/>
    <n v="-12391.896669184789"/>
    <n v="-7.457078943487791E-2"/>
    <n v="-2.8201858600784679"/>
  </r>
  <r>
    <x v="507"/>
    <x v="507"/>
    <x v="507"/>
    <x v="494"/>
    <n v="42.049889449621851"/>
    <n v="2841.1101833090506"/>
    <n v="3.358112505313033E-2"/>
    <n v="1.412082596078057"/>
  </r>
  <r>
    <x v="508"/>
    <x v="508"/>
    <x v="508"/>
    <x v="495"/>
    <n v="37.745838644940285"/>
    <n v="-24666.500047406531"/>
    <n v="-7.6646640500447338E-2"/>
    <n v="-2.8930917250066304"/>
  </r>
  <r>
    <x v="509"/>
    <x v="509"/>
    <x v="509"/>
    <x v="496"/>
    <n v="37.735707520721881"/>
    <n v="-32220.868614364474"/>
    <n v="-7.6951714206915017E-2"/>
    <n v="-2.9038273805303239"/>
  </r>
  <r>
    <x v="510"/>
    <x v="510"/>
    <x v="510"/>
    <x v="497"/>
    <n v="37.76815904374282"/>
    <n v="-12877.875494261796"/>
    <n v="-7.5957174333357094E-2"/>
    <n v="-2.8687626407355302"/>
  </r>
  <r>
    <x v="511"/>
    <x v="511"/>
    <x v="511"/>
    <x v="498"/>
    <n v="37.738706392358246"/>
    <n v="-19739.282515422412"/>
    <n v="-7.6975920753970098E-2"/>
    <n v="-2.9049716726155133"/>
  </r>
  <r>
    <x v="512"/>
    <x v="512"/>
    <x v="512"/>
    <x v="499"/>
    <n v="37.74103963938488"/>
    <n v="-15333.840404350602"/>
    <n v="-7.6905335079265086E-2"/>
    <n v="-2.9024872997067201"/>
  </r>
  <r>
    <x v="513"/>
    <x v="513"/>
    <x v="513"/>
    <x v="500"/>
    <n v="37.742790072610475"/>
    <n v="-18696.855740852217"/>
    <n v="-7.6766706845792315E-2"/>
    <n v="-2.8973897010463689"/>
  </r>
  <r>
    <x v="514"/>
    <x v="514"/>
    <x v="514"/>
    <x v="501"/>
    <n v="37.737610558032358"/>
    <n v="-16737.404089960619"/>
    <n v="-7.6866638637933332E-2"/>
    <n v="-2.9007632738233307"/>
  </r>
  <r>
    <x v="515"/>
    <x v="515"/>
    <x v="515"/>
    <x v="502"/>
    <n v="37.751719206024525"/>
    <n v="-36104.394863993046"/>
    <n v="-7.6466319368283631E-2"/>
    <n v="-2.8867350175096385"/>
  </r>
  <r>
    <x v="516"/>
    <x v="516"/>
    <x v="516"/>
    <x v="503"/>
    <n v="37.729565624531887"/>
    <n v="-42114.718735684291"/>
    <n v="-7.7114052527272658E-2"/>
    <n v="-2.9094797054013326"/>
  </r>
  <r>
    <x v="517"/>
    <x v="517"/>
    <x v="517"/>
    <x v="504"/>
    <n v="37.756793448382169"/>
    <n v="-20191.294376538193"/>
    <n v="-7.629797234111986E-2"/>
    <n v="-2.8807667822140379"/>
  </r>
  <r>
    <x v="518"/>
    <x v="518"/>
    <x v="518"/>
    <x v="505"/>
    <n v="37.722963612762662"/>
    <n v="-34061.328925244801"/>
    <n v="-7.7253040387775515E-2"/>
    <n v="-2.9142136315233405"/>
  </r>
  <r>
    <x v="519"/>
    <x v="519"/>
    <x v="519"/>
    <x v="506"/>
    <n v="37.720737654648772"/>
    <n v="-25849.929243855935"/>
    <n v="-7.7321172722807946E-2"/>
    <n v="-2.9166116714268235"/>
  </r>
  <r>
    <x v="520"/>
    <x v="520"/>
    <x v="520"/>
    <x v="507"/>
    <n v="37.749836125741886"/>
    <n v="-20656.277653519413"/>
    <n v="-7.6551278451936489E-2"/>
    <n v="-2.8897982167766387"/>
  </r>
  <r>
    <x v="521"/>
    <x v="521"/>
    <x v="521"/>
    <x v="508"/>
    <n v="37.766896222273807"/>
    <n v="-15282.011158130685"/>
    <n v="-7.5974535836271576E-2"/>
    <n v="-2.8693224104638912"/>
  </r>
  <r>
    <x v="522"/>
    <x v="522"/>
    <x v="522"/>
    <x v="509"/>
    <n v="37.744190860216825"/>
    <n v="-22476.778258407896"/>
    <n v="-7.659202357182858E-2"/>
    <n v="-2.890903956065324"/>
  </r>
  <r>
    <x v="523"/>
    <x v="523"/>
    <x v="523"/>
    <x v="510"/>
    <n v="37.753971887678802"/>
    <n v="-26681.711985365371"/>
    <n v="-7.6361529867118458E-2"/>
    <n v="-2.8829510519033357"/>
  </r>
  <r>
    <x v="524"/>
    <x v="524"/>
    <x v="524"/>
    <x v="511"/>
    <n v="37.7475651877239"/>
    <n v="-13745.6762830386"/>
    <n v="-7.6533703645895956E-2"/>
    <n v="-2.8889609674313999"/>
  </r>
  <r>
    <x v="525"/>
    <x v="525"/>
    <x v="525"/>
    <x v="512"/>
    <n v="42.024701751135893"/>
    <n v="3644.464054460288"/>
    <n v="3.3188652620147863E-2"/>
    <n v="1.3947432278837688"/>
  </r>
  <r>
    <x v="526"/>
    <x v="526"/>
    <x v="526"/>
    <x v="513"/>
    <n v="42.052961941885044"/>
    <n v="2744.1297791002144"/>
    <n v="3.5657998871183726E-2"/>
    <n v="1.4995244694536691"/>
  </r>
  <r>
    <x v="527"/>
    <x v="527"/>
    <x v="527"/>
    <x v="514"/>
    <n v="42.030453602148476"/>
    <n v="2530.1934381232277"/>
    <n v="3.5536630125389185E-2"/>
    <n v="1.4936206836618817"/>
  </r>
  <r>
    <x v="528"/>
    <x v="528"/>
    <x v="528"/>
    <x v="515"/>
    <n v="42.014827448431653"/>
    <n v="2449.1814745567972"/>
    <n v="3.5501379475880508E-2"/>
    <n v="1.4915843328604124"/>
  </r>
  <r>
    <x v="529"/>
    <x v="529"/>
    <x v="529"/>
    <x v="516"/>
    <n v="42.047934750137237"/>
    <n v="5733.635647099698"/>
    <n v="3.6953795897595981E-2"/>
    <n v="1.5538307986720048"/>
  </r>
  <r>
    <x v="530"/>
    <x v="530"/>
    <x v="530"/>
    <x v="517"/>
    <n v="42.032135137605337"/>
    <n v="6762.1537691648991"/>
    <n v="3.6530555825757975E-2"/>
    <n v="1.5354572591200952"/>
  </r>
  <r>
    <x v="531"/>
    <x v="531"/>
    <x v="531"/>
    <x v="518"/>
    <n v="42.058004021490426"/>
    <n v="3119.7221987269004"/>
    <n v="3.7237278330428794E-2"/>
    <n v="1.5661256017705323"/>
  </r>
  <r>
    <x v="532"/>
    <x v="532"/>
    <x v="532"/>
    <x v="198"/>
    <n v="42.030243050536299"/>
    <n v="5538.7026378557202"/>
    <n v="3.7047787993137279E-2"/>
    <n v="1.5571275338363004"/>
  </r>
  <r>
    <x v="533"/>
    <x v="533"/>
    <x v="533"/>
    <x v="519"/>
    <n v="41.95294229336271"/>
    <n v="3667.1932110345952"/>
    <n v="3.6497729617508412E-2"/>
    <n v="1.5311871444820857"/>
  </r>
  <r>
    <x v="534"/>
    <x v="534"/>
    <x v="534"/>
    <x v="520"/>
    <n v="42.015427050509047"/>
    <n v="3433.3976010846091"/>
    <n v="3.8546012358175168E-2"/>
    <n v="1.6195271703229288"/>
  </r>
  <r>
    <x v="535"/>
    <x v="535"/>
    <x v="535"/>
    <x v="521"/>
    <n v="41.998184457343747"/>
    <n v="3072.8138701038552"/>
    <n v="3.9021545460373466E-2"/>
    <n v="1.6388340640553893"/>
  </r>
  <r>
    <x v="536"/>
    <x v="536"/>
    <x v="536"/>
    <x v="522"/>
    <n v="42.03595451112156"/>
    <n v="5895.63203578908"/>
    <n v="4.1543876517184671E-2"/>
    <n v="1.746336503492026"/>
  </r>
  <r>
    <x v="537"/>
    <x v="537"/>
    <x v="537"/>
    <x v="523"/>
    <n v="42.042284152847081"/>
    <n v="7016.369058691198"/>
    <n v="4.1442361231661611E-2"/>
    <n v="1.742331526866451"/>
  </r>
  <r>
    <x v="538"/>
    <x v="538"/>
    <x v="538"/>
    <x v="524"/>
    <n v="42.064023889129899"/>
    <n v="3730.4358048387658"/>
    <n v="4.1675146177161913E-2"/>
    <n v="1.7530243443791194"/>
  </r>
  <r>
    <x v="539"/>
    <x v="539"/>
    <x v="539"/>
    <x v="525"/>
    <n v="42.025452267418949"/>
    <n v="3556.8438022320479"/>
    <n v="4.1366308682196241E-2"/>
    <n v="1.738437831002956"/>
  </r>
  <r>
    <x v="540"/>
    <x v="540"/>
    <x v="540"/>
    <x v="526"/>
    <n v="42.015822817528871"/>
    <n v="2786.6849510424508"/>
    <n v="4.290081174350744E-2"/>
    <n v="1.8025129049433706"/>
  </r>
  <r>
    <x v="541"/>
    <x v="541"/>
    <x v="541"/>
    <x v="527"/>
    <n v="37.779387964379339"/>
    <n v="-6815.0414391889062"/>
    <n v="-6.3922915320676343E-2"/>
    <n v="-2.4149686177139995"/>
  </r>
  <r>
    <x v="542"/>
    <x v="542"/>
    <x v="542"/>
    <x v="528"/>
    <n v="37.789068303235915"/>
    <n v="-11521.913424700091"/>
    <n v="-6.2672292134777388E-2"/>
    <n v="-2.3683275282014575"/>
  </r>
  <r>
    <x v="543"/>
    <x v="543"/>
    <x v="543"/>
    <x v="529"/>
    <n v="37.820093975663397"/>
    <n v="-19661.897708100907"/>
    <n v="-6.1524220465251772E-2"/>
    <n v="-2.3268517997752554"/>
  </r>
  <r>
    <x v="544"/>
    <x v="544"/>
    <x v="544"/>
    <x v="530"/>
    <n v="37.793834053904781"/>
    <n v="-22772.214744336903"/>
    <n v="-6.1672244588809141E-2"/>
    <n v="-2.3308305777212799"/>
  </r>
  <r>
    <x v="545"/>
    <x v="545"/>
    <x v="545"/>
    <x v="531"/>
    <n v="37.779505717690334"/>
    <n v="-11446.617646239116"/>
    <n v="-6.1657477411302904E-2"/>
    <n v="-2.3293890203986805"/>
  </r>
  <r>
    <x v="546"/>
    <x v="546"/>
    <x v="546"/>
    <x v="532"/>
    <n v="37.755475891414527"/>
    <n v="-10313.349136669887"/>
    <n v="-6.2294567319257969E-2"/>
    <n v="-2.3519610345883439"/>
  </r>
  <r>
    <x v="547"/>
    <x v="547"/>
    <x v="547"/>
    <x v="533"/>
    <n v="37.758145229241428"/>
    <n v="-13213.851320360409"/>
    <n v="-6.219304895202226E-2"/>
    <n v="-2.3482941745797778"/>
  </r>
  <r>
    <x v="548"/>
    <x v="548"/>
    <x v="548"/>
    <x v="534"/>
    <n v="37.748195410135814"/>
    <n v="-19016.933404981857"/>
    <n v="-6.2303228794813488E-2"/>
    <n v="-2.35183445522902"/>
  </r>
  <r>
    <x v="549"/>
    <x v="549"/>
    <x v="549"/>
    <x v="535"/>
    <n v="37.728817240133182"/>
    <n v="-15580.310701296374"/>
    <n v="-6.220141360878733E-2"/>
    <n v="-2.3467857661238702"/>
  </r>
  <r>
    <x v="550"/>
    <x v="550"/>
    <x v="550"/>
    <x v="536"/>
    <n v="37.78300685557565"/>
    <n v="-16182.513959222473"/>
    <n v="-6.0290171668774657E-2"/>
    <n v="-2.2779439694851455"/>
  </r>
  <r>
    <x v="551"/>
    <x v="551"/>
    <x v="551"/>
    <x v="537"/>
    <n v="37.82466508110857"/>
    <n v="-18659.577621734294"/>
    <n v="-5.8981076306187895E-2"/>
    <n v="-2.2309394574048653"/>
  </r>
  <r>
    <x v="552"/>
    <x v="552"/>
    <x v="552"/>
    <x v="538"/>
    <n v="37.837203004887606"/>
    <n v="-9095.5808433755883"/>
    <n v="-5.7980521262720054E-2"/>
    <n v="-2.1938207533467411"/>
  </r>
  <r>
    <x v="553"/>
    <x v="553"/>
    <x v="553"/>
    <x v="539"/>
    <n v="37.815203551576069"/>
    <n v="-10201.227435553417"/>
    <n v="-5.8631871181812185E-2"/>
    <n v="-2.2171761433500148"/>
  </r>
  <r>
    <x v="554"/>
    <x v="554"/>
    <x v="554"/>
    <x v="540"/>
    <n v="37.782846101334925"/>
    <n v="-8045.8326454329945"/>
    <n v="-5.9267841180465165E-2"/>
    <n v="-2.2393077220798761"/>
  </r>
  <r>
    <x v="555"/>
    <x v="555"/>
    <x v="555"/>
    <x v="541"/>
    <n v="39.936854026504029"/>
    <n v="-162.45362339139683"/>
    <n v="-1.9242015869514273E-3"/>
    <n v="-7.6846557895646567E-2"/>
  </r>
  <r>
    <x v="556"/>
    <x v="556"/>
    <x v="556"/>
    <x v="542"/>
    <n v="39.407451466627847"/>
    <n v="-1097.878295074901"/>
    <n v="-1.5503429287532844E-2"/>
    <n v="-0.61095063721474729"/>
  </r>
  <r>
    <x v="557"/>
    <x v="557"/>
    <x v="557"/>
    <x v="543"/>
    <n v="39.431346401735958"/>
    <n v="-1901.4354909020039"/>
    <n v="-1.5092776013586905E-2"/>
    <n v="-0.59512847915555678"/>
  </r>
  <r>
    <x v="558"/>
    <x v="558"/>
    <x v="558"/>
    <x v="544"/>
    <n v="39.604501819534462"/>
    <n v="-1546.3810778112093"/>
    <n v="-1.086108162022523E-2"/>
    <n v="-0.43014772679032248"/>
  </r>
  <r>
    <x v="559"/>
    <x v="559"/>
    <x v="559"/>
    <x v="545"/>
    <n v="39.146339950245483"/>
    <n v="-1295.3598247415357"/>
    <n v="-2.2556366699716165E-2"/>
    <n v="-0.88299919886948586"/>
  </r>
  <r>
    <x v="560"/>
    <x v="560"/>
    <x v="560"/>
    <x v="546"/>
    <n v="39.336230436167931"/>
    <n v="-1358.7280677504386"/>
    <n v="-2.1454279362967874E-2"/>
    <n v="-0.84393047686362643"/>
  </r>
  <r>
    <x v="561"/>
    <x v="561"/>
    <x v="561"/>
    <x v="547"/>
    <n v="39.205071578653687"/>
    <n v="-1268.8876666957876"/>
    <n v="-2.4763118589157598E-2"/>
    <n v="-0.9708398367986133"/>
  </r>
  <r>
    <x v="562"/>
    <x v="562"/>
    <x v="562"/>
    <x v="548"/>
    <n v="39.183629663048904"/>
    <n v="-1403.829892880749"/>
    <n v="-1.7476560379594042E-2"/>
    <n v="-0.68479506969792636"/>
  </r>
  <r>
    <x v="563"/>
    <x v="563"/>
    <x v="563"/>
    <x v="549"/>
    <n v="38.892680220692398"/>
    <n v="-1850.063445208536"/>
    <n v="-2.5726567067633387E-2"/>
    <n v="-1.0005751461376615"/>
  </r>
  <r>
    <x v="564"/>
    <x v="564"/>
    <x v="564"/>
    <x v="550"/>
    <n v="38.828765320764298"/>
    <n v="-3465.3898931789008"/>
    <n v="-2.9071011834255773E-2"/>
    <n v="-1.1287914961494792"/>
  </r>
  <r>
    <x v="565"/>
    <x v="565"/>
    <x v="565"/>
    <x v="551"/>
    <n v="38.964864135080191"/>
    <n v="-3052.1528641573095"/>
    <n v="-2.3579440004229818E-2"/>
    <n v="-0.91876967614608951"/>
  </r>
  <r>
    <x v="566"/>
    <x v="566"/>
    <x v="566"/>
    <x v="260"/>
    <n v="39.17545405404654"/>
    <n v="-1909.884801122098"/>
    <n v="-2.4597415862657936E-2"/>
    <n v="-0.96361493497583151"/>
  </r>
  <r>
    <x v="567"/>
    <x v="567"/>
    <x v="567"/>
    <x v="552"/>
    <n v="39.130750062926694"/>
    <n v="-1435.8674756868568"/>
    <n v="-2.0533909006714056E-2"/>
    <n v="-0.80350726115660709"/>
  </r>
  <r>
    <x v="568"/>
    <x v="568"/>
    <x v="568"/>
    <x v="553"/>
    <n v="38.988648050021737"/>
    <n v="-1878.7440983945999"/>
    <n v="-2.6103440762553949E-2"/>
    <n v="-1.0177378647858071"/>
  </r>
  <r>
    <x v="569"/>
    <x v="569"/>
    <x v="569"/>
    <x v="554"/>
    <n v="38.795882979168347"/>
    <n v="-1163.9386137991751"/>
    <n v="-2.6271104478866235E-2"/>
    <n v="-1.0192106950955999"/>
  </r>
  <r>
    <x v="570"/>
    <x v="570"/>
    <x v="570"/>
    <x v="555"/>
    <n v="38.523485427041813"/>
    <n v="-2523.9241414210555"/>
    <n v="-3.7783451793963321E-2"/>
    <n v="-1.4555502545680827"/>
  </r>
  <r>
    <x v="571"/>
    <x v="571"/>
    <x v="571"/>
    <x v="556"/>
    <n v="38.566920172109974"/>
    <n v="-4738.6335542103916"/>
    <n v="-3.7701081267789545E-2"/>
    <n v="-1.4540145916570701"/>
  </r>
  <r>
    <x v="572"/>
    <x v="572"/>
    <x v="572"/>
    <x v="557"/>
    <n v="38.808775196986339"/>
    <n v="-4912.4502152012137"/>
    <n v="-3.5436985854691544E-2"/>
    <n v="-1.375266017693509"/>
  </r>
  <r>
    <x v="573"/>
    <x v="573"/>
    <x v="573"/>
    <x v="558"/>
    <n v="38.74587260871521"/>
    <n v="-3374.1780982765631"/>
    <n v="-4.1292005463335252E-2"/>
    <n v="-1.5998947834407602"/>
  </r>
  <r>
    <x v="574"/>
    <x v="574"/>
    <x v="574"/>
    <x v="559"/>
    <n v="38.734550115022358"/>
    <n v="-3399.9327392734849"/>
    <n v="-3.9150399769329741E-2"/>
    <n v="-1.5164731218882628"/>
  </r>
  <r>
    <x v="575"/>
    <x v="575"/>
    <x v="575"/>
    <x v="560"/>
    <n v="38.654535470760095"/>
    <n v="-2117.2915739210439"/>
    <n v="-3.7160600819634439E-2"/>
    <n v="-1.436425762497316"/>
  </r>
  <r>
    <x v="576"/>
    <x v="576"/>
    <x v="576"/>
    <x v="561"/>
    <n v="38.692011605742486"/>
    <n v="-2082.8575345492354"/>
    <n v="-3.8980246190025637E-2"/>
    <n v="-1.5082241379791712"/>
  </r>
  <r>
    <x v="577"/>
    <x v="577"/>
    <x v="577"/>
    <x v="562"/>
    <n v="38.744962627111988"/>
    <n v="-1930.6688776320807"/>
    <n v="-3.5017702552696595E-2"/>
    <n v="-1.3567595766915534"/>
  </r>
  <r>
    <x v="578"/>
    <x v="578"/>
    <x v="578"/>
    <x v="563"/>
    <n v="38.779040318894438"/>
    <n v="-4843.2624893749016"/>
    <n v="-3.3394069573973818E-2"/>
    <n v="-1.2949899704210968"/>
  </r>
  <r>
    <x v="579"/>
    <x v="579"/>
    <x v="579"/>
    <x v="564"/>
    <n v="38.919134626081899"/>
    <n v="-5393.0693851568212"/>
    <n v="-3.1118606259755672E-2"/>
    <n v="-1.2111092263994658"/>
  </r>
  <r>
    <x v="580"/>
    <x v="580"/>
    <x v="580"/>
    <x v="565"/>
    <n v="39.040894026744908"/>
    <n v="-2674.3229874333483"/>
    <n v="-3.0336827732989107E-2"/>
    <n v="-1.1843768766312437"/>
  </r>
  <r>
    <x v="581"/>
    <x v="581"/>
    <x v="581"/>
    <x v="566"/>
    <n v="39.123446406842035"/>
    <n v="-1972.5489615480328"/>
    <n v="-2.4309830723582889E-2"/>
    <n v="-0.95108435947349701"/>
  </r>
  <r>
    <x v="582"/>
    <x v="582"/>
    <x v="582"/>
    <x v="567"/>
    <n v="38.700987931111356"/>
    <n v="-2744.8636644328071"/>
    <n v="-3.5338763880918174E-2"/>
    <n v="-1.3676450744558082"/>
  </r>
  <r>
    <x v="583"/>
    <x v="583"/>
    <x v="583"/>
    <x v="568"/>
    <n v="38.749190222946865"/>
    <n v="-2540.8621207301476"/>
    <n v="-3.3661193872102556E-2"/>
    <n v="-1.3043440044815953"/>
  </r>
  <r>
    <x v="584"/>
    <x v="584"/>
    <x v="584"/>
    <x v="569"/>
    <n v="38.686040635817115"/>
    <n v="-2623.735136366915"/>
    <n v="-3.5286803928342693E-2"/>
    <n v="-1.3651067306799765"/>
  </r>
  <r>
    <x v="585"/>
    <x v="585"/>
    <x v="585"/>
    <x v="570"/>
    <n v="38.96595734867163"/>
    <n v="-3380.8852804689959"/>
    <n v="-2.8097507262175674E-2"/>
    <n v="-1.0948462695819288"/>
  </r>
  <r>
    <x v="586"/>
    <x v="586"/>
    <x v="586"/>
    <x v="571"/>
    <n v="38.922076004727387"/>
    <n v="-3853.432526314602"/>
    <n v="-2.9221893985952211E-2"/>
    <n v="-1.1373767787233182"/>
  </r>
  <r>
    <x v="587"/>
    <x v="587"/>
    <x v="587"/>
    <x v="572"/>
    <n v="38.839507583652512"/>
    <n v="-2474.6917288583209"/>
    <n v="-3.2775636244002822E-2"/>
    <n v="-1.2729895724579841"/>
  </r>
  <r>
    <x v="588"/>
    <x v="588"/>
    <x v="588"/>
    <x v="573"/>
    <n v="38.613729414503581"/>
    <n v="-2697.6478280367155"/>
    <n v="-3.8555408648480956E-2"/>
    <n v="-1.4887681170180549"/>
  </r>
  <r>
    <x v="589"/>
    <x v="589"/>
    <x v="589"/>
    <x v="574"/>
    <n v="38.507453005297741"/>
    <n v="-2351.3442306446086"/>
    <n v="-3.9067213979474193E-2"/>
    <n v="-1.5043789063625135"/>
  </r>
  <r>
    <x v="590"/>
    <x v="590"/>
    <x v="590"/>
    <x v="575"/>
    <n v="38.171392614086464"/>
    <n v="-2150.866395379584"/>
    <n v="-4.8119215083156107E-2"/>
    <n v="-1.8367774512208233"/>
  </r>
  <r>
    <x v="591"/>
    <x v="591"/>
    <x v="591"/>
    <x v="576"/>
    <n v="38.128897642444684"/>
    <n v="-1951.0093102095561"/>
    <n v="-4.9438438206053058E-2"/>
    <n v="-1.8850331499609239"/>
  </r>
  <r>
    <x v="592"/>
    <x v="592"/>
    <x v="592"/>
    <x v="252"/>
    <n v="38.181618559243546"/>
    <n v="-4104.7973248797061"/>
    <n v="-4.7844752413896449E-2"/>
    <n v="-1.8267900867288411"/>
  </r>
  <r>
    <x v="593"/>
    <x v="593"/>
    <x v="593"/>
    <x v="577"/>
    <n v="38.22946872679325"/>
    <n v="-5216.3471484954935"/>
    <n v="-4.4474683696165362E-2"/>
    <n v="-1.7002435294965754"/>
  </r>
  <r>
    <x v="594"/>
    <x v="594"/>
    <x v="594"/>
    <x v="578"/>
    <n v="38.07934673300133"/>
    <n v="-3533.1118624697701"/>
    <n v="-4.9722878140990585E-2"/>
    <n v="-1.8934147172935532"/>
  </r>
  <r>
    <x v="595"/>
    <x v="595"/>
    <x v="595"/>
    <x v="372"/>
    <n v="38.103002635106726"/>
    <n v="-3111.1796859533424"/>
    <n v="-4.8314689082272176E-2"/>
    <n v="-1.840934725416179"/>
  </r>
  <r>
    <x v="596"/>
    <x v="596"/>
    <x v="596"/>
    <x v="579"/>
    <n v="38.140967551762749"/>
    <n v="-1675.9952400885595"/>
    <n v="-4.765957375345431E-2"/>
    <n v="-1.8177822560613444"/>
  </r>
  <r>
    <x v="597"/>
    <x v="597"/>
    <x v="597"/>
    <x v="580"/>
    <n v="38.467190720414109"/>
    <n v="-869.90278278241021"/>
    <n v="-3.7440644049184464E-2"/>
    <n v="-1.4402363953351163"/>
  </r>
  <r>
    <x v="598"/>
    <x v="598"/>
    <x v="598"/>
    <x v="581"/>
    <n v="38.499155803732691"/>
    <n v="-652.21688854607055"/>
    <n v="-2.634692048773089E-2"/>
    <n v="-1.0143341968057085"/>
  </r>
  <r>
    <x v="599"/>
    <x v="599"/>
    <x v="599"/>
    <x v="582"/>
    <n v="38.230948668522181"/>
    <n v="-2000.6732864968071"/>
    <n v="-2.608736231129196E-2"/>
    <n v="-0.99734460942014314"/>
  </r>
  <r>
    <x v="600"/>
    <x v="600"/>
    <x v="600"/>
    <x v="128"/>
    <n v="38.188723120044003"/>
    <n v="-2481.7957074185979"/>
    <n v="-2.4276301375155195E-2"/>
    <n v="-0.92708095159454529"/>
  </r>
  <r>
    <x v="601"/>
    <x v="601"/>
    <x v="601"/>
    <x v="545"/>
    <n v="38.837674182542855"/>
    <n v="-574.11712761925446"/>
    <n v="-1.007667323352769E-2"/>
    <n v="-0.39135455188769902"/>
  </r>
  <r>
    <x v="602"/>
    <x v="602"/>
    <x v="602"/>
    <x v="583"/>
    <n v="38.902310939244352"/>
    <n v="-342.69749939841859"/>
    <n v="-5.765170828616043E-3"/>
    <n v="-0.22427846819268232"/>
  </r>
  <r>
    <x v="603"/>
    <x v="603"/>
    <x v="603"/>
    <x v="584"/>
    <n v="34.226943752205187"/>
    <n v="-29292.368501618097"/>
    <n v="-0.1345641127413762"/>
    <n v="-4.6057183178644809"/>
  </r>
  <r>
    <x v="604"/>
    <x v="604"/>
    <x v="604"/>
    <x v="585"/>
    <n v="34.28236551290555"/>
    <n v="-31633.467482832086"/>
    <n v="-0.11483919443081318"/>
    <n v="-3.9369592386847647"/>
  </r>
  <r>
    <x v="605"/>
    <x v="605"/>
    <x v="605"/>
    <x v="586"/>
    <n v="34.26694614030373"/>
    <n v="-24113.580067049304"/>
    <n v="-0.10542291523639773"/>
    <n v="-3.6125213583594462"/>
  </r>
  <r>
    <x v="606"/>
    <x v="606"/>
    <x v="606"/>
    <x v="587"/>
    <n v="34.213514563064606"/>
    <n v="-39144.182218622125"/>
    <n v="-0.10098099030528807"/>
    <n v="-3.454914582402659"/>
  </r>
  <r>
    <x v="607"/>
    <x v="607"/>
    <x v="607"/>
    <x v="588"/>
    <n v="34.202610861149125"/>
    <n v="-43390.183905491722"/>
    <n v="-9.4083504880923846E-2"/>
    <n v="-3.2179015058952625"/>
  </r>
  <r>
    <x v="608"/>
    <x v="608"/>
    <x v="608"/>
    <x v="589"/>
    <n v="34.204241023072044"/>
    <n v="-17902.509584533196"/>
    <n v="-8.8516875948020546E-2"/>
    <n v="-3.0276525595354635"/>
  </r>
  <r>
    <x v="609"/>
    <x v="609"/>
    <x v="609"/>
    <x v="590"/>
    <n v="34.210447997025604"/>
    <n v="-29410.520959566114"/>
    <n v="-8.8436798604953584E-2"/>
    <n v="-3.0254624996981909"/>
  </r>
  <r>
    <x v="610"/>
    <x v="610"/>
    <x v="610"/>
    <x v="591"/>
    <n v="34.183776457491199"/>
    <n v="-33294.825966381875"/>
    <n v="-8.6523492893598453E-2"/>
    <n v="-2.957699739396098"/>
  </r>
  <r>
    <x v="611"/>
    <x v="611"/>
    <x v="611"/>
    <x v="592"/>
    <n v="34.228494385307449"/>
    <n v="-28039.91812025843"/>
    <n v="-8.1092666420906581E-2"/>
    <n v="-2.7756798772776112"/>
  </r>
  <r>
    <x v="612"/>
    <x v="612"/>
    <x v="612"/>
    <x v="593"/>
    <n v="34.209006689437651"/>
    <n v="-21792.778872806113"/>
    <n v="-8.0252958894237336E-2"/>
    <n v="-2.7453740076601303"/>
  </r>
  <r>
    <x v="613"/>
    <x v="613"/>
    <x v="613"/>
    <x v="594"/>
    <n v="34.263305702705892"/>
    <n v="-25919.453130398761"/>
    <n v="-7.6135111877334849E-2"/>
    <n v="-2.6086406129628381"/>
  </r>
  <r>
    <x v="614"/>
    <x v="614"/>
    <x v="614"/>
    <x v="595"/>
    <n v="34.24003867162812"/>
    <n v="-27711.569683030481"/>
    <n v="-7.6043626105527493E-2"/>
    <n v="-2.6037366985840911"/>
  </r>
  <r>
    <x v="615"/>
    <x v="615"/>
    <x v="615"/>
    <x v="596"/>
    <n v="34.316584269086498"/>
    <n v="-11928.238160234003"/>
    <n v="-7.2415412828660541E-2"/>
    <n v="-2.4850496167154175"/>
  </r>
  <r>
    <x v="616"/>
    <x v="616"/>
    <x v="616"/>
    <x v="597"/>
    <n v="34.223622675733822"/>
    <n v="-13586.429383752984"/>
    <n v="-7.5935311336711483E-2"/>
    <n v="-2.5987814429519864"/>
  </r>
  <r>
    <x v="617"/>
    <x v="617"/>
    <x v="617"/>
    <x v="598"/>
    <n v="38.832595475563807"/>
    <n v="3647.299757959001"/>
    <n v="5.1891528612139748E-2"/>
    <n v="2.0150827392038679"/>
  </r>
  <r>
    <x v="618"/>
    <x v="618"/>
    <x v="618"/>
    <x v="599"/>
    <n v="38.762711831570876"/>
    <n v="3802.5747270597931"/>
    <n v="5.0024874891288824E-2"/>
    <n v="1.9390998098214141"/>
  </r>
  <r>
    <x v="619"/>
    <x v="619"/>
    <x v="619"/>
    <x v="600"/>
    <n v="39.291223333393049"/>
    <n v="3090.2444131294033"/>
    <n v="6.383907289202323E-2"/>
    <n v="2.5083152703972429"/>
  </r>
  <r>
    <x v="620"/>
    <x v="620"/>
    <x v="620"/>
    <x v="601"/>
    <n v="39.17047718358706"/>
    <n v="4380.1813175180432"/>
    <n v="5.0967883923702412E-2"/>
    <n v="1.9964363343290989"/>
  </r>
  <r>
    <x v="621"/>
    <x v="621"/>
    <x v="621"/>
    <x v="602"/>
    <n v="39.061777708771523"/>
    <n v="3040.85994486251"/>
    <n v="5.2993501728339332E-2"/>
    <n v="2.0700203845217904"/>
  </r>
  <r>
    <x v="622"/>
    <x v="622"/>
    <x v="622"/>
    <x v="603"/>
    <n v="39.179489015989297"/>
    <n v="1716.1082769418099"/>
    <n v="5.283617717644766E-2"/>
    <n v="2.0700944233314957"/>
  </r>
  <r>
    <x v="623"/>
    <x v="623"/>
    <x v="623"/>
    <x v="604"/>
    <n v="39.247692952156036"/>
    <n v="2504.1761848465831"/>
    <n v="4.8009343449464587E-2"/>
    <n v="1.8842559705391897"/>
  </r>
  <r>
    <x v="624"/>
    <x v="624"/>
    <x v="624"/>
    <x v="605"/>
    <n v="39.232953514996339"/>
    <n v="2400.8720647879381"/>
    <n v="4.7073301899525959E-2"/>
    <n v="1.8468246652214908"/>
  </r>
  <r>
    <x v="625"/>
    <x v="625"/>
    <x v="625"/>
    <x v="606"/>
    <n v="39.061728274534438"/>
    <n v="1589.2551586013105"/>
    <n v="5.263355220515617E-2"/>
    <n v="2.0559575143613333"/>
  </r>
  <r>
    <x v="626"/>
    <x v="626"/>
    <x v="626"/>
    <x v="607"/>
    <n v="39.146345533625158"/>
    <n v="1666.9874771910399"/>
    <n v="5.6030889866011145E-2"/>
    <n v="2.1934045752513684"/>
  </r>
  <r>
    <x v="627"/>
    <x v="627"/>
    <x v="627"/>
    <x v="608"/>
    <n v="39.033982585490243"/>
    <n v="3622.663789278442"/>
    <n v="5.2882021115981462E-2"/>
    <n v="2.0641958913267477"/>
  </r>
  <r>
    <x v="628"/>
    <x v="628"/>
    <x v="628"/>
    <x v="609"/>
    <n v="39.069400768567661"/>
    <n v="3784.9899863492683"/>
    <n v="5.4857660873939548E-2"/>
    <n v="2.1432559379101179"/>
  </r>
  <r>
    <x v="629"/>
    <x v="629"/>
    <x v="629"/>
    <x v="610"/>
    <n v="38.827392170130103"/>
    <n v="2226.4768871227061"/>
    <n v="5.319382350636935E-2"/>
    <n v="2.0653774463104879"/>
  </r>
  <r>
    <x v="630"/>
    <x v="630"/>
    <x v="630"/>
    <x v="611"/>
    <n v="39.415895450089181"/>
    <n v="2818.0077670988394"/>
    <n v="6.3606936220119079E-2"/>
    <n v="2.5071243479527041"/>
  </r>
  <r>
    <x v="631"/>
    <x v="631"/>
    <x v="631"/>
    <x v="436"/>
    <n v="39.424110093748098"/>
    <n v="2792.5661203743439"/>
    <n v="5.9927214193983135E-2"/>
    <n v="2.3625770899952148"/>
  </r>
  <r>
    <x v="632"/>
    <x v="632"/>
    <x v="632"/>
    <x v="612"/>
    <n v="33.606109306133582"/>
    <n v="-13401.080650868797"/>
    <n v="-0.10705212885803421"/>
    <n v="-3.5976055438573948"/>
  </r>
  <r>
    <x v="633"/>
    <x v="633"/>
    <x v="633"/>
    <x v="613"/>
    <n v="33.400891594304895"/>
    <n v="-17668.050365156116"/>
    <n v="-0.11775810848714957"/>
    <n v="-3.9332258159296787"/>
  </r>
  <r>
    <x v="634"/>
    <x v="634"/>
    <x v="634"/>
    <x v="614"/>
    <n v="33.366971164520294"/>
    <n v="-45503.115219669184"/>
    <n v="-0.12363710624104068"/>
    <n v="-4.1253957588095362"/>
  </r>
  <r>
    <x v="635"/>
    <x v="635"/>
    <x v="635"/>
    <x v="615"/>
    <n v="33.370026412336628"/>
    <n v="-46306.946989375574"/>
    <n v="-0.13180859243703943"/>
    <n v="-4.3984562109969199"/>
  </r>
  <r>
    <x v="636"/>
    <x v="636"/>
    <x v="636"/>
    <x v="616"/>
    <n v="33.358516173402222"/>
    <n v="-22114.1073417062"/>
    <n v="-0.13542847644407863"/>
    <n v="-4.517693021799019"/>
  </r>
  <r>
    <x v="637"/>
    <x v="637"/>
    <x v="637"/>
    <x v="617"/>
    <n v="33.372807515310555"/>
    <n v="-25678.600533885707"/>
    <n v="-0.13451867438910678"/>
    <n v="-4.489265827602396"/>
  </r>
  <r>
    <x v="638"/>
    <x v="638"/>
    <x v="638"/>
    <x v="618"/>
    <n v="33.368034810113713"/>
    <n v="-19846.885206585197"/>
    <n v="-0.13870973792178959"/>
    <n v="-4.6284713634760255"/>
  </r>
  <r>
    <x v="639"/>
    <x v="639"/>
    <x v="639"/>
    <x v="619"/>
    <n v="33.379633275773116"/>
    <n v="-44886.100566796085"/>
    <n v="-0.13873054883930622"/>
    <n v="-4.6307748444027741"/>
  </r>
  <r>
    <x v="640"/>
    <x v="640"/>
    <x v="640"/>
    <x v="620"/>
    <n v="33.345406809693038"/>
    <n v="-56973.471367060207"/>
    <n v="-0.14161502561879205"/>
    <n v="-4.7222106396237225"/>
  </r>
  <r>
    <x v="641"/>
    <x v="641"/>
    <x v="641"/>
    <x v="621"/>
    <n v="33.478072363913419"/>
    <n v="-54755.790907080227"/>
    <n v="-0.13910289121714006"/>
    <n v="-4.6568966581969917"/>
  </r>
  <r>
    <x v="642"/>
    <x v="642"/>
    <x v="642"/>
    <x v="622"/>
    <n v="33.39502961777147"/>
    <n v="-64449.329839377024"/>
    <n v="-0.14287147252517846"/>
    <n v="-4.7711970565129569"/>
  </r>
  <r>
    <x v="643"/>
    <x v="643"/>
    <x v="643"/>
    <x v="623"/>
    <n v="33.344720608270372"/>
    <n v="-29457.702254164178"/>
    <n v="-0.14518147445598562"/>
    <n v="-4.8410357032315821"/>
  </r>
  <r>
    <x v="644"/>
    <x v="644"/>
    <x v="644"/>
    <x v="624"/>
    <n v="33.36629433237696"/>
    <n v="-42340.276034181705"/>
    <n v="-0.14374190097085443"/>
    <n v="-4.7961345756889111"/>
  </r>
  <r>
    <x v="645"/>
    <x v="645"/>
    <x v="645"/>
    <x v="625"/>
    <n v="33.396372550863504"/>
    <n v="-31672.734038552793"/>
    <n v="-0.14291567980413986"/>
    <n v="-4.7728652860989742"/>
  </r>
  <r>
    <x v="646"/>
    <x v="646"/>
    <x v="646"/>
    <x v="626"/>
    <n v="39.437967003813419"/>
    <n v="2025.5398024387323"/>
    <n v="3.1664702528099047E-2"/>
    <n v="1.2487914934887376"/>
  </r>
  <r>
    <x v="647"/>
    <x v="647"/>
    <x v="647"/>
    <x v="627"/>
    <n v="39.424302053756861"/>
    <n v="1873.0680458173956"/>
    <n v="3.1422284049948034E-2"/>
    <n v="1.2388016176040977"/>
  </r>
  <r>
    <x v="648"/>
    <x v="648"/>
    <x v="648"/>
    <x v="628"/>
    <n v="39.423311421524886"/>
    <n v="3965.8898597260122"/>
    <n v="3.132905120765344E-2"/>
    <n v="1.2350949423002218"/>
  </r>
  <r>
    <x v="649"/>
    <x v="649"/>
    <x v="649"/>
    <x v="629"/>
    <n v="39.432009084781335"/>
    <n v="3751.3246768555109"/>
    <n v="3.1324991138439305E-2"/>
    <n v="1.2352073351516335"/>
  </r>
  <r>
    <x v="650"/>
    <x v="650"/>
    <x v="650"/>
    <x v="630"/>
    <n v="39.43228741901811"/>
    <n v="1795.8258381606502"/>
    <n v="3.1278856683158426E-2"/>
    <n v="1.2333968668685784"/>
  </r>
  <r>
    <x v="651"/>
    <x v="651"/>
    <x v="651"/>
    <x v="631"/>
    <n v="39.419206101437112"/>
    <n v="1816.1283627592129"/>
    <n v="3.1448580169951057E-2"/>
    <n v="1.2396780633168689"/>
  </r>
  <r>
    <x v="652"/>
    <x v="652"/>
    <x v="652"/>
    <x v="632"/>
    <n v="39.431060937677053"/>
    <n v="1259.7315927688178"/>
    <n v="3.13828066213988E-2"/>
    <n v="1.2374573602837109"/>
  </r>
  <r>
    <x v="653"/>
    <x v="653"/>
    <x v="653"/>
    <x v="633"/>
    <n v="39.43534333163575"/>
    <n v="1326.567892583189"/>
    <n v="3.1438374119237701E-2"/>
    <n v="1.2397830771805505"/>
  </r>
  <r>
    <x v="654"/>
    <x v="654"/>
    <x v="654"/>
    <x v="634"/>
    <n v="39.41842112409018"/>
    <n v="1691.6315619895613"/>
    <n v="3.1624721300595321E-2"/>
    <n v="1.2465965821588514"/>
  </r>
  <r>
    <x v="655"/>
    <x v="655"/>
    <x v="655"/>
    <x v="635"/>
    <n v="39.433920215508003"/>
    <n v="3477.3352904546045"/>
    <n v="3.1381254050479174E-2"/>
    <n v="1.2374858684891832"/>
  </r>
  <r>
    <x v="656"/>
    <x v="656"/>
    <x v="656"/>
    <x v="636"/>
    <n v="39.422768988901595"/>
    <n v="3503.4061256813002"/>
    <n v="3.1413072193815859E-2"/>
    <n v="1.2383902883284907"/>
  </r>
  <r>
    <x v="657"/>
    <x v="657"/>
    <x v="657"/>
    <x v="637"/>
    <n v="39.425272688695038"/>
    <n v="1870.6800127808674"/>
    <n v="3.1278017581214144E-2"/>
    <n v="1.233144372301165"/>
  </r>
  <r>
    <x v="658"/>
    <x v="658"/>
    <x v="658"/>
    <x v="638"/>
    <n v="39.432613458245449"/>
    <n v="1729.3291353005116"/>
    <n v="3.1347606199318055E-2"/>
    <n v="1.2361180380990076"/>
  </r>
  <r>
    <x v="659"/>
    <x v="659"/>
    <x v="659"/>
    <x v="639"/>
    <n v="39.413946084306701"/>
    <n v="1318.5299963629805"/>
    <n v="3.1352752691635843E-2"/>
    <n v="1.235735704182737"/>
  </r>
  <r>
    <x v="660"/>
    <x v="660"/>
    <x v="660"/>
    <x v="322"/>
    <n v="39.440249161851767"/>
    <n v="1678.3182410846857"/>
    <n v="3.1266303532165203E-2"/>
    <n v="1.2331508016786816"/>
  </r>
  <r>
    <x v="661"/>
    <x v="661"/>
    <x v="661"/>
    <x v="193"/>
    <n v="39.415199889432955"/>
    <n v="1752.4785812280243"/>
    <n v="3.1333332685097422E-2"/>
    <n v="1.235009570985218"/>
  </r>
  <r>
    <x v="662"/>
    <x v="662"/>
    <x v="662"/>
    <x v="640"/>
    <n v="36.844704772523528"/>
    <n v="-6756.0095468591899"/>
    <n v="-3.6367406611642075E-2"/>
    <n v="-1.3399463599482724"/>
  </r>
  <r>
    <x v="663"/>
    <x v="663"/>
    <x v="663"/>
    <x v="641"/>
    <n v="36.833078172080938"/>
    <n v="-9292.6562243760272"/>
    <n v="-3.6712901192371292E-2"/>
    <n v="-1.3522491595424952"/>
  </r>
  <r>
    <x v="664"/>
    <x v="664"/>
    <x v="664"/>
    <x v="642"/>
    <n v="36.860924083950557"/>
    <n v="-4296.8133148354973"/>
    <n v="-3.6223818307602094E-2"/>
    <n v="-1.335243416667339"/>
  </r>
  <r>
    <x v="665"/>
    <x v="665"/>
    <x v="665"/>
    <x v="643"/>
    <n v="36.845170015647923"/>
    <n v="-4812.9945664976985"/>
    <n v="-3.9028251432815499E-2"/>
    <n v="-1.4380025594555419"/>
  </r>
  <r>
    <x v="666"/>
    <x v="666"/>
    <x v="666"/>
    <x v="644"/>
    <n v="36.843335604470475"/>
    <n v="-5123.7230572990957"/>
    <n v="-4.3773320370269896E-2"/>
    <n v="-1.6127551329238576"/>
  </r>
  <r>
    <x v="667"/>
    <x v="667"/>
    <x v="667"/>
    <x v="645"/>
    <n v="35.150041717100663"/>
    <n v="-15399.087661910104"/>
    <n v="-9.6667223598655636E-2"/>
    <n v="-3.3978569421690432"/>
  </r>
  <r>
    <x v="668"/>
    <x v="668"/>
    <x v="668"/>
    <x v="646"/>
    <n v="36.845376003683967"/>
    <n v="-5301.8556213929987"/>
    <n v="-4.4535665473747231E-2"/>
    <n v="-1.6409333399545027"/>
  </r>
  <r>
    <x v="669"/>
    <x v="669"/>
    <x v="669"/>
    <x v="647"/>
    <n v="36.875174534786616"/>
    <n v="-12545.716386971006"/>
    <n v="-4.4007399683985003E-2"/>
    <n v="-1.6227805441690604"/>
  </r>
  <r>
    <x v="670"/>
    <x v="670"/>
    <x v="670"/>
    <x v="648"/>
    <n v="35.132419499782145"/>
    <n v="-38176.622177234094"/>
    <n v="-9.7474828563042362E-2"/>
    <n v="-3.4245265677461512"/>
  </r>
  <r>
    <x v="671"/>
    <x v="671"/>
    <x v="671"/>
    <x v="649"/>
    <n v="36.843380889509369"/>
    <n v="-13163.396856966079"/>
    <n v="-4.7899159390688922E-2"/>
    <n v="-1.7647669737184715"/>
  </r>
  <r>
    <x v="672"/>
    <x v="672"/>
    <x v="672"/>
    <x v="650"/>
    <n v="36.844590366452664"/>
    <n v="-12360.16898366122"/>
    <n v="-4.5853973858666963E-2"/>
    <n v="-1.689470883496613"/>
  </r>
  <r>
    <x v="673"/>
    <x v="673"/>
    <x v="673"/>
    <x v="651"/>
    <n v="36.845333835184917"/>
    <n v="-9124.7408595351153"/>
    <n v="-4.7524435885592811E-2"/>
    <n v="-1.7510537055335089"/>
  </r>
  <r>
    <x v="674"/>
    <x v="674"/>
    <x v="674"/>
    <x v="652"/>
    <n v="35.136588200488795"/>
    <n v="-19212.20858367582"/>
    <n v="-9.5408550057065944E-2"/>
    <n v="-3.352330934160848"/>
  </r>
  <r>
    <x v="675"/>
    <x v="675"/>
    <x v="675"/>
    <x v="653"/>
    <n v="36.849327724951479"/>
    <n v="-4762.4753723303002"/>
    <n v="-4.2569780082723704E-2"/>
    <n v="-1.568667777447398"/>
  </r>
  <r>
    <x v="676"/>
    <x v="676"/>
    <x v="676"/>
    <x v="654"/>
    <n v="36.849936978847062"/>
    <n v="-9198.0996277831146"/>
    <n v="-4.2873521706933114E-2"/>
    <n v="-1.5798865729617166"/>
  </r>
  <r>
    <x v="677"/>
    <x v="677"/>
    <x v="677"/>
    <x v="655"/>
    <n v="35.090051892484809"/>
    <n v="-26670.915930537332"/>
    <n v="-9.5163462543798621E-2"/>
    <n v="-3.3392908389304283"/>
  </r>
  <r>
    <x v="678"/>
    <x v="678"/>
    <x v="678"/>
    <x v="656"/>
    <n v="36.850749645590604"/>
    <n v="-6099.5745901850169"/>
    <n v="-4.5472814559049043E-2"/>
    <n v="-1.6757073049958837"/>
  </r>
  <r>
    <x v="679"/>
    <x v="679"/>
    <x v="679"/>
    <x v="657"/>
    <n v="40.309437779270127"/>
    <n v="4294.1613560562982"/>
    <n v="4.5564552746455593E-2"/>
    <n v="1.8366815038735236"/>
  </r>
  <r>
    <x v="680"/>
    <x v="680"/>
    <x v="680"/>
    <x v="658"/>
    <n v="35.105822076585582"/>
    <n v="-12387.188585901575"/>
    <n v="-9.4244879173939006E-2"/>
    <n v="-3.3085439599096085"/>
  </r>
  <r>
    <x v="681"/>
    <x v="681"/>
    <x v="681"/>
    <x v="659"/>
    <n v="35.079208128789467"/>
    <n v="-13771.659083439095"/>
    <n v="-9.3118480354665037E-2"/>
    <n v="-3.2665225529978881"/>
  </r>
  <r>
    <x v="682"/>
    <x v="682"/>
    <x v="682"/>
    <x v="660"/>
    <n v="35.059597627617848"/>
    <n v="-13243.062886831205"/>
    <n v="-9.4432507665170085E-2"/>
    <n v="-3.3107657217078015"/>
  </r>
  <r>
    <x v="683"/>
    <x v="683"/>
    <x v="683"/>
    <x v="661"/>
    <n v="35.102290670784498"/>
    <n v="-33126.546680251893"/>
    <n v="-9.2484777604187621E-2"/>
    <n v="-3.2464275460850542"/>
  </r>
  <r>
    <x v="684"/>
    <x v="684"/>
    <x v="684"/>
    <x v="662"/>
    <n v="35.094914912942016"/>
    <n v="-35073.090347656922"/>
    <n v="-9.2801386147265852E-2"/>
    <n v="-3.2568567506413708"/>
  </r>
  <r>
    <x v="685"/>
    <x v="685"/>
    <x v="685"/>
    <x v="663"/>
    <n v="35.130119176183406"/>
    <n v="-15943.526102593518"/>
    <n v="-9.449137471206065E-2"/>
    <n v="-3.3194932547560936"/>
  </r>
  <r>
    <x v="686"/>
    <x v="686"/>
    <x v="686"/>
    <x v="640"/>
    <n v="35.143310158096035"/>
    <n v="-16422.733887609676"/>
    <n v="-9.268297143926249E-2"/>
    <n v="-3.2571864116639579"/>
  </r>
  <r>
    <x v="687"/>
    <x v="687"/>
    <x v="687"/>
    <x v="664"/>
    <n v="35.091835350632522"/>
    <n v="-14256.615925351187"/>
    <n v="-9.3566535200084219E-2"/>
    <n v="-3.2834214475705177"/>
  </r>
  <r>
    <x v="688"/>
    <x v="688"/>
    <x v="688"/>
    <x v="665"/>
    <n v="35.095622303549838"/>
    <n v="-13931.11378001378"/>
    <n v="-9.446628653942879E-2"/>
    <n v="-3.3153531128067062"/>
  </r>
  <r>
    <x v="689"/>
    <x v="689"/>
    <x v="689"/>
    <x v="666"/>
    <n v="35.099289805433962"/>
    <n v="-13620.457411916606"/>
    <n v="-9.3484719684610001E-2"/>
    <n v="-3.2812472685898837"/>
  </r>
  <r>
    <x v="690"/>
    <x v="690"/>
    <x v="690"/>
    <x v="667"/>
    <n v="35.138786799664103"/>
    <n v="-27931.156752157432"/>
    <n v="-9.2784064270354391E-2"/>
    <n v="-3.2603194528023152"/>
  </r>
  <r>
    <x v="691"/>
    <x v="691"/>
    <x v="691"/>
    <x v="668"/>
    <n v="35.128597443114849"/>
    <n v="-29201.95155470079"/>
    <n v="-9.4346515404681461E-2"/>
    <n v="-3.3142607598116887"/>
  </r>
  <r>
    <x v="692"/>
    <x v="692"/>
    <x v="692"/>
    <x v="669"/>
    <n v="35.098879569011252"/>
    <n v="-15096.019208392099"/>
    <n v="-9.8987283451040325E-2"/>
    <n v="-3.4743427407116454"/>
  </r>
  <r>
    <x v="693"/>
    <x v="693"/>
    <x v="693"/>
    <x v="670"/>
    <n v="41.152082299483993"/>
    <n v="5335.7947062355233"/>
    <n v="6.693876194274237E-2"/>
    <n v="2.7546694404933008"/>
  </r>
  <r>
    <x v="694"/>
    <x v="694"/>
    <x v="694"/>
    <x v="671"/>
    <n v="35.133347820885668"/>
    <n v="-10435.1449051987"/>
    <n v="-9.3992211126144545E-2"/>
    <n v="-3.3022610459489559"/>
  </r>
  <r>
    <x v="695"/>
    <x v="695"/>
    <x v="695"/>
    <x v="672"/>
    <n v="35.118610518961411"/>
    <n v="-22893.110623504122"/>
    <n v="-9.4147853550719127E-2"/>
    <n v="-3.3063418000439229"/>
  </r>
  <r>
    <x v="696"/>
    <x v="696"/>
    <x v="696"/>
    <x v="673"/>
    <n v="33.586021916520799"/>
    <n v="-43900.690609009704"/>
    <n v="-0.14095890760992999"/>
    <n v="-4.7342489603159388"/>
  </r>
  <r>
    <x v="697"/>
    <x v="697"/>
    <x v="697"/>
    <x v="591"/>
    <n v="33.390424928662398"/>
    <n v="-55449.67327172379"/>
    <n v="-0.14752118063324474"/>
    <n v="-4.9257949073220031"/>
  </r>
  <r>
    <x v="698"/>
    <x v="698"/>
    <x v="698"/>
    <x v="674"/>
    <n v="33.385026422556976"/>
    <n v="-64255.959650086239"/>
    <n v="-0.14783731378453344"/>
    <n v="-4.935552626936496"/>
  </r>
  <r>
    <x v="699"/>
    <x v="699"/>
    <x v="699"/>
    <x v="675"/>
    <n v="33.42734505609419"/>
    <n v="-35455.761603663181"/>
    <n v="-0.14857562034866689"/>
    <n v="-4.9664885283181368"/>
  </r>
  <r>
    <x v="700"/>
    <x v="700"/>
    <x v="700"/>
    <x v="676"/>
    <n v="35.114329376733991"/>
    <n v="-23327.483725148108"/>
    <n v="-8.9496088802061766E-2"/>
    <n v="-3.1425951401250312"/>
  </r>
  <r>
    <x v="701"/>
    <x v="701"/>
    <x v="701"/>
    <x v="677"/>
    <n v="35.107677283687288"/>
    <n v="-23443.776796490303"/>
    <n v="-8.9345438940733407E-2"/>
    <n v="-3.1367108371006562"/>
  </r>
  <r>
    <x v="702"/>
    <x v="702"/>
    <x v="702"/>
    <x v="678"/>
    <n v="35.209426204803542"/>
    <n v="-21369.909138004121"/>
    <n v="-8.6017171169737935E-2"/>
    <n v="-3.0286152406468427"/>
  </r>
  <r>
    <x v="703"/>
    <x v="703"/>
    <x v="703"/>
    <x v="679"/>
    <n v="35.074813409224355"/>
    <n v="-18061.562734780106"/>
    <n v="-8.9836696355332382E-2"/>
    <n v="-3.1510053619644287"/>
  </r>
  <r>
    <x v="704"/>
    <x v="704"/>
    <x v="704"/>
    <x v="680"/>
    <n v="35.150559961944161"/>
    <n v="-27758.769010809599"/>
    <n v="-8.7376695907115859E-2"/>
    <n v="-3.0713397887596372"/>
  </r>
  <r>
    <x v="705"/>
    <x v="705"/>
    <x v="705"/>
    <x v="681"/>
    <n v="35.254528510493046"/>
    <n v="-31857.164392208564"/>
    <n v="-8.4160683259455291E-2"/>
    <n v="-2.9670452074330411"/>
  </r>
  <r>
    <x v="706"/>
    <x v="706"/>
    <x v="706"/>
    <x v="682"/>
    <n v="35.499616908191676"/>
    <n v="-15035.99514289471"/>
    <n v="-7.6939823734422874E-2"/>
    <n v="-2.7313342675558054"/>
  </r>
  <r>
    <x v="707"/>
    <x v="707"/>
    <x v="707"/>
    <x v="683"/>
    <n v="41.147226282315629"/>
    <n v="6442.0121145928715"/>
    <n v="7.1228415625750024E-2"/>
    <n v="2.930851735483563"/>
  </r>
  <r>
    <x v="708"/>
    <x v="708"/>
    <x v="708"/>
    <x v="684"/>
    <n v="36.880564461759526"/>
    <n v="-3991.3791572236078"/>
    <n v="-3.3926162872169839E-2"/>
    <n v="-1.2512160367472125"/>
  </r>
  <r>
    <x v="709"/>
    <x v="709"/>
    <x v="709"/>
    <x v="685"/>
    <n v="37.04388973694644"/>
    <n v="-4157.6511351204826"/>
    <n v="-2.9427324187900811E-2"/>
    <n v="-1.0901025524699746"/>
  </r>
  <r>
    <x v="710"/>
    <x v="710"/>
    <x v="710"/>
    <x v="686"/>
    <n v="36.892989939111828"/>
    <n v="-4542.1824302543828"/>
    <n v="-3.4104643779900433E-2"/>
    <n v="-1.2582222798488596"/>
  </r>
  <r>
    <x v="711"/>
    <x v="711"/>
    <x v="711"/>
    <x v="687"/>
    <n v="36.883291524071367"/>
    <n v="-7999.7600964033045"/>
    <n v="-3.4831199138147764E-2"/>
    <n v="-1.2846892719452874"/>
  </r>
  <r>
    <x v="712"/>
    <x v="712"/>
    <x v="712"/>
    <x v="688"/>
    <n v="35.394693045937167"/>
    <n v="-26132.277014916937"/>
    <n v="-7.8360284306798922E-2"/>
    <n v="-2.7735382100315151"/>
  </r>
  <r>
    <x v="713"/>
    <x v="713"/>
    <x v="713"/>
    <x v="353"/>
    <n v="36.981030242541607"/>
    <n v="-5967.5156742096879"/>
    <n v="-3.2183274754557893E-2"/>
    <n v="-1.1901706570023309"/>
  </r>
  <r>
    <x v="714"/>
    <x v="714"/>
    <x v="714"/>
    <x v="689"/>
    <n v="36.868108837417537"/>
    <n v="-6037.9201309999917"/>
    <n v="-3.4734000480506573E-2"/>
    <n v="-1.2805769100742295"/>
  </r>
  <r>
    <x v="715"/>
    <x v="715"/>
    <x v="715"/>
    <x v="690"/>
    <n v="35.459066546240372"/>
    <n v="-16851.621954859991"/>
    <n v="-7.6503791993286649E-2"/>
    <n v="-2.7127530513296829"/>
  </r>
  <r>
    <x v="716"/>
    <x v="716"/>
    <x v="716"/>
    <x v="691"/>
    <n v="35.606388943855187"/>
    <n v="-17025.837704843405"/>
    <n v="-7.2614738621117988E-2"/>
    <n v="-2.5855486263999095"/>
  </r>
  <r>
    <x v="717"/>
    <x v="717"/>
    <x v="717"/>
    <x v="692"/>
    <n v="35.329389861230403"/>
    <n v="-17216.217148554715"/>
    <n v="-8.0533104580148798E-2"/>
    <n v="-2.8451854484473169"/>
  </r>
  <r>
    <x v="718"/>
    <x v="718"/>
    <x v="718"/>
    <x v="693"/>
    <n v="35.298453522102427"/>
    <n v="-22291.537519698206"/>
    <n v="-8.148593309039745E-2"/>
    <n v="-2.8763274218965429"/>
  </r>
  <r>
    <x v="719"/>
    <x v="719"/>
    <x v="719"/>
    <x v="694"/>
    <n v="35.564466640592201"/>
    <n v="-24716.372457489197"/>
    <n v="-7.3232223189504508E-2"/>
    <n v="-2.6044649586395359"/>
  </r>
  <r>
    <x v="720"/>
    <x v="720"/>
    <x v="720"/>
    <x v="695"/>
    <n v="35.443355513958558"/>
    <n v="-12109.189833004493"/>
    <n v="-7.7966472120871211E-2"/>
    <n v="-2.7633933895491771"/>
  </r>
  <r>
    <x v="721"/>
    <x v="721"/>
    <x v="721"/>
    <x v="696"/>
    <n v="35.29079832310854"/>
    <n v="-23541.591262196016"/>
    <n v="-8.1390250015233978E-2"/>
    <n v="-2.8723268987550044"/>
  </r>
  <r>
    <x v="722"/>
    <x v="722"/>
    <x v="722"/>
    <x v="506"/>
    <n v="35.329497070124972"/>
    <n v="-25174.285312968714"/>
    <n v="-8.0396833783336258E-2"/>
    <n v="-2.8403797035957026"/>
  </r>
  <r>
    <x v="723"/>
    <x v="723"/>
    <x v="723"/>
    <x v="697"/>
    <n v="41.066787986687402"/>
    <n v="18746.177541161102"/>
    <n v="6.986229682065645E-2"/>
    <n v="2.8690201317969239"/>
  </r>
  <r>
    <x v="724"/>
    <x v="724"/>
    <x v="724"/>
    <x v="698"/>
    <n v="41.11406058265014"/>
    <n v="27831.943709602696"/>
    <n v="7.0958559613968158E-2"/>
    <n v="2.9173945188262782"/>
  </r>
  <r>
    <x v="725"/>
    <x v="725"/>
    <x v="725"/>
    <x v="699"/>
    <n v="41.071555199278684"/>
    <n v="9365.4264522418962"/>
    <n v="7.0032884353860153E-2"/>
    <n v="2.8763594755042678"/>
  </r>
  <r>
    <x v="726"/>
    <x v="726"/>
    <x v="726"/>
    <x v="700"/>
    <n v="41.121929482518809"/>
    <n v="5901.951349996074"/>
    <n v="7.1298167268662754E-2"/>
    <n v="2.9319182066547809"/>
  </r>
  <r>
    <x v="727"/>
    <x v="727"/>
    <x v="727"/>
    <x v="701"/>
    <n v="41.089147147718897"/>
    <n v="4906.7603276660011"/>
    <n v="7.0577676936647862E-2"/>
    <n v="2.8999765529940906"/>
  </r>
  <r>
    <x v="728"/>
    <x v="728"/>
    <x v="728"/>
    <x v="702"/>
    <n v="41.132118984342178"/>
    <n v="9520.4850056873984"/>
    <n v="7.157114652130514E-2"/>
    <n v="2.943872914560111"/>
  </r>
  <r>
    <x v="729"/>
    <x v="729"/>
    <x v="729"/>
    <x v="703"/>
    <n v="35.119233578361843"/>
    <n v="-14110.625323383108"/>
    <n v="-8.7498246836054505E-2"/>
    <n v="-3.0728713683325584"/>
  </r>
  <r>
    <x v="730"/>
    <x v="730"/>
    <x v="730"/>
    <x v="704"/>
    <n v="35.08548662579566"/>
    <n v="-18477.04468813882"/>
    <n v="-8.8583563271102617E-2"/>
    <n v="-3.1079974244135946"/>
  </r>
  <r>
    <x v="731"/>
    <x v="731"/>
    <x v="731"/>
    <x v="705"/>
    <n v="35.123842542788559"/>
    <n v="-28472.213353512925"/>
    <n v="-8.7483653522479027E-2"/>
    <n v="-3.072762071391423"/>
  </r>
  <r>
    <x v="732"/>
    <x v="732"/>
    <x v="732"/>
    <x v="706"/>
    <n v="35.12118269080802"/>
    <n v="-9798.044043060203"/>
    <n v="-8.7756587562071386E-2"/>
    <n v="-3.0821151440893999"/>
  </r>
  <r>
    <x v="733"/>
    <x v="733"/>
    <x v="733"/>
    <x v="707"/>
    <n v="35.087749948463376"/>
    <n v="-23254.563848602993"/>
    <n v="-8.8615388520986174E-2"/>
    <n v="-3.1093145940102946"/>
  </r>
  <r>
    <x v="734"/>
    <x v="734"/>
    <x v="734"/>
    <x v="708"/>
    <n v="35.050604796198385"/>
    <n v="-14781.410617199697"/>
    <n v="-8.9841559138522098E-2"/>
    <n v="-3.149000983638623"/>
  </r>
  <r>
    <x v="735"/>
    <x v="735"/>
    <x v="735"/>
    <x v="709"/>
    <n v="35.061857261149918"/>
    <n v="-24586.094870463887"/>
    <n v="-8.9407184888115693E-2"/>
    <n v="-3.1347819546683522"/>
  </r>
  <r>
    <x v="736"/>
    <x v="736"/>
    <x v="736"/>
    <x v="710"/>
    <n v="35.079324032311199"/>
    <n v="-18904.242949418316"/>
    <n v="-8.7625994142604885E-2"/>
    <n v="-3.07386064218184"/>
  </r>
  <r>
    <x v="737"/>
    <x v="737"/>
    <x v="737"/>
    <x v="711"/>
    <n v="41.085790377979507"/>
    <n v="7036.4226955564955"/>
    <n v="7.1329325065436239E-2"/>
    <n v="2.9306216974412727"/>
  </r>
  <r>
    <x v="738"/>
    <x v="738"/>
    <x v="738"/>
    <x v="712"/>
    <n v="41.151114653219295"/>
    <n v="5412.3540339141327"/>
    <n v="7.2745505736676597E-2"/>
    <n v="2.9935586470764011"/>
  </r>
  <r>
    <x v="739"/>
    <x v="739"/>
    <x v="739"/>
    <x v="713"/>
    <n v="41.091882419532723"/>
    <n v="7570.6600755757245"/>
    <n v="7.1024426921929992E-2"/>
    <n v="2.9185273999906416"/>
  </r>
  <r>
    <x v="740"/>
    <x v="740"/>
    <x v="740"/>
    <x v="714"/>
    <n v="41.120848563509526"/>
    <n v="9666.1926830830926"/>
    <n v="7.1798389838766602E-2"/>
    <n v="2.9524107156637425"/>
  </r>
  <r>
    <x v="741"/>
    <x v="741"/>
    <x v="741"/>
    <x v="715"/>
    <n v="41.12988357857234"/>
    <n v="6474.364817928712"/>
    <n v="7.1324273066309049E-2"/>
    <n v="2.9335590475435942"/>
  </r>
  <r>
    <x v="742"/>
    <x v="742"/>
    <x v="742"/>
    <x v="716"/>
    <n v="41.157364606448425"/>
    <n v="8822.6359156836988"/>
    <n v="7.2690227286425838E-2"/>
    <n v="2.9917381877530347"/>
  </r>
  <r>
    <x v="743"/>
    <x v="743"/>
    <x v="743"/>
    <x v="717"/>
    <n v="41.144210634662464"/>
    <n v="7219.0390082211379"/>
    <n v="7.2592876126914258E-2"/>
    <n v="2.9867765859417204"/>
  </r>
  <r>
    <x v="744"/>
    <x v="744"/>
    <x v="744"/>
    <x v="718"/>
    <n v="41.111646551137696"/>
    <n v="4827.1900986080873"/>
    <n v="7.1421294570766888E-2"/>
    <n v="2.936247018618058"/>
  </r>
  <r>
    <x v="745"/>
    <x v="745"/>
    <x v="745"/>
    <x v="719"/>
    <n v="41.151391086331131"/>
    <n v="4494.4959206187996"/>
    <n v="7.2860951256522144E-2"/>
    <n v="2.9983295000792527"/>
  </r>
  <r>
    <x v="746"/>
    <x v="746"/>
    <x v="746"/>
    <x v="720"/>
    <n v="41.120320666618397"/>
    <n v="10762.034024114808"/>
    <n v="7.1743579040315711E-2"/>
    <n v="2.9501189759086643"/>
  </r>
  <r>
    <x v="747"/>
    <x v="747"/>
    <x v="747"/>
    <x v="721"/>
    <n v="41.119379511071131"/>
    <n v="13710.066272008116"/>
    <n v="7.1672622482317733E-2"/>
    <n v="2.9471337644041524"/>
  </r>
  <r>
    <x v="748"/>
    <x v="748"/>
    <x v="748"/>
    <x v="722"/>
    <n v="41.116989714448998"/>
    <n v="6577.2712314197706"/>
    <n v="7.1032328928114119E-2"/>
    <n v="2.9206355379306266"/>
  </r>
  <r>
    <x v="749"/>
    <x v="749"/>
    <x v="749"/>
    <x v="723"/>
    <n v="41.131546155485431"/>
    <n v="6985.6947847064876"/>
    <n v="7.2056802921722632E-2"/>
    <n v="2.9638077151915518"/>
  </r>
  <r>
    <x v="750"/>
    <x v="750"/>
    <x v="750"/>
    <x v="724"/>
    <n v="41.115390379294752"/>
    <n v="5059.6181089359889"/>
    <n v="7.1754508799816652E-2"/>
    <n v="2.9502146407790022"/>
  </r>
  <r>
    <x v="751"/>
    <x v="751"/>
    <x v="751"/>
    <x v="725"/>
    <n v="33.415094235594928"/>
    <n v="-22760.648776040121"/>
    <n v="-0.14261907940862067"/>
    <n v="-4.7656299782328562"/>
  </r>
  <r>
    <x v="752"/>
    <x v="752"/>
    <x v="752"/>
    <x v="726"/>
    <n v="41.183214628870012"/>
    <n v="5152.0108552698657"/>
    <n v="7.6842613210113542E-2"/>
    <n v="3.1646258324753473"/>
  </r>
  <r>
    <x v="753"/>
    <x v="753"/>
    <x v="753"/>
    <x v="727"/>
    <n v="34.197955264302088"/>
    <n v="-27373.688389592629"/>
    <n v="-0.10254267258204992"/>
    <n v="-3.5067497296429195"/>
  </r>
  <r>
    <x v="754"/>
    <x v="754"/>
    <x v="754"/>
    <x v="728"/>
    <n v="34.23151191879716"/>
    <n v="-30820.842232169118"/>
    <n v="-9.7759459319470207E-2"/>
    <n v="-3.346454096869611"/>
  </r>
  <r>
    <x v="755"/>
    <x v="755"/>
    <x v="755"/>
    <x v="729"/>
    <n v="34.276929790596462"/>
    <n v="-14366.791501012893"/>
    <n v="-9.6331603814056352E-2"/>
    <n v="-3.3019516205499637"/>
  </r>
  <r>
    <x v="756"/>
    <x v="756"/>
    <x v="756"/>
    <x v="730"/>
    <n v="34.273819401365081"/>
    <n v="-19450.560657938826"/>
    <n v="-9.0395811724901673E-2"/>
    <n v="-3.0982097256990802"/>
  </r>
  <r>
    <x v="757"/>
    <x v="757"/>
    <x v="757"/>
    <x v="731"/>
    <n v="34.24531013971442"/>
    <n v="-16733.681695575011"/>
    <n v="-8.1548991629769307E-2"/>
    <n v="-2.7926705099424249"/>
  </r>
  <r>
    <x v="758"/>
    <x v="758"/>
    <x v="758"/>
    <x v="732"/>
    <n v="34.230207251188347"/>
    <n v="-17277.984321203199"/>
    <n v="-8.0567979341788526E-2"/>
    <n v="-2.7578586306788826"/>
  </r>
  <r>
    <x v="759"/>
    <x v="759"/>
    <x v="759"/>
    <x v="733"/>
    <n v="34.207229347202095"/>
    <n v="-14871.874635237589"/>
    <n v="-7.5966841589298686E-2"/>
    <n v="-2.5986151730277109"/>
  </r>
  <r>
    <x v="760"/>
    <x v="760"/>
    <x v="760"/>
    <x v="734"/>
    <n v="33.444061282595612"/>
    <n v="-39214.600316826662"/>
    <n v="-9.8533026135618346E-2"/>
    <n v="-3.2953445644392154"/>
  </r>
  <r>
    <x v="761"/>
    <x v="761"/>
    <x v="761"/>
    <x v="735"/>
    <n v="33.405220166374939"/>
    <n v="-49269.102579966362"/>
    <n v="-9.6115498029717916E-2"/>
    <n v="-3.2107593730835036"/>
  </r>
  <r>
    <x v="762"/>
    <x v="762"/>
    <x v="762"/>
    <x v="736"/>
    <n v="33.425910642018607"/>
    <n v="-20558.125165614387"/>
    <n v="-9.425833022796401E-2"/>
    <n v="-3.1506705234658066"/>
  </r>
  <r>
    <x v="763"/>
    <x v="763"/>
    <x v="763"/>
    <x v="737"/>
    <n v="33.389573218434208"/>
    <n v="-32172.849996269157"/>
    <n v="-9.4903948107943642E-2"/>
    <n v="-3.1688023240686651"/>
  </r>
  <r>
    <x v="764"/>
    <x v="764"/>
    <x v="764"/>
    <x v="738"/>
    <n v="34.267665023110325"/>
    <n v="-17529.259781234839"/>
    <n v="-6.3028507899831707E-2"/>
    <n v="-2.1598397956178954"/>
  </r>
  <r>
    <x v="765"/>
    <x v="765"/>
    <x v="765"/>
    <x v="739"/>
    <n v="34.253021344706106"/>
    <n v="-16232.97298957163"/>
    <n v="-6.1451453543612859E-2"/>
    <n v="-2.1048979498925871"/>
  </r>
  <r>
    <x v="766"/>
    <x v="766"/>
    <x v="766"/>
    <x v="740"/>
    <n v="34.342443782003613"/>
    <n v="-11594.158490269096"/>
    <n v="-5.8622044161252267E-2"/>
    <n v="-2.0132242559939391"/>
  </r>
  <r>
    <x v="767"/>
    <x v="767"/>
    <x v="767"/>
    <x v="741"/>
    <n v="34.285760331222704"/>
    <n v="-19538.802589632454"/>
    <n v="-5.9981157441414919E-2"/>
    <n v="-2.0564995884256874"/>
  </r>
  <r>
    <x v="768"/>
    <x v="768"/>
    <x v="768"/>
    <x v="742"/>
    <n v="34.276935091071429"/>
    <n v="-22322.456648435968"/>
    <n v="-6.0077343934604219E-2"/>
    <n v="-2.0592672184904028"/>
  </r>
  <r>
    <x v="769"/>
    <x v="769"/>
    <x v="769"/>
    <x v="743"/>
    <n v="34.305694015687045"/>
    <n v="-10459.140493101499"/>
    <n v="-5.9909726393209628E-2"/>
    <n v="-2.0552447422089797"/>
  </r>
  <r>
    <x v="770"/>
    <x v="770"/>
    <x v="770"/>
    <x v="744"/>
    <n v="34.251580321887843"/>
    <n v="-12883.467527500994"/>
    <n v="-6.1794361810307376E-2"/>
    <n v="-2.116554546985542"/>
  </r>
  <r>
    <x v="771"/>
    <x v="771"/>
    <x v="771"/>
    <x v="745"/>
    <n v="41.15692482593284"/>
    <n v="9812.8998495408887"/>
    <n v="0.11613563516762697"/>
    <n v="4.7797856062059854"/>
  </r>
  <r>
    <x v="772"/>
    <x v="772"/>
    <x v="772"/>
    <x v="746"/>
    <n v="42.006164400098299"/>
    <n v="10281.686425805528"/>
    <n v="0.13411842908585389"/>
    <n v="5.6338007812633029"/>
  </r>
  <r>
    <x v="773"/>
    <x v="773"/>
    <x v="773"/>
    <x v="382"/>
    <n v="41.99012489148182"/>
    <n v="8543.6019301362903"/>
    <n v="0.13342093970616767"/>
    <n v="5.6023619214008464"/>
  </r>
  <r>
    <x v="774"/>
    <x v="774"/>
    <x v="774"/>
    <x v="747"/>
    <n v="42.021449708714066"/>
    <n v="19256.48280086751"/>
    <n v="0.12937708984371285"/>
    <n v="5.4366128743273601"/>
  </r>
  <r>
    <x v="775"/>
    <x v="775"/>
    <x v="775"/>
    <x v="748"/>
    <n v="42.032036036424827"/>
    <n v="22002.524246382498"/>
    <n v="0.12752018056646186"/>
    <n v="5.359932824940925"/>
  </r>
  <r>
    <x v="776"/>
    <x v="776"/>
    <x v="776"/>
    <x v="749"/>
    <n v="42.020851481431968"/>
    <n v="11613.158364054631"/>
    <n v="0.13198021230460236"/>
    <n v="5.5459208997395564"/>
  </r>
  <r>
    <x v="777"/>
    <x v="777"/>
    <x v="777"/>
    <x v="750"/>
    <n v="41.988225017152246"/>
    <n v="14776.156169170601"/>
    <n v="0.11969792618879405"/>
    <n v="5.0259034589015652"/>
  </r>
  <r>
    <x v="778"/>
    <x v="778"/>
    <x v="778"/>
    <x v="751"/>
    <n v="42.012325841210973"/>
    <n v="9075.4430352586933"/>
    <n v="0.11733763255637537"/>
    <n v="4.9296268523947271"/>
  </r>
  <r>
    <x v="779"/>
    <x v="779"/>
    <x v="779"/>
    <x v="752"/>
    <n v="35.098923577344934"/>
    <n v="-8558.5009787419112"/>
    <n v="-5.3839570460526953E-2"/>
    <n v="-1.8897109690311131"/>
  </r>
  <r>
    <x v="780"/>
    <x v="780"/>
    <x v="780"/>
    <x v="753"/>
    <n v="41.977123735186758"/>
    <n v="8105.1028447604476"/>
    <n v="0.11645585445823246"/>
    <n v="4.8884818122801255"/>
  </r>
  <r>
    <x v="781"/>
    <x v="781"/>
    <x v="781"/>
    <x v="754"/>
    <n v="41.98792038500526"/>
    <n v="17829.243871219485"/>
    <n v="0.11055140162639909"/>
    <n v="4.6418234499399862"/>
  </r>
  <r>
    <x v="782"/>
    <x v="782"/>
    <x v="782"/>
    <x v="755"/>
    <n v="35.120418660084503"/>
    <n v="-20230.925056327193"/>
    <n v="-6.2207832600708814E-2"/>
    <n v="-2.1847651248733468"/>
  </r>
  <r>
    <x v="783"/>
    <x v="783"/>
    <x v="783"/>
    <x v="756"/>
    <n v="42.009226969002633"/>
    <n v="10501.801466414516"/>
    <n v="0.10831367949103937"/>
    <n v="4.5501739455868782"/>
  </r>
  <r>
    <x v="784"/>
    <x v="784"/>
    <x v="784"/>
    <x v="757"/>
    <n v="42.02390389113846"/>
    <n v="9263.759069288426"/>
    <n v="0.10869833861663954"/>
    <n v="4.5679285351520837"/>
  </r>
  <r>
    <x v="785"/>
    <x v="785"/>
    <x v="785"/>
    <x v="758"/>
    <n v="41.977616327086764"/>
    <n v="5541.0763036427088"/>
    <n v="0.10146098175341073"/>
    <n v="4.2590901642142267"/>
  </r>
  <r>
    <x v="786"/>
    <x v="786"/>
    <x v="786"/>
    <x v="759"/>
    <n v="36.841668496305758"/>
    <n v="-207.44405498895503"/>
    <n v="-2.544370131996306E-3"/>
    <n v="-9.373884093490964E-2"/>
  </r>
  <r>
    <x v="787"/>
    <x v="787"/>
    <x v="787"/>
    <x v="517"/>
    <n v="36.545761271613898"/>
    <n v="-1649.9642050806142"/>
    <n v="-1.0251565699793949E-2"/>
    <n v="-0.37465127272493509"/>
  </r>
  <r>
    <x v="788"/>
    <x v="788"/>
    <x v="788"/>
    <x v="760"/>
    <n v="38.244427034941261"/>
    <n v="5633.0137294442975"/>
    <n v="2.9845955965128138E-2"/>
    <n v="1.141441485196413"/>
  </r>
  <r>
    <x v="789"/>
    <x v="789"/>
    <x v="789"/>
    <x v="761"/>
    <n v="38.500892827076839"/>
    <n v="5918.7197885150963"/>
    <n v="2.7407633532979467E-2"/>
    <n v="1.0552183612970398"/>
  </r>
  <r>
    <x v="790"/>
    <x v="790"/>
    <x v="790"/>
    <x v="762"/>
    <n v="39.106562716089975"/>
    <n v="5057.1487255840912"/>
    <n v="3.7461511277267316E-2"/>
    <n v="1.4649909402039663"/>
  </r>
  <r>
    <x v="791"/>
    <x v="791"/>
    <x v="791"/>
    <x v="55"/>
    <n v="38.191891813575545"/>
    <n v="2746.7886379369011"/>
    <n v="1.6843261673443122E-2"/>
    <n v="0.64327602761988312"/>
  </r>
  <r>
    <x v="792"/>
    <x v="792"/>
    <x v="792"/>
    <x v="763"/>
    <n v="38.319278256373465"/>
    <n v="-2133.6629046499147"/>
    <n v="-1.1799361552396396E-2"/>
    <n v="-0.45214301857383232"/>
  </r>
  <r>
    <x v="793"/>
    <x v="793"/>
    <x v="793"/>
    <x v="764"/>
    <n v="38.462407367887309"/>
    <n v="-3232.5056972086022"/>
    <n v="-1.8881880354725863E-2"/>
    <n v="-0.72624257407517456"/>
  </r>
  <r>
    <x v="794"/>
    <x v="794"/>
    <x v="794"/>
    <x v="765"/>
    <n v="38.560954377625983"/>
    <n v="-2242.8819819552882"/>
    <n v="-1.7290305262448468E-2"/>
    <n v="-0.66673067240050188"/>
  </r>
  <r>
    <x v="795"/>
    <x v="795"/>
    <x v="795"/>
    <x v="766"/>
    <n v="38.779711348052544"/>
    <n v="-1911.7715920877235"/>
    <n v="-1.345108920380798E-2"/>
    <n v="-0.52162935664057941"/>
  </r>
  <r>
    <x v="796"/>
    <x v="796"/>
    <x v="796"/>
    <x v="767"/>
    <n v="39.11658727033366"/>
    <n v="-1253.1041443496943"/>
    <n v="-8.23736415276736E-3"/>
    <n v="-0.32221757375924254"/>
  </r>
  <r>
    <x v="797"/>
    <x v="797"/>
    <x v="797"/>
    <x v="768"/>
    <n v="39.390428811410352"/>
    <n v="-199.49246114994457"/>
    <n v="-2.6910152600609946E-3"/>
    <n v="-0.10600024503185153"/>
  </r>
  <r>
    <x v="798"/>
    <x v="798"/>
    <x v="798"/>
    <x v="769"/>
    <n v="37.897309192394708"/>
    <n v="-4024.5001243396691"/>
    <n v="-4.4155874407702744E-2"/>
    <n v="-1.6733888250892595"/>
  </r>
  <r>
    <x v="799"/>
    <x v="799"/>
    <x v="799"/>
    <x v="770"/>
    <n v="38.381796676058975"/>
    <n v="-1814.7878082149327"/>
    <n v="-2.9982570200531928E-2"/>
    <n v="-1.1507849132624812"/>
  </r>
  <r>
    <x v="800"/>
    <x v="800"/>
    <x v="800"/>
    <x v="771"/>
    <n v="41.994085006659624"/>
    <n v="2422.2644577510364"/>
    <n v="6.3177531971905163E-2"/>
    <n v="2.6530826481391419"/>
  </r>
  <r>
    <x v="801"/>
    <x v="801"/>
    <x v="801"/>
    <x v="772"/>
    <n v="41.987675092500282"/>
    <n v="2344.8060759734799"/>
    <n v="6.2606618666259523E-2"/>
    <n v="2.6287063631989684"/>
  </r>
  <r>
    <x v="802"/>
    <x v="802"/>
    <x v="802"/>
    <x v="773"/>
    <n v="42.046924535239562"/>
    <n v="4945.3694703240326"/>
    <n v="6.3404574743928493E-2"/>
    <n v="2.6659673694469177"/>
  </r>
  <r>
    <x v="803"/>
    <x v="803"/>
    <x v="803"/>
    <x v="386"/>
    <n v="42.04126656722682"/>
    <n v="4789.4662809932488"/>
    <n v="6.0054284594322771E-2"/>
    <n v="2.5247581871340268"/>
  </r>
  <r>
    <x v="804"/>
    <x v="804"/>
    <x v="804"/>
    <x v="774"/>
    <n v="42.078809155787368"/>
    <n v="2192.7579803760673"/>
    <n v="5.9015563198178196E-2"/>
    <n v="2.483304621037449"/>
  </r>
  <r>
    <x v="805"/>
    <x v="805"/>
    <x v="805"/>
    <x v="775"/>
    <n v="42.060236428039438"/>
    <n v="2678.4678609261537"/>
    <n v="5.9460048509773024E-2"/>
    <n v="2.5009036983437474"/>
  </r>
  <r>
    <x v="806"/>
    <x v="806"/>
    <x v="806"/>
    <x v="776"/>
    <n v="42.037373301363822"/>
    <n v="3226.2757695736"/>
    <n v="5.8142270040543537E-2"/>
    <n v="2.4441483102830301"/>
  </r>
  <r>
    <x v="807"/>
    <x v="807"/>
    <x v="807"/>
    <x v="777"/>
    <n v="42.01936124172542"/>
    <n v="2397.8472564969707"/>
    <n v="5.7237006293189861E-2"/>
    <n v="2.4050624438284562"/>
  </r>
  <r>
    <x v="808"/>
    <x v="808"/>
    <x v="808"/>
    <x v="778"/>
    <n v="42.042232790342879"/>
    <n v="2055.6665876417137"/>
    <n v="5.9847339385961817E-2"/>
    <n v="2.5161157743472629"/>
  </r>
  <r>
    <x v="809"/>
    <x v="809"/>
    <x v="809"/>
    <x v="578"/>
    <n v="41.948998508539397"/>
    <n v="4530.0725053959322"/>
    <n v="5.787245644680479E-2"/>
    <n v="2.4276915891725253"/>
  </r>
  <r>
    <x v="810"/>
    <x v="810"/>
    <x v="810"/>
    <x v="779"/>
    <n v="41.995206992346809"/>
    <n v="5399.836484297557"/>
    <n v="5.8155680254674304E-2"/>
    <n v="2.4422598300757832"/>
  </r>
  <r>
    <x v="811"/>
    <x v="811"/>
    <x v="811"/>
    <x v="780"/>
    <n v="42.059654369839144"/>
    <n v="3220.2775804849589"/>
    <n v="5.8715128758052564E-2"/>
    <n v="2.4695380218442935"/>
  </r>
  <r>
    <x v="812"/>
    <x v="812"/>
    <x v="812"/>
    <x v="781"/>
    <n v="42.027821436903103"/>
    <n v="2850.1583266595553"/>
    <n v="5.9331574977444616E-2"/>
    <n v="2.4935768387222708"/>
  </r>
  <r>
    <x v="813"/>
    <x v="813"/>
    <x v="813"/>
    <x v="782"/>
    <n v="41.898107604678962"/>
    <n v="3881.8419644599489"/>
    <n v="5.8899922075336987E-2"/>
    <n v="2.4677952730196751"/>
  </r>
  <r>
    <x v="814"/>
    <x v="814"/>
    <x v="814"/>
    <x v="783"/>
    <n v="41.099298450784389"/>
    <n v="3397.2241248804348"/>
    <n v="4.0028538604708251E-2"/>
    <n v="1.6451448546636489"/>
  </r>
  <r>
    <x v="815"/>
    <x v="815"/>
    <x v="815"/>
    <x v="784"/>
    <n v="39.839026363282315"/>
    <n v="3161.049062867125"/>
    <n v="1.2043949616766728E-2"/>
    <n v="0.47981922630041363"/>
  </r>
  <r>
    <x v="816"/>
    <x v="816"/>
    <x v="816"/>
    <x v="785"/>
    <n v="40.36171231940444"/>
    <n v="5916.0476484700048"/>
    <n v="2.593342798743882E-2"/>
    <n v="1.0467175598849974"/>
  </r>
  <r>
    <x v="817"/>
    <x v="817"/>
    <x v="817"/>
    <x v="786"/>
    <n v="39.70984453914852"/>
    <n v="1494.6770456218801"/>
    <n v="9.1737660625597385E-3"/>
    <n v="0.36428882418276387"/>
  </r>
  <r>
    <x v="818"/>
    <x v="818"/>
    <x v="818"/>
    <x v="315"/>
    <n v="39.808889621296132"/>
    <n v="678.26229988621344"/>
    <n v="1.1622074198880837E-2"/>
    <n v="0.46266186895376088"/>
  </r>
  <r>
    <x v="819"/>
    <x v="819"/>
    <x v="819"/>
    <x v="787"/>
    <n v="39.595435670952433"/>
    <n v="582.95100041857222"/>
    <n v="6.8097510673666003E-3"/>
    <n v="0.26963506032311391"/>
  </r>
  <r>
    <x v="820"/>
    <x v="820"/>
    <x v="820"/>
    <x v="788"/>
    <n v="39.367245634398742"/>
    <n v="241.19640732335392"/>
    <n v="2.8430763981921047E-3"/>
    <n v="0.11192408692499022"/>
  </r>
  <r>
    <x v="821"/>
    <x v="821"/>
    <x v="821"/>
    <x v="789"/>
    <n v="36.832138726529493"/>
    <n v="-4118.6804495452598"/>
    <n v="-6.4045249398522741E-2"/>
    <n v="-2.3589235106215694"/>
  </r>
  <r>
    <x v="822"/>
    <x v="822"/>
    <x v="822"/>
    <x v="790"/>
    <n v="36.907283489855821"/>
    <n v="-7420.6145413154154"/>
    <n v="-5.6573151025801835E-2"/>
    <n v="-2.0879613228236957"/>
  </r>
  <r>
    <x v="823"/>
    <x v="823"/>
    <x v="823"/>
    <x v="791"/>
    <n v="36.996211075742679"/>
    <n v="-12948.432002718298"/>
    <n v="-5.5713699809137804E-2"/>
    <n v="-2.0611957979494266"/>
  </r>
  <r>
    <x v="824"/>
    <x v="824"/>
    <x v="824"/>
    <x v="792"/>
    <n v="37.237326004395875"/>
    <n v="-9611.7306396937929"/>
    <n v="-4.9081738112602476E-2"/>
    <n v="-1.8276726829613601"/>
  </r>
  <r>
    <x v="825"/>
    <x v="825"/>
    <x v="825"/>
    <x v="793"/>
    <n v="37.087713773156125"/>
    <n v="-4826.5857570568769"/>
    <n v="-5.3205130368884891E-2"/>
    <n v="-1.9732566463846595"/>
  </r>
  <r>
    <x v="826"/>
    <x v="826"/>
    <x v="826"/>
    <x v="794"/>
    <n v="39.353668043998923"/>
    <n v="937.83066516899271"/>
    <n v="7.1243146012648292E-3"/>
    <n v="0.28036791185919063"/>
  </r>
  <r>
    <x v="827"/>
    <x v="827"/>
    <x v="827"/>
    <x v="795"/>
    <n v="39.995543270990922"/>
    <n v="1941.3620736963931"/>
    <n v="2.3700908214306177E-2"/>
    <n v="0.94793070004706692"/>
  </r>
  <r>
    <x v="828"/>
    <x v="828"/>
    <x v="828"/>
    <x v="796"/>
    <n v="42.073605919961544"/>
    <n v="4021.8999989505755"/>
    <n v="7.3363005922071775E-2"/>
    <n v="3.0866462002690525"/>
  </r>
  <r>
    <x v="829"/>
    <x v="829"/>
    <x v="829"/>
    <x v="797"/>
    <n v="35.262954773275865"/>
    <n v="-15976.706464691"/>
    <n v="-0.10266788808465446"/>
    <n v="-3.6203730941969181"/>
  </r>
  <r>
    <x v="830"/>
    <x v="830"/>
    <x v="830"/>
    <x v="77"/>
    <n v="35.239777659507602"/>
    <n v="-27291.686022424488"/>
    <n v="-0.10334358374150861"/>
    <n v="-3.6418049135874684"/>
  </r>
  <r>
    <x v="831"/>
    <x v="831"/>
    <x v="831"/>
    <x v="798"/>
    <n v="35.249586138884567"/>
    <n v="-25403.118554385728"/>
    <n v="-9.3133148959338663E-2"/>
    <n v="-3.2829049566277755"/>
  </r>
  <r>
    <x v="832"/>
    <x v="832"/>
    <x v="832"/>
    <x v="799"/>
    <n v="35.391963461277385"/>
    <n v="-8919.8763346157939"/>
    <n v="-8.5203219770800462E-2"/>
    <n v="-3.0155092409113569"/>
  </r>
  <r>
    <x v="833"/>
    <x v="833"/>
    <x v="833"/>
    <x v="408"/>
    <n v="35.327389424663721"/>
    <n v="-10852.215659669513"/>
    <n v="-8.2733599704119892E-2"/>
    <n v="-2.9227620952516866"/>
  </r>
  <r>
    <x v="834"/>
    <x v="834"/>
    <x v="834"/>
    <x v="800"/>
    <n v="35.153963869973971"/>
    <n v="-9535.470803711607"/>
    <n v="-7.7411189558653171E-2"/>
    <n v="-2.7213101608766004"/>
  </r>
  <r>
    <x v="835"/>
    <x v="835"/>
    <x v="835"/>
    <x v="801"/>
    <n v="35.209690540941935"/>
    <n v="-8458.0105252485082"/>
    <n v="-6.7973474240371881E-2"/>
    <n v="-2.3933249929961824"/>
  </r>
  <r>
    <x v="836"/>
    <x v="836"/>
    <x v="836"/>
    <x v="539"/>
    <n v="35.2459978245762"/>
    <n v="-10058.816714763525"/>
    <n v="-6.2027581985564059E-2"/>
    <n v="-2.1862240197269127"/>
  </r>
  <r>
    <x v="837"/>
    <x v="837"/>
    <x v="837"/>
    <x v="802"/>
    <n v="35.245597136866984"/>
    <n v="-19158.282744234253"/>
    <n v="-5.4113019039144943E-2"/>
    <n v="-1.9072456689133155"/>
  </r>
  <r>
    <x v="838"/>
    <x v="838"/>
    <x v="838"/>
    <x v="803"/>
    <n v="35.195383442206079"/>
    <n v="-17986.366673247539"/>
    <n v="-5.4944989830058293E-2"/>
    <n v="-1.9338099852970154"/>
  </r>
  <r>
    <x v="839"/>
    <x v="839"/>
    <x v="839"/>
    <x v="804"/>
    <n v="35.230718907279588"/>
    <n v="-10358.125711575791"/>
    <n v="-6.2849156691980393E-2"/>
    <n v="-2.2142209729747306"/>
  </r>
  <r>
    <x v="840"/>
    <x v="840"/>
    <x v="840"/>
    <x v="805"/>
    <n v="35.202094622430181"/>
    <n v="-8670.9707255901012"/>
    <n v="-5.7363702382961831E-2"/>
    <n v="-2.0193224791779461"/>
  </r>
  <r>
    <x v="841"/>
    <x v="841"/>
    <x v="841"/>
    <x v="806"/>
    <n v="35.1902208811807"/>
    <n v="-6830.3440639871988"/>
    <n v="-5.3826341902758576E-2"/>
    <n v="-1.8941608607840263"/>
  </r>
  <r>
    <x v="842"/>
    <x v="842"/>
    <x v="842"/>
    <x v="807"/>
    <n v="34.393436508648222"/>
    <n v="-12625.096629667707"/>
    <n v="-7.5874051520943078E-2"/>
    <n v="-2.6095693736394598"/>
  </r>
  <r>
    <x v="843"/>
    <x v="843"/>
    <x v="843"/>
    <x v="531"/>
    <n v="34.146592344322627"/>
    <n v="-14688.744157052599"/>
    <n v="-8.7539113566031168E-2"/>
    <n v="-2.989162425122629"/>
  </r>
  <r>
    <x v="844"/>
    <x v="844"/>
    <x v="844"/>
    <x v="808"/>
    <n v="34.194762586351573"/>
    <n v="-28952.13940463023"/>
    <n v="-8.2450428035732326E-2"/>
    <n v="-2.8193728118249322"/>
  </r>
  <r>
    <x v="845"/>
    <x v="845"/>
    <x v="845"/>
    <x v="809"/>
    <n v="34.159196375711993"/>
    <n v="-34676.52756838518"/>
    <n v="-8.2418179105409092E-2"/>
    <n v="-2.8153387649902721"/>
  </r>
  <r>
    <x v="846"/>
    <x v="846"/>
    <x v="846"/>
    <x v="810"/>
    <n v="34.140134015484833"/>
    <n v="-16225.027908851596"/>
    <n v="-8.7153480051613663E-2"/>
    <n v="-2.9754314888779749"/>
  </r>
  <r>
    <x v="847"/>
    <x v="847"/>
    <x v="847"/>
    <x v="811"/>
    <n v="34.108726212586966"/>
    <n v="-21805.568891601986"/>
    <n v="-8.6719465822390443E-2"/>
    <n v="-2.9578905170377086"/>
  </r>
  <r>
    <x v="848"/>
    <x v="848"/>
    <x v="848"/>
    <x v="812"/>
    <n v="34.13978939797417"/>
    <n v="-22148.021228468744"/>
    <n v="-7.9009268559828844E-2"/>
    <n v="-2.6973597891205388"/>
  </r>
  <r>
    <x v="849"/>
    <x v="849"/>
    <x v="849"/>
    <x v="813"/>
    <n v="34.135801929172793"/>
    <n v="-24496.18365253252"/>
    <n v="-7.8153967694527496E-2"/>
    <n v="-2.6678483611993595"/>
  </r>
  <r>
    <x v="850"/>
    <x v="850"/>
    <x v="850"/>
    <x v="814"/>
    <n v="34.218697218210067"/>
    <n v="-19527.576861637674"/>
    <n v="-7.5886940571692665E-2"/>
    <n v="-2.5967522422390523"/>
  </r>
  <r>
    <x v="851"/>
    <x v="851"/>
    <x v="851"/>
    <x v="815"/>
    <n v="34.198208546522743"/>
    <n v="-33660.731489666097"/>
    <n v="-7.388960838713747E-2"/>
    <n v="-2.5268922370442231"/>
  </r>
  <r>
    <x v="852"/>
    <x v="852"/>
    <x v="852"/>
    <x v="816"/>
    <n v="34.213885676766552"/>
    <n v="-42060.464613648364"/>
    <n v="-7.5530782613603964E-2"/>
    <n v="-2.5842015614185527"/>
  </r>
  <r>
    <x v="853"/>
    <x v="853"/>
    <x v="853"/>
    <x v="817"/>
    <n v="34.160189153069588"/>
    <n v="-25655.114236022229"/>
    <n v="-7.2297244483055467E-2"/>
    <n v="-2.4696875467868917"/>
  </r>
  <r>
    <x v="854"/>
    <x v="854"/>
    <x v="854"/>
    <x v="818"/>
    <n v="34.138898680883443"/>
    <n v="-21713.270562925492"/>
    <n v="-7.6648261147185676E-2"/>
    <n v="-2.6166872213696664"/>
  </r>
  <r>
    <x v="855"/>
    <x v="855"/>
    <x v="855"/>
    <x v="819"/>
    <n v="34.128791323703773"/>
    <n v="-22285.685499835294"/>
    <n v="-7.4909697522829929E-2"/>
    <n v="-2.5565774348784323"/>
  </r>
  <r>
    <x v="856"/>
    <x v="856"/>
    <x v="856"/>
    <x v="537"/>
    <n v="34.190397869741716"/>
    <n v="-19538.510452427785"/>
    <n v="-6.8323998227689017E-2"/>
    <n v="-2.3360246834562153"/>
  </r>
  <r>
    <x v="857"/>
    <x v="857"/>
    <x v="857"/>
    <x v="76"/>
    <n v="34.14848344894714"/>
    <n v="-16580.782833262405"/>
    <n v="-6.9682779903424738E-2"/>
    <n v="-2.3795612562087265"/>
  </r>
  <r>
    <x v="858"/>
    <x v="858"/>
    <x v="858"/>
    <x v="820"/>
    <n v="34.177429646531586"/>
    <n v="-23509.526999278984"/>
    <n v="-6.8972929838250499E-2"/>
    <n v="-2.3573174570619657"/>
  </r>
  <r>
    <x v="859"/>
    <x v="859"/>
    <x v="859"/>
    <x v="821"/>
    <n v="34.162422021783698"/>
    <n v="-26457.022057283262"/>
    <n v="-6.8155247513266265E-2"/>
    <n v="-2.3283483285473259"/>
  </r>
  <r>
    <x v="860"/>
    <x v="860"/>
    <x v="860"/>
    <x v="822"/>
    <n v="34.162735409731276"/>
    <n v="-9552.1064680588897"/>
    <n v="-6.8631816309226573E-2"/>
    <n v="-2.3446505812613867"/>
  </r>
  <r>
    <x v="861"/>
    <x v="861"/>
    <x v="861"/>
    <x v="823"/>
    <n v="42.05212352581983"/>
    <n v="8658.5641397569634"/>
    <n v="0.13039946720714579"/>
    <n v="5.483574502695987"/>
  </r>
  <r>
    <x v="862"/>
    <x v="862"/>
    <x v="862"/>
    <x v="824"/>
    <n v="42.050713049025831"/>
    <n v="5610.5394008199801"/>
    <n v="0.13132201689868597"/>
    <n v="5.5221844496259642"/>
  </r>
  <r>
    <x v="863"/>
    <x v="863"/>
    <x v="863"/>
    <x v="825"/>
    <n v="42.084614760973857"/>
    <n v="4620.6593613137775"/>
    <n v="0.13196454686603767"/>
    <n v="5.5536771169636747"/>
  </r>
  <r>
    <x v="864"/>
    <x v="864"/>
    <x v="864"/>
    <x v="826"/>
    <n v="42.056269909799255"/>
    <n v="3640.2474762226593"/>
    <n v="0.13378144345662951"/>
    <n v="5.6263484949345584"/>
  </r>
  <r>
    <x v="865"/>
    <x v="865"/>
    <x v="865"/>
    <x v="301"/>
    <n v="42.065378422365335"/>
    <n v="10761.374101106776"/>
    <n v="0.13478660078626828"/>
    <n v="5.6698493683386593"/>
  </r>
  <r>
    <x v="866"/>
    <x v="866"/>
    <x v="866"/>
    <x v="599"/>
    <n v="42.062441760351433"/>
    <n v="11058.436647338851"/>
    <n v="0.13406692869163309"/>
    <n v="5.6391823800810048"/>
  </r>
  <r>
    <x v="867"/>
    <x v="867"/>
    <x v="867"/>
    <x v="827"/>
    <n v="42.072906320612752"/>
    <n v="6885.297656920251"/>
    <n v="0.13370227245276858"/>
    <n v="5.625243183758375"/>
  </r>
  <r>
    <x v="868"/>
    <x v="868"/>
    <x v="868"/>
    <x v="828"/>
    <n v="42.072456199019008"/>
    <n v="5732.5246099105134"/>
    <n v="0.13371307514938879"/>
    <n v="5.6256374974587962"/>
  </r>
  <r>
    <x v="869"/>
    <x v="869"/>
    <x v="869"/>
    <x v="829"/>
    <n v="42.047999034903491"/>
    <n v="5214.27866996394"/>
    <n v="0.13334169013302277"/>
    <n v="5.6067512580257421"/>
  </r>
  <r>
    <x v="870"/>
    <x v="870"/>
    <x v="870"/>
    <x v="830"/>
    <n v="42.062041571772909"/>
    <n v="4522.4194163426473"/>
    <n v="0.1314398894284434"/>
    <n v="5.5286300933284194"/>
  </r>
  <r>
    <x v="871"/>
    <x v="871"/>
    <x v="871"/>
    <x v="831"/>
    <n v="42.052997396318304"/>
    <n v="5174.0266445517409"/>
    <n v="0.1313082803371482"/>
    <n v="5.5219067711331276"/>
  </r>
  <r>
    <x v="872"/>
    <x v="872"/>
    <x v="872"/>
    <x v="832"/>
    <n v="42.063815127601409"/>
    <n v="12904.898924903711"/>
    <n v="0.13327252562855418"/>
    <n v="5.6059508796280237"/>
  </r>
  <r>
    <x v="873"/>
    <x v="873"/>
    <x v="873"/>
    <x v="833"/>
    <n v="42.056874565098731"/>
    <n v="13200.881210143998"/>
    <n v="0.13283184539195708"/>
    <n v="5.5864922599001261"/>
  </r>
  <r>
    <x v="874"/>
    <x v="874"/>
    <x v="874"/>
    <x v="315"/>
    <n v="42.057422465259044"/>
    <n v="8192.4467762347049"/>
    <n v="0.13287308099484504"/>
    <n v="5.5882993016607809"/>
  </r>
  <r>
    <x v="875"/>
    <x v="875"/>
    <x v="875"/>
    <x v="718"/>
    <n v="42.070290368357369"/>
    <n v="9215.1186580439753"/>
    <n v="0.13323662068646058"/>
    <n v="5.6053033199780868"/>
  </r>
  <r>
    <x v="876"/>
    <x v="876"/>
    <x v="876"/>
    <x v="834"/>
    <n v="35.084635552453349"/>
    <n v="-4301.8339085752086"/>
    <n v="-3.8031340712414832E-2"/>
    <n v="-1.3343157284662557"/>
  </r>
  <r>
    <x v="877"/>
    <x v="877"/>
    <x v="877"/>
    <x v="835"/>
    <n v="34.319034422833617"/>
    <n v="-15288.268240379082"/>
    <n v="-6.0264460842051927E-2"/>
    <n v="-2.0682181061118889"/>
  </r>
  <r>
    <x v="878"/>
    <x v="878"/>
    <x v="878"/>
    <x v="836"/>
    <n v="34.262836745525611"/>
    <n v="-12983.792629818607"/>
    <n v="-6.1737831272803585E-2"/>
    <n v="-2.1153132339228748"/>
  </r>
  <r>
    <x v="879"/>
    <x v="879"/>
    <x v="879"/>
    <x v="837"/>
    <n v="34.270277136665143"/>
    <n v="-22412.472129255999"/>
    <n v="-6.1557940849923158E-2"/>
    <n v="-2.1096076928893073"/>
  </r>
  <r>
    <x v="880"/>
    <x v="880"/>
    <x v="880"/>
    <x v="838"/>
    <n v="34.295113845946979"/>
    <n v="-24193.732395239698"/>
    <n v="-6.0867741537083062E-2"/>
    <n v="-2.0874661255599394"/>
  </r>
  <r>
    <x v="881"/>
    <x v="881"/>
    <x v="881"/>
    <x v="481"/>
    <n v="34.238660304976072"/>
    <n v="-12749.138968311396"/>
    <n v="-6.2487148446529285E-2"/>
    <n v="-2.1394762490873296"/>
  </r>
  <r>
    <x v="882"/>
    <x v="882"/>
    <x v="882"/>
    <x v="839"/>
    <n v="34.230969717604275"/>
    <n v="-10917.872065041098"/>
    <n v="-6.3182885006959857E-2"/>
    <n v="-2.1628114233441162"/>
  </r>
  <r>
    <x v="883"/>
    <x v="883"/>
    <x v="883"/>
    <x v="840"/>
    <n v="34.337132605434221"/>
    <n v="-15415.361324585596"/>
    <n v="-5.9525514107196031E-2"/>
    <n v="-2.0439354713054358"/>
  </r>
  <r>
    <x v="884"/>
    <x v="884"/>
    <x v="884"/>
    <x v="841"/>
    <n v="34.270938818136848"/>
    <n v="-23134.086992321303"/>
    <n v="-6.2729775215296019E-2"/>
    <n v="-2.1498082884788872"/>
  </r>
  <r>
    <x v="885"/>
    <x v="885"/>
    <x v="885"/>
    <x v="842"/>
    <n v="34.245244651384979"/>
    <n v="-17476.855071657279"/>
    <n v="-6.2850246072711807E-2"/>
    <n v="-2.1523220531597635"/>
  </r>
  <r>
    <x v="886"/>
    <x v="886"/>
    <x v="886"/>
    <x v="843"/>
    <n v="34.320793138695571"/>
    <n v="-22364.816627043474"/>
    <n v="-5.9805473260748289E-2"/>
    <n v="-2.0525712763439312"/>
  </r>
  <r>
    <x v="887"/>
    <x v="887"/>
    <x v="887"/>
    <x v="844"/>
    <n v="34.28767293949646"/>
    <n v="-24408.879288055818"/>
    <n v="-6.0709958874495977E-2"/>
    <n v="-2.0816032140589984"/>
  </r>
  <r>
    <x v="888"/>
    <x v="888"/>
    <x v="888"/>
    <x v="845"/>
    <n v="34.24662114796341"/>
    <n v="-12688.728837459494"/>
    <n v="-6.1679771348188465E-2"/>
    <n v="-2.1123237618544186"/>
  </r>
  <r>
    <x v="889"/>
    <x v="889"/>
    <x v="889"/>
    <x v="846"/>
    <n v="34.257849590064879"/>
    <n v="-11002.80410141559"/>
    <n v="-6.1943326132124027E-2"/>
    <n v="-2.1220451497426405"/>
  </r>
  <r>
    <x v="890"/>
    <x v="890"/>
    <x v="890"/>
    <x v="847"/>
    <n v="42.054870096859339"/>
    <n v="9531.1590120591572"/>
    <n v="0.13530523749564316"/>
    <n v="5.6902441863039748"/>
  </r>
  <r>
    <x v="891"/>
    <x v="891"/>
    <x v="891"/>
    <x v="848"/>
    <n v="34.191783752507909"/>
    <n v="-10368.831553753902"/>
    <n v="-6.3642195912010813E-2"/>
    <n v="-2.1760402001582166"/>
  </r>
  <r>
    <x v="892"/>
    <x v="892"/>
    <x v="892"/>
    <x v="849"/>
    <n v="35.1005635238471"/>
    <n v="-5038.9504722487181"/>
    <n v="-3.6316098589716767E-2"/>
    <n v="-1.2747155254866476"/>
  </r>
  <r>
    <x v="893"/>
    <x v="893"/>
    <x v="893"/>
    <x v="850"/>
    <n v="35.112414774755045"/>
    <n v="-9044.1195480752212"/>
    <n v="-3.5824216914787051E-2"/>
    <n v="-1.2578747632927985"/>
  </r>
  <r>
    <x v="894"/>
    <x v="894"/>
    <x v="894"/>
    <x v="851"/>
    <n v="34.268141830607092"/>
    <n v="-17935.668053618807"/>
    <n v="-6.1022724214314608E-2"/>
    <n v="-2.0911353682661544"/>
  </r>
  <r>
    <x v="895"/>
    <x v="895"/>
    <x v="895"/>
    <x v="852"/>
    <n v="35.087527727231858"/>
    <n v="-4996.5527775490773"/>
    <n v="-3.6115275588580562E-2"/>
    <n v="-1.2671957335909403"/>
  </r>
  <r>
    <x v="896"/>
    <x v="896"/>
    <x v="896"/>
    <x v="853"/>
    <n v="35.086937028377776"/>
    <n v="-4883.2909252336831"/>
    <n v="-3.7544346985445017E-2"/>
    <n v="-1.3173161384498739"/>
  </r>
  <r>
    <x v="897"/>
    <x v="897"/>
    <x v="897"/>
    <x v="854"/>
    <n v="35.091244622298426"/>
    <n v="-4004.4974019657966"/>
    <n v="-3.736630990572231E-2"/>
    <n v="-1.3112303215343146"/>
  </r>
  <r>
    <x v="898"/>
    <x v="898"/>
    <x v="898"/>
    <x v="855"/>
    <n v="34.250199426400577"/>
    <n v="-13904.179702546826"/>
    <n v="-6.2063765082404382E-2"/>
    <n v="-2.125696331225627"/>
  </r>
  <r>
    <x v="899"/>
    <x v="899"/>
    <x v="899"/>
    <x v="856"/>
    <n v="35.122320764088364"/>
    <n v="-7177.3476686328941"/>
    <n v="-3.5545814513200047E-2"/>
    <n v="-1.2484514991533995"/>
  </r>
  <r>
    <x v="900"/>
    <x v="900"/>
    <x v="900"/>
    <x v="857"/>
    <n v="35.092623154305947"/>
    <n v="-11909.061331830104"/>
    <n v="-3.6159916773981372E-2"/>
    <n v="-1.2689463326403947"/>
  </r>
  <r>
    <x v="901"/>
    <x v="901"/>
    <x v="901"/>
    <x v="858"/>
    <n v="34.248000135827994"/>
    <n v="-19029.064259959501"/>
    <n v="-6.1653968060786185E-2"/>
    <n v="-2.1115251065201401"/>
  </r>
  <r>
    <x v="902"/>
    <x v="902"/>
    <x v="902"/>
    <x v="859"/>
    <n v="35.10112415251276"/>
    <n v="-4913.4695485309931"/>
    <n v="-3.6538868246132852E-2"/>
    <n v="-1.2825553506998155"/>
  </r>
  <r>
    <x v="903"/>
    <x v="903"/>
    <x v="903"/>
    <x v="860"/>
    <n v="35.101225429330341"/>
    <n v="-5144.1902692485019"/>
    <n v="-3.5770810542983811E-2"/>
    <n v="-1.2555992846591413"/>
  </r>
  <r>
    <x v="904"/>
    <x v="904"/>
    <x v="904"/>
    <x v="861"/>
    <n v="35.124579953219609"/>
    <n v="-4280.8582206556021"/>
    <n v="-3.4732523400065239E-2"/>
    <n v="-1.2199652951426623"/>
  </r>
  <r>
    <x v="905"/>
    <x v="905"/>
    <x v="905"/>
    <x v="862"/>
    <n v="42.043180704995002"/>
    <n v="5508.0666892327135"/>
    <n v="0.13747088381971803"/>
    <n v="5.7797132101077793"/>
  </r>
  <r>
    <x v="906"/>
    <x v="906"/>
    <x v="906"/>
    <x v="863"/>
    <n v="33.392041059384162"/>
    <n v="-11906.796983085776"/>
    <n v="-8.2828315143041981E-2"/>
    <n v="-2.765806500136069"/>
  </r>
  <r>
    <x v="907"/>
    <x v="907"/>
    <x v="907"/>
    <x v="864"/>
    <n v="33.419388750721055"/>
    <n v="-32468.573026037717"/>
    <n v="-8.3273247552380025E-2"/>
    <n v="-2.7829410324880191"/>
  </r>
  <r>
    <x v="908"/>
    <x v="908"/>
    <x v="908"/>
    <x v="865"/>
    <n v="33.443107778059478"/>
    <n v="-37629.543437769404"/>
    <n v="-8.1576221281857361E-2"/>
    <n v="-2.7281623604559853"/>
  </r>
  <r>
    <x v="909"/>
    <x v="909"/>
    <x v="909"/>
    <x v="866"/>
    <n v="33.365260777527688"/>
    <n v="-18870.925467960798"/>
    <n v="-8.5165793185377078E-2"/>
    <n v="-2.8415788989550967"/>
  </r>
  <r>
    <x v="910"/>
    <x v="910"/>
    <x v="910"/>
    <x v="867"/>
    <n v="33.412646250048567"/>
    <n v="-20723.857301274489"/>
    <n v="-8.1685753708135231E-2"/>
    <n v="-2.7293371923185155"/>
  </r>
  <r>
    <x v="911"/>
    <x v="911"/>
    <x v="911"/>
    <x v="845"/>
    <n v="33.397049472838177"/>
    <n v="-16488.503532367176"/>
    <n v="-8.2189343177556079E-2"/>
    <n v="-2.7448815602409149"/>
  </r>
  <r>
    <x v="912"/>
    <x v="912"/>
    <x v="912"/>
    <x v="868"/>
    <n v="33.364982373082775"/>
    <n v="-17322.997582485579"/>
    <n v="-8.182773284683334E-2"/>
    <n v="-2.7301808640639211"/>
  </r>
  <r>
    <x v="913"/>
    <x v="913"/>
    <x v="913"/>
    <x v="869"/>
    <n v="33.336207432751422"/>
    <n v="-23136.468650226132"/>
    <n v="-8.1824359562194998E-2"/>
    <n v="-2.7277138234173699"/>
  </r>
  <r>
    <x v="914"/>
    <x v="914"/>
    <x v="914"/>
    <x v="870"/>
    <n v="33.394461566351225"/>
    <n v="-38732.03588979441"/>
    <n v="-8.0858485665526184E-2"/>
    <n v="-2.700225591870776"/>
  </r>
  <r>
    <x v="915"/>
    <x v="915"/>
    <x v="915"/>
    <x v="871"/>
    <n v="33.400197351663557"/>
    <n v="-35943.738890473207"/>
    <n v="-7.9076602859661033E-2"/>
    <n v="-2.6411741414118017"/>
  </r>
  <r>
    <x v="916"/>
    <x v="916"/>
    <x v="916"/>
    <x v="343"/>
    <n v="33.363435831736822"/>
    <n v="-19349.731336669502"/>
    <n v="-7.9896429998466703E-2"/>
    <n v="-2.6656194154386972"/>
  </r>
  <r>
    <x v="917"/>
    <x v="917"/>
    <x v="917"/>
    <x v="872"/>
    <n v="33.392442836671677"/>
    <n v="-22520.791439288063"/>
    <n v="-7.9993807428152153E-2"/>
    <n v="-2.671188641832293"/>
  </r>
  <r>
    <x v="918"/>
    <x v="918"/>
    <x v="918"/>
    <x v="873"/>
    <n v="33.353081972881085"/>
    <n v="-17663.13040520731"/>
    <n v="-8.0520017869384231E-2"/>
    <n v="-2.6855907564554218"/>
  </r>
  <r>
    <x v="919"/>
    <x v="919"/>
    <x v="919"/>
    <x v="874"/>
    <n v="33.454506761979978"/>
    <n v="-15717.312715493783"/>
    <n v="-7.7043542354752428E-2"/>
    <n v="-2.5774537086739557"/>
  </r>
  <r>
    <x v="920"/>
    <x v="920"/>
    <x v="920"/>
    <x v="875"/>
    <n v="42.067151424105056"/>
    <n v="9980.150655277379"/>
    <n v="0.14343610624313866"/>
    <n v="6.0339484010141344"/>
  </r>
  <r>
    <x v="921"/>
    <x v="921"/>
    <x v="921"/>
    <x v="876"/>
    <n v="42.057279319203523"/>
    <n v="12530.219609412103"/>
    <n v="0.14372033001745543"/>
    <n v="6.0444860633922346"/>
  </r>
  <r>
    <x v="922"/>
    <x v="922"/>
    <x v="922"/>
    <x v="877"/>
    <n v="42.063300934441024"/>
    <n v="11333.052807936576"/>
    <n v="0.14400241443358233"/>
    <n v="6.0572168936058661"/>
  </r>
  <r>
    <x v="923"/>
    <x v="923"/>
    <x v="923"/>
    <x v="878"/>
    <n v="42.081986353700181"/>
    <n v="5717.9894281596717"/>
    <n v="0.14363357843643573"/>
    <n v="6.0443862876952128"/>
  </r>
  <r>
    <x v="924"/>
    <x v="924"/>
    <x v="924"/>
    <x v="879"/>
    <n v="42.054347495587386"/>
    <n v="6608.0433979824957"/>
    <n v="0.14415691829245161"/>
    <n v="6.0624251357637577"/>
  </r>
  <r>
    <x v="925"/>
    <x v="925"/>
    <x v="925"/>
    <x v="880"/>
    <n v="42.06822345530864"/>
    <n v="5277.4382772493882"/>
    <n v="0.1432072102030785"/>
    <n v="6.0244729192344613"/>
  </r>
  <r>
    <x v="926"/>
    <x v="926"/>
    <x v="926"/>
    <x v="881"/>
    <n v="42.057810723759644"/>
    <n v="4736.5890736213296"/>
    <n v="0.142558118658455"/>
    <n v="5.9956823716725687"/>
  </r>
  <r>
    <x v="927"/>
    <x v="927"/>
    <x v="927"/>
    <x v="882"/>
    <n v="42.07937960821593"/>
    <n v="4369.5947380685902"/>
    <n v="0.1436261550354056"/>
    <n v="6.0436994994033064"/>
  </r>
  <r>
    <x v="928"/>
    <x v="928"/>
    <x v="928"/>
    <x v="883"/>
    <n v="42.065778879287514"/>
    <n v="11557.54312305442"/>
    <n v="0.14384779883188367"/>
    <n v="6.0510696979342509"/>
  </r>
  <r>
    <x v="929"/>
    <x v="929"/>
    <x v="929"/>
    <x v="884"/>
    <n v="42.055312721376296"/>
    <n v="13641.480895779954"/>
    <n v="0.14314650432395937"/>
    <n v="6.0200710043159553"/>
  </r>
  <r>
    <x v="930"/>
    <x v="930"/>
    <x v="930"/>
    <x v="610"/>
    <n v="42.044577483924165"/>
    <n v="6514.2456276377197"/>
    <n v="0.14372601250095102"/>
    <n v="6.0428994690516884"/>
  </r>
  <r>
    <x v="931"/>
    <x v="931"/>
    <x v="931"/>
    <x v="885"/>
    <n v="42.057146217432958"/>
    <n v="7381.3339321562598"/>
    <n v="0.14303769078436432"/>
    <n v="6.0157570759219725"/>
  </r>
  <r>
    <x v="932"/>
    <x v="932"/>
    <x v="932"/>
    <x v="886"/>
    <n v="42.077910035933733"/>
    <n v="5433.3230671690872"/>
    <n v="0.14347256375215334"/>
    <n v="6.0370256301878742"/>
  </r>
  <r>
    <x v="933"/>
    <x v="862"/>
    <x v="933"/>
    <x v="824"/>
    <n v="42.050713049025831"/>
    <n v="6116.1338014337161"/>
    <n v="0.14315611549027135"/>
    <n v="6.0198167336946025"/>
  </r>
  <r>
    <x v="934"/>
    <x v="933"/>
    <x v="934"/>
    <x v="887"/>
    <n v="42.069277284509724"/>
    <n v="5036.5971701842573"/>
    <n v="0.14320754128088201"/>
    <n v="6.0246377633782986"/>
  </r>
  <r>
    <x v="935"/>
    <x v="934"/>
    <x v="935"/>
    <x v="888"/>
    <n v="42.05516163086633"/>
    <n v="8763.7575282869147"/>
    <n v="0.14331994744032661"/>
    <n v="6.0273435545302023"/>
  </r>
  <r>
    <x v="936"/>
    <x v="935"/>
    <x v="936"/>
    <x v="889"/>
    <n v="42.05542332433216"/>
    <n v="11057.869762593371"/>
    <n v="0.14328917860629511"/>
    <n v="6.0260870640835806"/>
  </r>
  <r>
    <x v="937"/>
    <x v="936"/>
    <x v="937"/>
    <x v="890"/>
    <n v="42.05900711138915"/>
    <n v="5862.2422732718405"/>
    <n v="0.14339647709455758"/>
    <n v="6.0311134498681485"/>
  </r>
  <r>
    <x v="938"/>
    <x v="937"/>
    <x v="938"/>
    <x v="891"/>
    <n v="42.075776378437745"/>
    <n v="6198.2288396296135"/>
    <n v="0.14385849465400971"/>
    <n v="6.0529578512007944"/>
  </r>
  <r>
    <x v="939"/>
    <x v="938"/>
    <x v="939"/>
    <x v="892"/>
    <n v="42.045012866005976"/>
    <n v="6290.3350125273937"/>
    <n v="0.14330415659490367"/>
    <n v="6.02522510778486"/>
  </r>
  <r>
    <x v="940"/>
    <x v="939"/>
    <x v="940"/>
    <x v="893"/>
    <n v="42.073698874282762"/>
    <n v="9584.5829002741666"/>
    <n v="0.14140572191733178"/>
    <n v="5.9494617630503823"/>
  </r>
  <r>
    <x v="941"/>
    <x v="940"/>
    <x v="941"/>
    <x v="894"/>
    <n v="42.064783749189822"/>
    <n v="7363.3124033989225"/>
    <n v="0.14185328789887477"/>
    <n v="5.9670278795777332"/>
  </r>
  <r>
    <x v="942"/>
    <x v="941"/>
    <x v="942"/>
    <x v="895"/>
    <n v="42.064162791888961"/>
    <n v="13161.939752510923"/>
    <n v="0.14075641152564791"/>
    <n v="5.92080060841697"/>
  </r>
  <r>
    <x v="943"/>
    <x v="942"/>
    <x v="943"/>
    <x v="896"/>
    <n v="42.057166083890131"/>
    <n v="13469.306648671205"/>
    <n v="0.14127122620365909"/>
    <n v="5.9414674233221021"/>
  </r>
  <r>
    <x v="944"/>
    <x v="943"/>
    <x v="944"/>
    <x v="897"/>
    <n v="42.060065251335601"/>
    <n v="8369.5889893942513"/>
    <n v="0.14062992637042426"/>
    <n v="5.9149038794305664"/>
  </r>
  <r>
    <x v="945"/>
    <x v="944"/>
    <x v="945"/>
    <x v="898"/>
    <n v="42.07620555565876"/>
    <n v="9187.9096410826387"/>
    <n v="0.1410617251964629"/>
    <n v="5.9353421454022213"/>
  </r>
  <r>
    <x v="946"/>
    <x v="945"/>
    <x v="946"/>
    <x v="899"/>
    <n v="42.073409003871284"/>
    <n v="10011.70071760899"/>
    <n v="0.14172597725468739"/>
    <n v="5.9628950075098217"/>
  </r>
  <r>
    <x v="947"/>
    <x v="946"/>
    <x v="947"/>
    <x v="900"/>
    <n v="42.050496076354385"/>
    <n v="6831.3875400114266"/>
    <n v="0.14102149699951957"/>
    <n v="5.9300239062599189"/>
  </r>
  <r>
    <x v="948"/>
    <x v="947"/>
    <x v="948"/>
    <x v="901"/>
    <n v="42.04484279463238"/>
    <n v="6508.0112488356899"/>
    <n v="0.14058799684139678"/>
    <n v="5.9110002260088006"/>
  </r>
  <r>
    <x v="949"/>
    <x v="948"/>
    <x v="949"/>
    <x v="789"/>
    <n v="42.069383328848588"/>
    <n v="10066.650700808408"/>
    <n v="0.13704860336292168"/>
    <n v="5.7655502295580803"/>
  </r>
  <r>
    <x v="950"/>
    <x v="949"/>
    <x v="950"/>
    <x v="902"/>
    <n v="42.064057620052658"/>
    <n v="10008.323305548402"/>
    <n v="0.13995913224636733"/>
    <n v="5.8872490032637659"/>
  </r>
  <r>
    <x v="951"/>
    <x v="950"/>
    <x v="951"/>
    <x v="903"/>
    <n v="42.050526129860323"/>
    <n v="4193.63782877431"/>
    <n v="0.13948048389307904"/>
    <n v="5.8652277325514826"/>
  </r>
  <r>
    <x v="952"/>
    <x v="951"/>
    <x v="952"/>
    <x v="904"/>
    <n v="42.058657640100606"/>
    <n v="5236.4798782297003"/>
    <n v="0.13880067832401763"/>
    <n v="5.8377702098435904"/>
  </r>
  <r>
    <x v="953"/>
    <x v="952"/>
    <x v="953"/>
    <x v="905"/>
    <n v="42.062339190859824"/>
    <n v="4254.6151783776622"/>
    <n v="0.13799485334372655"/>
    <n v="5.8043863279367836"/>
  </r>
  <r>
    <x v="954"/>
    <x v="953"/>
    <x v="954"/>
    <x v="906"/>
    <n v="34.285720484624029"/>
    <n v="-8324.173996675614"/>
    <n v="-5.6699758136352946E-2"/>
    <n v="-1.9439920590087842"/>
  </r>
  <r>
    <x v="955"/>
    <x v="954"/>
    <x v="955"/>
    <x v="907"/>
    <n v="34.833390170592033"/>
    <n v="-3959.371793383747"/>
    <n v="-3.9646316853424741E-2"/>
    <n v="-1.3810156237822626"/>
  </r>
  <r>
    <x v="956"/>
    <x v="955"/>
    <x v="956"/>
    <x v="908"/>
    <n v="34.637432223195908"/>
    <n v="-9714.4138950788765"/>
    <n v="-4.6113119040433574E-2"/>
    <n v="-1.5972400353631826"/>
  </r>
  <r>
    <x v="957"/>
    <x v="956"/>
    <x v="957"/>
    <x v="909"/>
    <n v="34.264707125607181"/>
    <n v="-15387.379246029188"/>
    <n v="-5.778840725447891E-2"/>
    <n v="-1.9801028498300333"/>
  </r>
  <r>
    <x v="958"/>
    <x v="957"/>
    <x v="958"/>
    <x v="119"/>
    <n v="34.419474012699972"/>
    <n v="-6517.4881572037993"/>
    <n v="-5.2951529755439403E-2"/>
    <n v="-1.8225638023500557"/>
  </r>
  <r>
    <x v="959"/>
    <x v="958"/>
    <x v="959"/>
    <x v="49"/>
    <n v="35.00269407983334"/>
    <n v="-5852.6457942941925"/>
    <n v="-3.596592403349938E-2"/>
    <n v="-1.2589042362431044"/>
  </r>
  <r>
    <x v="960"/>
    <x v="959"/>
    <x v="960"/>
    <x v="910"/>
    <n v="34.739232584508358"/>
    <n v="-5049.1157094213995"/>
    <n v="-4.4016756196883271E-2"/>
    <n v="-1.5291083311391276"/>
  </r>
  <r>
    <x v="961"/>
    <x v="960"/>
    <x v="961"/>
    <x v="911"/>
    <n v="34.592451207292534"/>
    <n v="-5979.4359879626863"/>
    <n v="-4.8883987861637453E-2"/>
    <n v="-1.6910169649215743"/>
  </r>
  <r>
    <x v="962"/>
    <x v="961"/>
    <x v="962"/>
    <x v="912"/>
    <n v="34.613827111092988"/>
    <n v="-5363.847047863499"/>
    <n v="-4.7887068558700889E-2"/>
    <n v="-1.6575547119479292"/>
  </r>
  <r>
    <x v="963"/>
    <x v="962"/>
    <x v="963"/>
    <x v="913"/>
    <n v="34.586438501441457"/>
    <n v="-11228.663275725092"/>
    <n v="-4.8849697437412402E-2"/>
    <n v="-1.6895370562330863"/>
  </r>
  <r>
    <x v="964"/>
    <x v="963"/>
    <x v="964"/>
    <x v="914"/>
    <n v="34.623441785899544"/>
    <n v="-12163.927643225121"/>
    <n v="-4.8659360084427977E-2"/>
    <n v="-1.6847545212223158"/>
  </r>
  <r>
    <x v="965"/>
    <x v="964"/>
    <x v="965"/>
    <x v="915"/>
    <n v="34.482124587342142"/>
    <n v="-7253.9780984706886"/>
    <n v="-5.3150387293534523E-2"/>
    <n v="-1.8327382765211442"/>
  </r>
  <r>
    <x v="966"/>
    <x v="965"/>
    <x v="966"/>
    <x v="916"/>
    <n v="34.686765417846246"/>
    <n v="-5980.3587678974"/>
    <n v="-4.6952720701040812E-2"/>
    <n v="-1.6286380086866559"/>
  </r>
  <r>
    <x v="967"/>
    <x v="966"/>
    <x v="967"/>
    <x v="576"/>
    <n v="42.065437834029225"/>
    <n v="5888.3406302207295"/>
    <n v="0.1352468509340207"/>
    <n v="5.6892180002132653"/>
  </r>
  <r>
    <x v="968"/>
    <x v="967"/>
    <x v="968"/>
    <x v="917"/>
    <n v="33.927138142536855"/>
    <n v="-7292.002643532498"/>
    <n v="-6.0561077143235421E-2"/>
    <n v="-2.0546640302993797"/>
  </r>
  <r>
    <x v="969"/>
    <x v="968"/>
    <x v="969"/>
    <x v="918"/>
    <n v="34.056799027350102"/>
    <n v="-14054.142412407295"/>
    <n v="-6.208330731221573E-2"/>
    <n v="-2.1143587200853458"/>
  </r>
  <r>
    <x v="970"/>
    <x v="969"/>
    <x v="970"/>
    <x v="919"/>
    <n v="34.103772530641464"/>
    <n v="-20872.072130513901"/>
    <n v="-6.1769935250181235E-2"/>
    <n v="-2.1065878210046329"/>
  </r>
  <r>
    <x v="971"/>
    <x v="970"/>
    <x v="971"/>
    <x v="920"/>
    <n v="34.164297133341378"/>
    <n v="-21686.024376709072"/>
    <n v="-6.1075428689786188E-2"/>
    <n v="-2.0865990933040579"/>
  </r>
  <r>
    <x v="972"/>
    <x v="971"/>
    <x v="972"/>
    <x v="921"/>
    <n v="34.145481523862919"/>
    <n v="-9507.6439260087209"/>
    <n v="-6.1780598157225516E-2"/>
    <n v="-2.1095282729107434"/>
  </r>
  <r>
    <x v="973"/>
    <x v="972"/>
    <x v="973"/>
    <x v="922"/>
    <n v="34.166468519354687"/>
    <n v="-9853.3651316402247"/>
    <n v="-6.1727921040183382E-2"/>
    <n v="-2.1090250709846372"/>
  </r>
  <r>
    <x v="974"/>
    <x v="973"/>
    <x v="974"/>
    <x v="923"/>
    <n v="34.139135319279156"/>
    <n v="-8337.9507989969861"/>
    <n v="-6.2241179240387856E-2"/>
    <n v="-2.1248600405191098"/>
  </r>
  <r>
    <x v="975"/>
    <x v="974"/>
    <x v="975"/>
    <x v="924"/>
    <n v="34.158016242624491"/>
    <n v="-14267.297021318693"/>
    <n v="-6.0376579337913863E-2"/>
    <n v="-2.0623441776985678"/>
  </r>
  <r>
    <x v="976"/>
    <x v="975"/>
    <x v="976"/>
    <x v="925"/>
    <n v="34.138270186084561"/>
    <n v="-19539.140585212677"/>
    <n v="-6.23274504439719E-2"/>
    <n v="-2.1277513432661088"/>
  </r>
  <r>
    <x v="977"/>
    <x v="976"/>
    <x v="977"/>
    <x v="926"/>
    <n v="34.197137740927111"/>
    <n v="-22138.080957581988"/>
    <n v="-5.9775298980484226E-2"/>
    <n v="-2.044144132740719"/>
  </r>
  <r>
    <x v="978"/>
    <x v="977"/>
    <x v="978"/>
    <x v="927"/>
    <n v="34.1750977215276"/>
    <n v="-22751.446005305101"/>
    <n v="-6.164182434903713E-2"/>
    <n v="-2.1066153708615833"/>
  </r>
  <r>
    <x v="979"/>
    <x v="978"/>
    <x v="979"/>
    <x v="172"/>
    <n v="34.160160103278088"/>
    <n v="-13137.709237315081"/>
    <n v="-6.2852027981651029E-2"/>
    <n v="-2.1470353386689132"/>
  </r>
  <r>
    <x v="980"/>
    <x v="979"/>
    <x v="980"/>
    <x v="928"/>
    <n v="34.132732502622275"/>
    <n v="-14412.270438514097"/>
    <n v="-6.3162590576029853E-2"/>
    <n v="-2.1559118083042779"/>
  </r>
  <r>
    <x v="981"/>
    <x v="980"/>
    <x v="981"/>
    <x v="929"/>
    <n v="34.187825193443281"/>
    <n v="-9614.0443954158109"/>
    <n v="-6.2228926232317683E-2"/>
    <n v="-2.1274716520061543"/>
  </r>
  <r>
    <x v="982"/>
    <x v="981"/>
    <x v="982"/>
    <x v="930"/>
    <n v="42.07004491890558"/>
    <n v="6906.2773193278263"/>
    <n v="0.13612056083928592"/>
    <n v="5.7265981088953781"/>
  </r>
  <r>
    <x v="983"/>
    <x v="982"/>
    <x v="983"/>
    <x v="931"/>
    <n v="42.072059510699951"/>
    <n v="5900.4683470541422"/>
    <n v="0.13629418846403696"/>
    <n v="5.7341772080215181"/>
  </r>
  <r>
    <x v="984"/>
    <x v="983"/>
    <x v="984"/>
    <x v="932"/>
    <n v="40.342158892871232"/>
    <n v="7723.79189574669"/>
    <n v="9.987328056361866E-2"/>
    <n v="4.029103753649812"/>
  </r>
  <r>
    <x v="985"/>
    <x v="984"/>
    <x v="985"/>
    <x v="933"/>
    <n v="40.355898904048345"/>
    <n v="8478.3819722489134"/>
    <n v="9.9663319176659118E-2"/>
    <n v="4.0220028331351578"/>
  </r>
  <r>
    <x v="986"/>
    <x v="985"/>
    <x v="986"/>
    <x v="934"/>
    <n v="40.323423703856513"/>
    <n v="4817.4340866400235"/>
    <n v="9.8653895532559516E-2"/>
    <n v="3.978062829595395"/>
  </r>
  <r>
    <x v="987"/>
    <x v="986"/>
    <x v="987"/>
    <x v="321"/>
    <n v="40.337069850193743"/>
    <n v="5191.0146685123109"/>
    <n v="9.9683130113429289E-2"/>
    <n v="4.0209253822713489"/>
  </r>
  <r>
    <x v="988"/>
    <x v="987"/>
    <x v="988"/>
    <x v="935"/>
    <n v="40.297650671112756"/>
    <n v="3026.1381297964399"/>
    <n v="9.9463117737370557E-2"/>
    <n v="4.0081299732403179"/>
  </r>
  <r>
    <x v="989"/>
    <x v="988"/>
    <x v="989"/>
    <x v="936"/>
    <n v="40.344710679143702"/>
    <n v="2120.0604173071624"/>
    <n v="0.10344224082690294"/>
    <n v="4.173347278163706"/>
  </r>
  <r>
    <x v="990"/>
    <x v="989"/>
    <x v="990"/>
    <x v="937"/>
    <n v="40.33878384269331"/>
    <n v="4277.4118661795655"/>
    <n v="0.10498733105485639"/>
    <n v="4.235061253643134"/>
  </r>
  <r>
    <x v="991"/>
    <x v="990"/>
    <x v="991"/>
    <x v="938"/>
    <n v="40.314389492336716"/>
    <n v="7319.6463056864159"/>
    <n v="0.10476867364209413"/>
    <n v="4.2236851158028941"/>
  </r>
  <r>
    <x v="992"/>
    <x v="991"/>
    <x v="992"/>
    <x v="939"/>
    <n v="40.338723228538633"/>
    <n v="10548.303438207688"/>
    <n v="0.10535585821598181"/>
    <n v="4.2499208050796486"/>
  </r>
  <r>
    <x v="993"/>
    <x v="992"/>
    <x v="993"/>
    <x v="940"/>
    <n v="40.344208125854358"/>
    <n v="5231.3001520348625"/>
    <n v="0.10499327574444937"/>
    <n v="4.2358705684492817"/>
  </r>
  <r>
    <x v="994"/>
    <x v="993"/>
    <x v="994"/>
    <x v="941"/>
    <n v="40.317283161939613"/>
    <n v="4906.0216259565423"/>
    <n v="0.10535525804974893"/>
    <n v="4.2476377713909459"/>
  </r>
  <r>
    <x v="995"/>
    <x v="994"/>
    <x v="995"/>
    <x v="942"/>
    <n v="40.3444317614738"/>
    <n v="3892.6163686702421"/>
    <n v="0.10264319169865387"/>
    <n v="4.141081243266215"/>
  </r>
  <r>
    <x v="996"/>
    <x v="995"/>
    <x v="996"/>
    <x v="943"/>
    <n v="40.358430863872073"/>
    <n v="5252.600103088007"/>
    <n v="0.10487410893065825"/>
    <n v="4.2325544746881603"/>
  </r>
  <r>
    <x v="997"/>
    <x v="996"/>
    <x v="997"/>
    <x v="944"/>
    <n v="40.313597957921438"/>
    <n v="4320.3496873527256"/>
    <n v="0.10314585779823328"/>
    <n v="4.158180642302912"/>
  </r>
  <r>
    <x v="998"/>
    <x v="997"/>
    <x v="998"/>
    <x v="432"/>
    <n v="40.334583855161384"/>
    <n v="15539.0573646267"/>
    <n v="0.1053469894451141"/>
    <n v="4.2491269796627567"/>
  </r>
  <r>
    <x v="999"/>
    <x v="998"/>
    <x v="999"/>
    <x v="282"/>
    <n v="40.351033486804518"/>
    <n v="16141.020646217075"/>
    <n v="0.10644360011120167"/>
    <n v="4.2951092725431277"/>
  </r>
  <r>
    <x v="1000"/>
    <x v="999"/>
    <x v="1000"/>
    <x v="542"/>
    <n v="40.321256309212309"/>
    <n v="7698.7934140740763"/>
    <n v="0.1062528367796292"/>
    <n v="4.2842478653723299"/>
  </r>
  <r>
    <x v="1001"/>
    <x v="1000"/>
    <x v="1001"/>
    <x v="945"/>
    <n v="40.308235297674827"/>
    <n v="7176.0403330981208"/>
    <n v="0.10654047679748339"/>
    <n v="4.2944586074794255"/>
  </r>
  <r>
    <x v="1002"/>
    <x v="1001"/>
    <x v="1002"/>
    <x v="946"/>
    <n v="40.315863767766686"/>
    <n v="6129.0103139519924"/>
    <n v="0.10398411754776241"/>
    <n v="4.1922095170670266"/>
  </r>
  <r>
    <x v="1003"/>
    <x v="1002"/>
    <x v="1003"/>
    <x v="947"/>
    <n v="37.189617340749301"/>
    <n v="1628.224517291761"/>
    <n v="2.7692407277988208E-2"/>
    <n v="1.0298700299125623"/>
  </r>
  <r>
    <x v="1004"/>
    <x v="1003"/>
    <x v="1004"/>
    <x v="948"/>
    <n v="37.170397438979556"/>
    <n v="1832.0057651227398"/>
    <n v="3.2129522530505383E-2"/>
    <n v="1.1942671219835332"/>
  </r>
  <r>
    <x v="1005"/>
    <x v="1004"/>
    <x v="1005"/>
    <x v="659"/>
    <n v="36.982538567239708"/>
    <n v="4881.9370808956155"/>
    <n v="3.1310849942794469E-2"/>
    <n v="1.1579547155824514"/>
  </r>
  <r>
    <x v="1006"/>
    <x v="1005"/>
    <x v="1006"/>
    <x v="949"/>
    <n v="37.018659503691438"/>
    <n v="7072.2527347255964"/>
    <n v="3.392145231056571E-2"/>
    <n v="1.2557266929555391"/>
  </r>
  <r>
    <x v="1007"/>
    <x v="1006"/>
    <x v="1007"/>
    <x v="950"/>
    <n v="37.371721580932146"/>
    <n v="5233.5153077716095"/>
    <n v="4.4134714545046465E-2"/>
    <n v="1.6493902640313929"/>
  </r>
  <r>
    <x v="1008"/>
    <x v="1007"/>
    <x v="1008"/>
    <x v="951"/>
    <n v="40.327367548449544"/>
    <n v="16252.53643936319"/>
    <n v="0.11384606205711011"/>
    <n v="4.5911119885206748"/>
  </r>
  <r>
    <x v="1009"/>
    <x v="1008"/>
    <x v="1009"/>
    <x v="952"/>
    <n v="40.30913096778611"/>
    <n v="11129.153685360914"/>
    <n v="0.11518360595352567"/>
    <n v="4.6429510577225344"/>
  </r>
  <r>
    <x v="1010"/>
    <x v="1009"/>
    <x v="1010"/>
    <x v="953"/>
    <n v="40.338411734263062"/>
    <n v="9186.1657864988665"/>
    <n v="0.11648465635816184"/>
    <n v="4.6988060288996758"/>
  </r>
  <r>
    <x v="1011"/>
    <x v="1010"/>
    <x v="1011"/>
    <x v="954"/>
    <n v="40.390502524637725"/>
    <n v="8303.1686013933431"/>
    <n v="0.11814500141218699"/>
    <n v="4.7719359778122659"/>
  </r>
  <r>
    <x v="1012"/>
    <x v="1011"/>
    <x v="1012"/>
    <x v="20"/>
    <n v="40.325764196329757"/>
    <n v="10302.253455413142"/>
    <n v="0.11740611919023199"/>
    <n v="4.7344914776714804"/>
  </r>
  <r>
    <x v="1013"/>
    <x v="1012"/>
    <x v="1013"/>
    <x v="955"/>
    <n v="40.321211462975555"/>
    <n v="10844.07742296264"/>
    <n v="0.1178021253687269"/>
    <n v="4.7499244077803944"/>
  </r>
  <r>
    <x v="1014"/>
    <x v="1013"/>
    <x v="1014"/>
    <x v="956"/>
    <n v="40.304815612858263"/>
    <n v="6144.1491472126218"/>
    <n v="0.11872434632130299"/>
    <n v="4.7851628872372443"/>
  </r>
  <r>
    <x v="1015"/>
    <x v="1014"/>
    <x v="1015"/>
    <x v="957"/>
    <n v="40.328569432981091"/>
    <n v="5951.2058914131048"/>
    <n v="0.11683926288467035"/>
    <n v="4.7119603257427594"/>
  </r>
  <r>
    <x v="1016"/>
    <x v="1015"/>
    <x v="1016"/>
    <x v="958"/>
    <n v="40.305730884676606"/>
    <n v="4228.6464223394287"/>
    <n v="0.11709182168181624"/>
    <n v="4.7194714535038269"/>
  </r>
  <r>
    <x v="1017"/>
    <x v="1016"/>
    <x v="1017"/>
    <x v="959"/>
    <n v="40.394999694238436"/>
    <n v="3205.7172987643971"/>
    <n v="0.10333237028579137"/>
    <n v="4.1741110660994751"/>
  </r>
  <r>
    <x v="1018"/>
    <x v="1017"/>
    <x v="1018"/>
    <x v="960"/>
    <n v="42.86797030836852"/>
    <n v="2630.1193799235079"/>
    <n v="0.11776190346146873"/>
    <n v="5.0482137810432013"/>
  </r>
  <r>
    <x v="1019"/>
    <x v="1018"/>
    <x v="1019"/>
    <x v="202"/>
    <n v="42.917755744864188"/>
    <n v="7370.1776108902195"/>
    <n v="0.10613593076538323"/>
    <n v="4.5551159523425335"/>
  </r>
  <r>
    <x v="1020"/>
    <x v="1019"/>
    <x v="1020"/>
    <x v="961"/>
    <n v="42.924559753829335"/>
    <n v="8787.2127701214922"/>
    <n v="9.534836456074175E-2"/>
    <n v="4.092786572017463"/>
  </r>
  <r>
    <x v="1021"/>
    <x v="1020"/>
    <x v="1021"/>
    <x v="962"/>
    <n v="42.918567680711789"/>
    <n v="4594.9932399378886"/>
    <n v="8.0197049618060554E-2"/>
    <n v="3.4419425018261336"/>
  </r>
  <r>
    <x v="1022"/>
    <x v="1021"/>
    <x v="1022"/>
    <x v="963"/>
    <n v="42.931637589211896"/>
    <n v="5420.0038970574897"/>
    <n v="9.4780265167672156E-2"/>
    <n v="4.0690719947879055"/>
  </r>
  <r>
    <x v="1023"/>
    <x v="1022"/>
    <x v="1023"/>
    <x v="964"/>
    <n v="42.925685824873838"/>
    <n v="3662.4797316509575"/>
    <n v="8.9435432726884118E-2"/>
    <n v="3.8390772868458676"/>
  </r>
  <r>
    <x v="1024"/>
    <x v="1023"/>
    <x v="1024"/>
    <x v="965"/>
    <n v="42.956040244344088"/>
    <n v="3993.9880230016934"/>
    <n v="0.10601880976304627"/>
    <n v="4.5541482588388753"/>
  </r>
  <r>
    <x v="1025"/>
    <x v="1024"/>
    <x v="1025"/>
    <x v="966"/>
    <n v="42.657988432185022"/>
    <n v="3610.0688279302994"/>
    <n v="9.3408610598719327E-2"/>
    <n v="3.9846234303866441"/>
  </r>
  <r>
    <x v="1026"/>
    <x v="1025"/>
    <x v="1026"/>
    <x v="967"/>
    <n v="42.694773398886987"/>
    <n v="9210.2678406621417"/>
    <n v="9.5919761804922704E-2"/>
    <n v="4.0952724947363901"/>
  </r>
  <r>
    <x v="1027"/>
    <x v="1026"/>
    <x v="1027"/>
    <x v="968"/>
    <n v="42.743767863419336"/>
    <n v="9732.5776436831657"/>
    <n v="9.2109963049889457E-2"/>
    <n v="3.9371268785126077"/>
  </r>
  <r>
    <x v="1028"/>
    <x v="1027"/>
    <x v="1028"/>
    <x v="969"/>
    <n v="42.764440247527446"/>
    <n v="4747.96422751715"/>
    <n v="8.6739053084232534E-2"/>
    <n v="3.7093470527477734"/>
  </r>
  <r>
    <x v="1029"/>
    <x v="1028"/>
    <x v="1029"/>
    <x v="942"/>
    <n v="42.693163309856004"/>
    <n v="3783.874796104421"/>
    <n v="9.4286729002597283E-2"/>
    <n v="4.0253987192600222"/>
  </r>
  <r>
    <x v="1030"/>
    <x v="1029"/>
    <x v="1030"/>
    <x v="970"/>
    <n v="42.668479955409317"/>
    <n v="6950.2308886116516"/>
    <n v="9.8720675051352777E-2"/>
    <n v="4.2122611446131222"/>
  </r>
  <r>
    <x v="1031"/>
    <x v="1030"/>
    <x v="1031"/>
    <x v="545"/>
    <n v="42.605140217287151"/>
    <n v="6400.8664101523245"/>
    <n v="0.10241101029493868"/>
    <n v="4.3632354534099012"/>
  </r>
  <r>
    <x v="1032"/>
    <x v="1031"/>
    <x v="1032"/>
    <x v="971"/>
    <n v="42.701048751233095"/>
    <n v="5473.2773045509821"/>
    <n v="0.10197028498270302"/>
    <n v="4.3542381102235339"/>
  </r>
  <r>
    <x v="1033"/>
    <x v="1032"/>
    <x v="1033"/>
    <x v="769"/>
    <n v="42.66375342284703"/>
    <n v="9948.6274568510853"/>
    <n v="9.6959200757683092E-2"/>
    <n v="4.1366434332021145"/>
  </r>
  <r>
    <x v="1034"/>
    <x v="1033"/>
    <x v="1034"/>
    <x v="972"/>
    <n v="42.672637578418815"/>
    <n v="11800.309444213402"/>
    <n v="9.4411421627157016E-2"/>
    <n v="4.0287843783589627"/>
  </r>
  <r>
    <x v="1035"/>
    <x v="1034"/>
    <x v="1035"/>
    <x v="973"/>
    <n v="42.680807515123497"/>
    <n v="6287.3186147402812"/>
    <n v="9.3116439684024568E-2"/>
    <n v="3.9742848386474598"/>
  </r>
  <r>
    <x v="1036"/>
    <x v="1035"/>
    <x v="1036"/>
    <x v="974"/>
    <n v="42.721535088371184"/>
    <n v="7704.4446716385937"/>
    <n v="0.11003112099411216"/>
    <n v="4.7006983963627782"/>
  </r>
  <r>
    <x v="1037"/>
    <x v="1036"/>
    <x v="1037"/>
    <x v="975"/>
    <n v="42.73112426085406"/>
    <n v="16255.427281455297"/>
    <n v="0.12804169613756025"/>
    <n v="5.4713656282246035"/>
  </r>
  <r>
    <x v="1038"/>
    <x v="1037"/>
    <x v="1038"/>
    <x v="976"/>
    <n v="42.713768411139"/>
    <n v="11354.371847322007"/>
    <n v="0.1163855664747801"/>
    <n v="4.9712661328029801"/>
  </r>
  <r>
    <x v="1039"/>
    <x v="1038"/>
    <x v="1039"/>
    <x v="884"/>
    <n v="42.823923155556749"/>
    <n v="7625.5939044724946"/>
    <n v="7.8582767019672026E-2"/>
    <n v="3.3652223762014541"/>
  </r>
  <r>
    <x v="1040"/>
    <x v="1039"/>
    <x v="1040"/>
    <x v="977"/>
    <n v="42.749940407043191"/>
    <n v="11673.675198531884"/>
    <n v="6.9342002628516669E-2"/>
    <n v="2.9643664800741201"/>
  </r>
  <r>
    <x v="1041"/>
    <x v="1040"/>
    <x v="1041"/>
    <x v="978"/>
    <n v="42.800301266553454"/>
    <n v="12622.728240383294"/>
    <n v="6.2483364636489923E-2"/>
    <n v="2.6743068305896811"/>
  </r>
  <r>
    <x v="1042"/>
    <x v="1041"/>
    <x v="1042"/>
    <x v="979"/>
    <n v="42.750886895397009"/>
    <n v="6208.8322776540008"/>
    <n v="5.7245892683727026E-2"/>
    <n v="2.447312683348049"/>
  </r>
  <r>
    <x v="1043"/>
    <x v="1042"/>
    <x v="1043"/>
    <x v="980"/>
    <n v="42.936427721195194"/>
    <n v="6557.8945789397985"/>
    <n v="5.8273553409343239E-2"/>
    <n v="2.5020582140174739"/>
  </r>
  <r>
    <x v="1044"/>
    <x v="1043"/>
    <x v="1044"/>
    <x v="981"/>
    <n v="42.921798372008453"/>
    <n v="5787.4506994437834"/>
    <n v="5.7598076552051208E-2"/>
    <n v="2.47221302838265"/>
  </r>
  <r>
    <x v="1045"/>
    <x v="1044"/>
    <x v="1045"/>
    <x v="982"/>
    <n v="42.9509146093692"/>
    <n v="4568.0280984604178"/>
    <n v="5.5946668906331529E-2"/>
    <n v="2.4029605988744964"/>
  </r>
  <r>
    <x v="1046"/>
    <x v="1045"/>
    <x v="1046"/>
    <x v="983"/>
    <n v="42.934671455126349"/>
    <n v="3977.911673147566"/>
    <n v="5.5612445694803142E-2"/>
    <n v="2.3877020847224286"/>
  </r>
  <r>
    <x v="1047"/>
    <x v="1046"/>
    <x v="1047"/>
    <x v="984"/>
    <n v="42.93986169025478"/>
    <n v="8383.1842778442951"/>
    <n v="5.2089332165907505E-2"/>
    <n v="2.2367087187418075"/>
  </r>
  <r>
    <x v="1048"/>
    <x v="1047"/>
    <x v="1048"/>
    <x v="985"/>
    <n v="42.934906229811318"/>
    <n v="8735.6951672552095"/>
    <n v="5.2943977797258922E-2"/>
    <n v="2.2731447221585244"/>
  </r>
  <r>
    <x v="1049"/>
    <x v="1048"/>
    <x v="1049"/>
    <x v="986"/>
    <n v="42.940281914685144"/>
    <n v="4834.1741381234897"/>
    <n v="4.9355108842974602E-2"/>
    <n v="2.1193222876472992"/>
  </r>
  <r>
    <x v="1050"/>
    <x v="1049"/>
    <x v="1050"/>
    <x v="525"/>
    <n v="42.929742758739657"/>
    <n v="4765.9846578741708"/>
    <n v="5.4261116340784218E-2"/>
    <n v="2.3294157663119113"/>
  </r>
  <r>
    <x v="1051"/>
    <x v="1050"/>
    <x v="1051"/>
    <x v="987"/>
    <n v="43.791441987652462"/>
    <n v="7404.9304446695605"/>
    <n v="7.7531122510976672E-2"/>
    <n v="3.3951996536770106"/>
  </r>
  <r>
    <x v="1052"/>
    <x v="1051"/>
    <x v="1052"/>
    <x v="988"/>
    <n v="43.805996531616287"/>
    <n v="5801.101883067211"/>
    <n v="7.5114644502103464E-2"/>
    <n v="3.2904718565327347"/>
  </r>
  <r>
    <x v="1053"/>
    <x v="1052"/>
    <x v="1053"/>
    <x v="989"/>
    <m/>
    <m/>
    <n v="-9.2135041617852913"/>
    <m/>
  </r>
  <r>
    <x v="1053"/>
    <x v="1053"/>
    <x v="1053"/>
    <x v="989"/>
    <m/>
    <n v="-7116281.1900259992"/>
    <n v="-3.8073338659649493E-2"/>
    <m/>
  </r>
  <r>
    <x v="1053"/>
    <x v="1052"/>
    <x v="1053"/>
    <x v="989"/>
    <m/>
    <m/>
    <m/>
    <m/>
  </r>
  <r>
    <x v="1053"/>
    <x v="1052"/>
    <x v="1053"/>
    <x v="989"/>
    <m/>
    <m/>
    <m/>
    <m/>
  </r>
  <r>
    <x v="1053"/>
    <x v="1052"/>
    <x v="1053"/>
    <x v="989"/>
    <m/>
    <m/>
    <m/>
    <m/>
  </r>
  <r>
    <x v="1053"/>
    <x v="1052"/>
    <x v="1053"/>
    <x v="989"/>
    <m/>
    <m/>
    <m/>
    <m/>
  </r>
  <r>
    <x v="1053"/>
    <x v="1052"/>
    <x v="1053"/>
    <x v="989"/>
    <m/>
    <n v="-3.8073338659649493E-2"/>
    <m/>
    <m/>
  </r>
  <r>
    <x v="1053"/>
    <x v="1052"/>
    <x v="1053"/>
    <x v="989"/>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383880-BC26-45E4-B171-636D9F2F4470}" name="PivotTable6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5:B68" firstHeaderRow="1" firstDataRow="1" firstDataCol="1"/>
  <pivotFields count="10">
    <pivotField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items count="38">
        <item x="0"/>
        <item x="35"/>
        <item x="34"/>
        <item x="11"/>
        <item x="27"/>
        <item x="33"/>
        <item x="31"/>
        <item x="19"/>
        <item x="13"/>
        <item x="20"/>
        <item x="1"/>
        <item x="32"/>
        <item x="21"/>
        <item x="22"/>
        <item x="26"/>
        <item x="14"/>
        <item x="7"/>
        <item x="29"/>
        <item x="15"/>
        <item x="18"/>
        <item x="25"/>
        <item x="12"/>
        <item x="2"/>
        <item x="10"/>
        <item x="16"/>
        <item x="4"/>
        <item x="6"/>
        <item x="23"/>
        <item x="28"/>
        <item x="30"/>
        <item x="24"/>
        <item x="9"/>
        <item x="5"/>
        <item x="3"/>
        <item x="17"/>
        <item x="8"/>
        <item x="36"/>
        <item t="default"/>
      </items>
    </pivotField>
    <pivotField showAll="0">
      <items count="38">
        <item x="0"/>
        <item x="35"/>
        <item x="34"/>
        <item x="11"/>
        <item x="27"/>
        <item x="33"/>
        <item x="31"/>
        <item x="19"/>
        <item x="13"/>
        <item x="1"/>
        <item x="20"/>
        <item x="32"/>
        <item x="26"/>
        <item x="7"/>
        <item x="21"/>
        <item x="14"/>
        <item x="22"/>
        <item x="29"/>
        <item x="18"/>
        <item x="15"/>
        <item x="25"/>
        <item x="2"/>
        <item x="12"/>
        <item x="10"/>
        <item x="16"/>
        <item x="4"/>
        <item x="6"/>
        <item x="28"/>
        <item x="23"/>
        <item x="24"/>
        <item x="30"/>
        <item x="5"/>
        <item x="9"/>
        <item x="3"/>
        <item x="17"/>
        <item x="8"/>
        <item x="36"/>
        <item t="default"/>
      </items>
    </pivotField>
    <pivotField dataField="1" showAll="0">
      <items count="38">
        <item x="0"/>
        <item x="35"/>
        <item x="34"/>
        <item x="11"/>
        <item x="27"/>
        <item x="33"/>
        <item x="31"/>
        <item x="13"/>
        <item x="19"/>
        <item x="20"/>
        <item x="1"/>
        <item x="32"/>
        <item x="14"/>
        <item x="26"/>
        <item x="21"/>
        <item x="22"/>
        <item x="18"/>
        <item x="15"/>
        <item x="12"/>
        <item x="29"/>
        <item x="7"/>
        <item x="25"/>
        <item x="16"/>
        <item x="10"/>
        <item x="2"/>
        <item x="23"/>
        <item x="24"/>
        <item x="4"/>
        <item x="28"/>
        <item x="30"/>
        <item x="6"/>
        <item x="17"/>
        <item x="5"/>
        <item x="9"/>
        <item x="3"/>
        <item x="8"/>
        <item x="36"/>
        <item t="default"/>
      </items>
    </pivotField>
    <pivotField showAll="0">
      <items count="38">
        <item x="9"/>
        <item x="8"/>
        <item x="2"/>
        <item x="6"/>
        <item x="0"/>
        <item x="5"/>
        <item x="3"/>
        <item x="1"/>
        <item x="7"/>
        <item x="4"/>
        <item x="30"/>
        <item x="10"/>
        <item x="21"/>
        <item x="28"/>
        <item x="32"/>
        <item x="23"/>
        <item x="29"/>
        <item x="22"/>
        <item x="25"/>
        <item x="20"/>
        <item x="24"/>
        <item x="31"/>
        <item x="33"/>
        <item x="26"/>
        <item x="17"/>
        <item x="14"/>
        <item x="11"/>
        <item x="19"/>
        <item x="15"/>
        <item x="16"/>
        <item x="18"/>
        <item x="12"/>
        <item x="27"/>
        <item x="13"/>
        <item x="34"/>
        <item x="35"/>
        <item x="36"/>
        <item t="default"/>
      </items>
    </pivotField>
    <pivotField showAll="0">
      <items count="38">
        <item x="23"/>
        <item x="17"/>
        <item x="9"/>
        <item x="8"/>
        <item x="28"/>
        <item x="30"/>
        <item x="21"/>
        <item x="22"/>
        <item x="24"/>
        <item x="15"/>
        <item x="16"/>
        <item x="5"/>
        <item x="12"/>
        <item x="20"/>
        <item x="25"/>
        <item x="14"/>
        <item x="6"/>
        <item x="18"/>
        <item x="29"/>
        <item x="13"/>
        <item x="19"/>
        <item x="32"/>
        <item x="3"/>
        <item x="2"/>
        <item x="10"/>
        <item x="7"/>
        <item x="4"/>
        <item x="0"/>
        <item x="26"/>
        <item x="1"/>
        <item x="27"/>
        <item x="33"/>
        <item x="31"/>
        <item x="11"/>
        <item x="35"/>
        <item x="34"/>
        <item x="36"/>
        <item t="default"/>
      </items>
    </pivotField>
    <pivotField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Average of Total Quantity Sold" fld="3" subtotal="average"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5AD85D-D59C-4E7A-A738-AAE98346CB30}" name="PivotTable6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8:B51" firstHeaderRow="1" firstDataRow="1" firstDataCol="1"/>
  <pivotFields count="10">
    <pivotField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items count="38">
        <item x="0"/>
        <item x="35"/>
        <item x="34"/>
        <item x="11"/>
        <item x="27"/>
        <item x="33"/>
        <item x="31"/>
        <item x="19"/>
        <item x="13"/>
        <item x="20"/>
        <item x="1"/>
        <item x="32"/>
        <item x="21"/>
        <item x="22"/>
        <item x="26"/>
        <item x="14"/>
        <item x="7"/>
        <item x="29"/>
        <item x="15"/>
        <item x="18"/>
        <item x="25"/>
        <item x="12"/>
        <item x="2"/>
        <item x="10"/>
        <item x="16"/>
        <item x="4"/>
        <item x="6"/>
        <item x="23"/>
        <item x="28"/>
        <item x="30"/>
        <item x="24"/>
        <item x="9"/>
        <item x="5"/>
        <item x="3"/>
        <item x="17"/>
        <item x="8"/>
        <item x="36"/>
        <item t="default"/>
      </items>
    </pivotField>
    <pivotField showAll="0">
      <items count="38">
        <item x="0"/>
        <item x="35"/>
        <item x="34"/>
        <item x="11"/>
        <item x="27"/>
        <item x="33"/>
        <item x="31"/>
        <item x="19"/>
        <item x="13"/>
        <item x="1"/>
        <item x="20"/>
        <item x="32"/>
        <item x="26"/>
        <item x="7"/>
        <item x="21"/>
        <item x="14"/>
        <item x="22"/>
        <item x="29"/>
        <item x="18"/>
        <item x="15"/>
        <item x="25"/>
        <item x="2"/>
        <item x="12"/>
        <item x="10"/>
        <item x="16"/>
        <item x="4"/>
        <item x="6"/>
        <item x="28"/>
        <item x="23"/>
        <item x="24"/>
        <item x="30"/>
        <item x="5"/>
        <item x="9"/>
        <item x="3"/>
        <item x="17"/>
        <item x="8"/>
        <item x="36"/>
        <item t="default"/>
      </items>
    </pivotField>
    <pivotField showAll="0">
      <items count="38">
        <item x="0"/>
        <item x="35"/>
        <item x="34"/>
        <item x="11"/>
        <item x="27"/>
        <item x="33"/>
        <item x="31"/>
        <item x="13"/>
        <item x="19"/>
        <item x="20"/>
        <item x="1"/>
        <item x="32"/>
        <item x="14"/>
        <item x="26"/>
        <item x="21"/>
        <item x="22"/>
        <item x="18"/>
        <item x="15"/>
        <item x="12"/>
        <item x="29"/>
        <item x="7"/>
        <item x="25"/>
        <item x="16"/>
        <item x="10"/>
        <item x="2"/>
        <item x="23"/>
        <item x="24"/>
        <item x="4"/>
        <item x="28"/>
        <item x="30"/>
        <item x="6"/>
        <item x="17"/>
        <item x="5"/>
        <item x="9"/>
        <item x="3"/>
        <item x="8"/>
        <item x="36"/>
        <item t="default"/>
      </items>
    </pivotField>
    <pivotField showAll="0">
      <items count="38">
        <item x="9"/>
        <item x="8"/>
        <item x="2"/>
        <item x="6"/>
        <item x="0"/>
        <item x="5"/>
        <item x="3"/>
        <item x="1"/>
        <item x="7"/>
        <item x="4"/>
        <item x="30"/>
        <item x="10"/>
        <item x="21"/>
        <item x="28"/>
        <item x="32"/>
        <item x="23"/>
        <item x="29"/>
        <item x="22"/>
        <item x="25"/>
        <item x="20"/>
        <item x="24"/>
        <item x="31"/>
        <item x="33"/>
        <item x="26"/>
        <item x="17"/>
        <item x="14"/>
        <item x="11"/>
        <item x="19"/>
        <item x="15"/>
        <item x="16"/>
        <item x="18"/>
        <item x="12"/>
        <item x="27"/>
        <item x="13"/>
        <item x="34"/>
        <item x="35"/>
        <item x="36"/>
        <item t="default"/>
      </items>
    </pivotField>
    <pivotField dataField="1" showAll="0">
      <items count="38">
        <item x="23"/>
        <item x="17"/>
        <item x="9"/>
        <item x="8"/>
        <item x="28"/>
        <item x="30"/>
        <item x="21"/>
        <item x="22"/>
        <item x="24"/>
        <item x="15"/>
        <item x="16"/>
        <item x="5"/>
        <item x="12"/>
        <item x="20"/>
        <item x="25"/>
        <item x="14"/>
        <item x="6"/>
        <item x="18"/>
        <item x="29"/>
        <item x="13"/>
        <item x="19"/>
        <item x="32"/>
        <item x="3"/>
        <item x="2"/>
        <item x="10"/>
        <item x="7"/>
        <item x="4"/>
        <item x="0"/>
        <item x="26"/>
        <item x="1"/>
        <item x="27"/>
        <item x="33"/>
        <item x="31"/>
        <item x="11"/>
        <item x="35"/>
        <item x="34"/>
        <item x="36"/>
        <item t="default"/>
      </items>
    </pivotField>
    <pivotField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Gross Profit" fld="5"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70B7EB-D787-4473-B0F4-5C25CF22816F}" name="PivotTable6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B33" firstHeaderRow="1" firstDataRow="1" firstDataCol="1"/>
  <pivotFields count="10">
    <pivotField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items count="38">
        <item x="0"/>
        <item x="35"/>
        <item x="34"/>
        <item x="11"/>
        <item x="27"/>
        <item x="33"/>
        <item x="31"/>
        <item x="19"/>
        <item x="13"/>
        <item x="20"/>
        <item x="1"/>
        <item x="32"/>
        <item x="21"/>
        <item x="22"/>
        <item x="26"/>
        <item x="14"/>
        <item x="7"/>
        <item x="29"/>
        <item x="15"/>
        <item x="18"/>
        <item x="25"/>
        <item x="12"/>
        <item x="2"/>
        <item x="10"/>
        <item x="16"/>
        <item x="4"/>
        <item x="6"/>
        <item x="23"/>
        <item x="28"/>
        <item x="30"/>
        <item x="24"/>
        <item x="9"/>
        <item x="5"/>
        <item x="3"/>
        <item x="17"/>
        <item x="8"/>
        <item x="36"/>
        <item t="default"/>
      </items>
    </pivotField>
    <pivotField showAll="0">
      <items count="38">
        <item x="0"/>
        <item x="35"/>
        <item x="34"/>
        <item x="11"/>
        <item x="27"/>
        <item x="33"/>
        <item x="31"/>
        <item x="19"/>
        <item x="13"/>
        <item x="1"/>
        <item x="20"/>
        <item x="32"/>
        <item x="26"/>
        <item x="7"/>
        <item x="21"/>
        <item x="14"/>
        <item x="22"/>
        <item x="29"/>
        <item x="18"/>
        <item x="15"/>
        <item x="25"/>
        <item x="2"/>
        <item x="12"/>
        <item x="10"/>
        <item x="16"/>
        <item x="4"/>
        <item x="6"/>
        <item x="28"/>
        <item x="23"/>
        <item x="24"/>
        <item x="30"/>
        <item x="5"/>
        <item x="9"/>
        <item x="3"/>
        <item x="17"/>
        <item x="8"/>
        <item x="36"/>
        <item t="default"/>
      </items>
    </pivotField>
    <pivotField dataField="1" showAll="0">
      <items count="38">
        <item x="0"/>
        <item x="35"/>
        <item x="34"/>
        <item x="11"/>
        <item x="27"/>
        <item x="33"/>
        <item x="31"/>
        <item x="13"/>
        <item x="19"/>
        <item x="20"/>
        <item x="1"/>
        <item x="32"/>
        <item x="14"/>
        <item x="26"/>
        <item x="21"/>
        <item x="22"/>
        <item x="18"/>
        <item x="15"/>
        <item x="12"/>
        <item x="29"/>
        <item x="7"/>
        <item x="25"/>
        <item x="16"/>
        <item x="10"/>
        <item x="2"/>
        <item x="23"/>
        <item x="24"/>
        <item x="4"/>
        <item x="28"/>
        <item x="30"/>
        <item x="6"/>
        <item x="17"/>
        <item x="5"/>
        <item x="9"/>
        <item x="3"/>
        <item x="8"/>
        <item x="36"/>
        <item t="default"/>
      </items>
    </pivotField>
    <pivotField showAll="0">
      <items count="38">
        <item x="9"/>
        <item x="8"/>
        <item x="2"/>
        <item x="6"/>
        <item x="0"/>
        <item x="5"/>
        <item x="3"/>
        <item x="1"/>
        <item x="7"/>
        <item x="4"/>
        <item x="30"/>
        <item x="10"/>
        <item x="21"/>
        <item x="28"/>
        <item x="32"/>
        <item x="23"/>
        <item x="29"/>
        <item x="22"/>
        <item x="25"/>
        <item x="20"/>
        <item x="24"/>
        <item x="31"/>
        <item x="33"/>
        <item x="26"/>
        <item x="17"/>
        <item x="14"/>
        <item x="11"/>
        <item x="19"/>
        <item x="15"/>
        <item x="16"/>
        <item x="18"/>
        <item x="12"/>
        <item x="27"/>
        <item x="13"/>
        <item x="34"/>
        <item x="35"/>
        <item x="36"/>
        <item t="default"/>
      </items>
    </pivotField>
    <pivotField showAll="0">
      <items count="38">
        <item x="23"/>
        <item x="17"/>
        <item x="9"/>
        <item x="8"/>
        <item x="28"/>
        <item x="30"/>
        <item x="21"/>
        <item x="22"/>
        <item x="24"/>
        <item x="15"/>
        <item x="16"/>
        <item x="5"/>
        <item x="12"/>
        <item x="20"/>
        <item x="25"/>
        <item x="14"/>
        <item x="6"/>
        <item x="18"/>
        <item x="29"/>
        <item x="13"/>
        <item x="19"/>
        <item x="32"/>
        <item x="3"/>
        <item x="2"/>
        <item x="10"/>
        <item x="7"/>
        <item x="4"/>
        <item x="0"/>
        <item x="26"/>
        <item x="1"/>
        <item x="27"/>
        <item x="33"/>
        <item x="31"/>
        <item x="11"/>
        <item x="35"/>
        <item x="34"/>
        <item x="36"/>
        <item t="default"/>
      </items>
    </pivotField>
    <pivotField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Total Quantity Sold" fld="3"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BC1C2E-CA60-4B4B-8EAF-0B8D918A6570}" name="PivotTable7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87:B93" firstHeaderRow="1" firstDataRow="1" firstDataCol="1" rowPageCount="1" colPageCount="1"/>
  <pivotFields count="10">
    <pivotField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items count="38">
        <item x="0"/>
        <item x="35"/>
        <item x="34"/>
        <item x="11"/>
        <item x="27"/>
        <item x="33"/>
        <item x="31"/>
        <item x="19"/>
        <item x="13"/>
        <item x="20"/>
        <item x="1"/>
        <item x="32"/>
        <item x="21"/>
        <item x="22"/>
        <item x="26"/>
        <item x="14"/>
        <item x="7"/>
        <item x="29"/>
        <item x="15"/>
        <item x="18"/>
        <item x="25"/>
        <item x="12"/>
        <item x="2"/>
        <item x="10"/>
        <item x="16"/>
        <item x="4"/>
        <item x="6"/>
        <item x="23"/>
        <item x="28"/>
        <item x="30"/>
        <item x="24"/>
        <item x="9"/>
        <item x="5"/>
        <item x="3"/>
        <item x="17"/>
        <item x="8"/>
        <item x="36"/>
        <item t="default"/>
      </items>
    </pivotField>
    <pivotField showAll="0">
      <items count="38">
        <item x="0"/>
        <item x="35"/>
        <item x="34"/>
        <item x="11"/>
        <item x="27"/>
        <item x="33"/>
        <item x="31"/>
        <item x="19"/>
        <item x="13"/>
        <item x="1"/>
        <item x="20"/>
        <item x="32"/>
        <item x="26"/>
        <item x="7"/>
        <item x="21"/>
        <item x="14"/>
        <item x="22"/>
        <item x="29"/>
        <item x="18"/>
        <item x="15"/>
        <item x="25"/>
        <item x="2"/>
        <item x="12"/>
        <item x="10"/>
        <item x="16"/>
        <item x="4"/>
        <item x="6"/>
        <item x="28"/>
        <item x="23"/>
        <item x="24"/>
        <item x="30"/>
        <item x="5"/>
        <item x="9"/>
        <item x="3"/>
        <item x="17"/>
        <item x="8"/>
        <item x="36"/>
        <item t="default"/>
      </items>
    </pivotField>
    <pivotField axis="axisPage" showAll="0" avgSubtotal="1">
      <items count="38">
        <item x="0"/>
        <item x="35"/>
        <item x="34"/>
        <item x="11"/>
        <item x="27"/>
        <item x="33"/>
        <item x="31"/>
        <item x="13"/>
        <item x="19"/>
        <item x="20"/>
        <item x="1"/>
        <item x="32"/>
        <item x="14"/>
        <item x="26"/>
        <item x="21"/>
        <item x="22"/>
        <item x="18"/>
        <item x="15"/>
        <item x="12"/>
        <item x="29"/>
        <item x="7"/>
        <item x="25"/>
        <item x="16"/>
        <item x="10"/>
        <item x="2"/>
        <item x="23"/>
        <item x="24"/>
        <item x="4"/>
        <item x="28"/>
        <item x="30"/>
        <item x="6"/>
        <item x="17"/>
        <item x="5"/>
        <item x="9"/>
        <item x="3"/>
        <item x="8"/>
        <item x="36"/>
        <item t="avg"/>
      </items>
    </pivotField>
    <pivotField dataField="1" showAll="0">
      <items count="38">
        <item x="9"/>
        <item x="8"/>
        <item x="2"/>
        <item x="6"/>
        <item x="0"/>
        <item x="5"/>
        <item x="3"/>
        <item x="1"/>
        <item x="7"/>
        <item x="4"/>
        <item x="30"/>
        <item x="10"/>
        <item x="21"/>
        <item x="28"/>
        <item x="32"/>
        <item x="23"/>
        <item x="29"/>
        <item x="22"/>
        <item x="25"/>
        <item x="20"/>
        <item x="24"/>
        <item x="31"/>
        <item x="33"/>
        <item x="26"/>
        <item x="17"/>
        <item x="14"/>
        <item x="11"/>
        <item x="19"/>
        <item x="15"/>
        <item x="16"/>
        <item x="18"/>
        <item x="12"/>
        <item x="27"/>
        <item x="13"/>
        <item x="34"/>
        <item x="35"/>
        <item x="36"/>
        <item t="default"/>
      </items>
    </pivotField>
    <pivotField showAll="0">
      <items count="38">
        <item x="23"/>
        <item x="17"/>
        <item x="9"/>
        <item x="8"/>
        <item x="28"/>
        <item x="30"/>
        <item x="21"/>
        <item x="22"/>
        <item x="24"/>
        <item x="15"/>
        <item x="16"/>
        <item x="5"/>
        <item x="12"/>
        <item x="20"/>
        <item x="25"/>
        <item x="14"/>
        <item x="6"/>
        <item x="18"/>
        <item x="29"/>
        <item x="13"/>
        <item x="19"/>
        <item x="32"/>
        <item x="3"/>
        <item x="2"/>
        <item x="10"/>
        <item x="7"/>
        <item x="4"/>
        <item x="0"/>
        <item x="26"/>
        <item x="1"/>
        <item x="27"/>
        <item x="33"/>
        <item x="31"/>
        <item x="11"/>
        <item x="35"/>
        <item x="34"/>
        <item x="36"/>
        <item t="default"/>
      </items>
    </pivotField>
    <pivotField showAll="0"/>
    <pivotField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9"/>
  </rowFields>
  <rowItems count="6">
    <i>
      <x/>
    </i>
    <i>
      <x v="1"/>
    </i>
    <i>
      <x v="2"/>
    </i>
    <i>
      <x v="3"/>
    </i>
    <i>
      <x v="4"/>
    </i>
    <i t="grand">
      <x/>
    </i>
  </rowItems>
  <colItems count="1">
    <i/>
  </colItems>
  <pageFields count="1">
    <pageField fld="3" hier="-1"/>
  </pageFields>
  <dataFields count="1">
    <dataField name="Average of Average Unit Price" fld="4" subtotal="average" baseField="0" baseItem="0"/>
  </dataFields>
  <formats count="1">
    <format dxfId="25">
      <pivotArea outline="0" collapsedLevelsAreSubtotals="1" fieldPosition="0"/>
    </format>
  </formats>
  <chartFormats count="72">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6" format="75" series="1">
      <pivotArea type="data" outline="0" fieldPosition="0">
        <references count="2">
          <reference field="4294967294" count="1" selected="0">
            <x v="0"/>
          </reference>
          <reference field="3" count="1" selected="0">
            <x v="1"/>
          </reference>
        </references>
      </pivotArea>
    </chartFormat>
    <chartFormat chart="16" format="76" series="1">
      <pivotArea type="data" outline="0" fieldPosition="0">
        <references count="2">
          <reference field="4294967294" count="1" selected="0">
            <x v="0"/>
          </reference>
          <reference field="3" count="1" selected="0">
            <x v="2"/>
          </reference>
        </references>
      </pivotArea>
    </chartFormat>
    <chartFormat chart="16" format="77" series="1">
      <pivotArea type="data" outline="0" fieldPosition="0">
        <references count="2">
          <reference field="4294967294" count="1" selected="0">
            <x v="0"/>
          </reference>
          <reference field="3" count="1" selected="0">
            <x v="3"/>
          </reference>
        </references>
      </pivotArea>
    </chartFormat>
    <chartFormat chart="16" format="78" series="1">
      <pivotArea type="data" outline="0" fieldPosition="0">
        <references count="2">
          <reference field="4294967294" count="1" selected="0">
            <x v="0"/>
          </reference>
          <reference field="3" count="1" selected="0">
            <x v="4"/>
          </reference>
        </references>
      </pivotArea>
    </chartFormat>
    <chartFormat chart="16" format="79" series="1">
      <pivotArea type="data" outline="0" fieldPosition="0">
        <references count="2">
          <reference field="4294967294" count="1" selected="0">
            <x v="0"/>
          </reference>
          <reference field="3" count="1" selected="0">
            <x v="5"/>
          </reference>
        </references>
      </pivotArea>
    </chartFormat>
    <chartFormat chart="16" format="80" series="1">
      <pivotArea type="data" outline="0" fieldPosition="0">
        <references count="2">
          <reference field="4294967294" count="1" selected="0">
            <x v="0"/>
          </reference>
          <reference field="3" count="1" selected="0">
            <x v="6"/>
          </reference>
        </references>
      </pivotArea>
    </chartFormat>
    <chartFormat chart="16" format="81" series="1">
      <pivotArea type="data" outline="0" fieldPosition="0">
        <references count="2">
          <reference field="4294967294" count="1" selected="0">
            <x v="0"/>
          </reference>
          <reference field="3" count="1" selected="0">
            <x v="7"/>
          </reference>
        </references>
      </pivotArea>
    </chartFormat>
    <chartFormat chart="16" format="82" series="1">
      <pivotArea type="data" outline="0" fieldPosition="0">
        <references count="2">
          <reference field="4294967294" count="1" selected="0">
            <x v="0"/>
          </reference>
          <reference field="3" count="1" selected="0">
            <x v="8"/>
          </reference>
        </references>
      </pivotArea>
    </chartFormat>
    <chartFormat chart="16" format="83" series="1">
      <pivotArea type="data" outline="0" fieldPosition="0">
        <references count="2">
          <reference field="4294967294" count="1" selected="0">
            <x v="0"/>
          </reference>
          <reference field="3" count="1" selected="0">
            <x v="9"/>
          </reference>
        </references>
      </pivotArea>
    </chartFormat>
    <chartFormat chart="16" format="84" series="1">
      <pivotArea type="data" outline="0" fieldPosition="0">
        <references count="2">
          <reference field="4294967294" count="1" selected="0">
            <x v="0"/>
          </reference>
          <reference field="3" count="1" selected="0">
            <x v="10"/>
          </reference>
        </references>
      </pivotArea>
    </chartFormat>
    <chartFormat chart="16" format="85" series="1">
      <pivotArea type="data" outline="0" fieldPosition="0">
        <references count="2">
          <reference field="4294967294" count="1" selected="0">
            <x v="0"/>
          </reference>
          <reference field="3" count="1" selected="0">
            <x v="11"/>
          </reference>
        </references>
      </pivotArea>
    </chartFormat>
    <chartFormat chart="16" format="86" series="1">
      <pivotArea type="data" outline="0" fieldPosition="0">
        <references count="2">
          <reference field="4294967294" count="1" selected="0">
            <x v="0"/>
          </reference>
          <reference field="3" count="1" selected="0">
            <x v="12"/>
          </reference>
        </references>
      </pivotArea>
    </chartFormat>
    <chartFormat chart="16" format="87" series="1">
      <pivotArea type="data" outline="0" fieldPosition="0">
        <references count="2">
          <reference field="4294967294" count="1" selected="0">
            <x v="0"/>
          </reference>
          <reference field="3" count="1" selected="0">
            <x v="13"/>
          </reference>
        </references>
      </pivotArea>
    </chartFormat>
    <chartFormat chart="16" format="88" series="1">
      <pivotArea type="data" outline="0" fieldPosition="0">
        <references count="2">
          <reference field="4294967294" count="1" selected="0">
            <x v="0"/>
          </reference>
          <reference field="3" count="1" selected="0">
            <x v="14"/>
          </reference>
        </references>
      </pivotArea>
    </chartFormat>
    <chartFormat chart="16" format="89" series="1">
      <pivotArea type="data" outline="0" fieldPosition="0">
        <references count="2">
          <reference field="4294967294" count="1" selected="0">
            <x v="0"/>
          </reference>
          <reference field="3" count="1" selected="0">
            <x v="15"/>
          </reference>
        </references>
      </pivotArea>
    </chartFormat>
    <chartFormat chart="16" format="90" series="1">
      <pivotArea type="data" outline="0" fieldPosition="0">
        <references count="2">
          <reference field="4294967294" count="1" selected="0">
            <x v="0"/>
          </reference>
          <reference field="3" count="1" selected="0">
            <x v="16"/>
          </reference>
        </references>
      </pivotArea>
    </chartFormat>
    <chartFormat chart="16" format="91" series="1">
      <pivotArea type="data" outline="0" fieldPosition="0">
        <references count="2">
          <reference field="4294967294" count="1" selected="0">
            <x v="0"/>
          </reference>
          <reference field="3" count="1" selected="0">
            <x v="17"/>
          </reference>
        </references>
      </pivotArea>
    </chartFormat>
    <chartFormat chart="16" format="92" series="1">
      <pivotArea type="data" outline="0" fieldPosition="0">
        <references count="2">
          <reference field="4294967294" count="1" selected="0">
            <x v="0"/>
          </reference>
          <reference field="3" count="1" selected="0">
            <x v="18"/>
          </reference>
        </references>
      </pivotArea>
    </chartFormat>
    <chartFormat chart="16" format="93" series="1">
      <pivotArea type="data" outline="0" fieldPosition="0">
        <references count="2">
          <reference field="4294967294" count="1" selected="0">
            <x v="0"/>
          </reference>
          <reference field="3" count="1" selected="0">
            <x v="19"/>
          </reference>
        </references>
      </pivotArea>
    </chartFormat>
    <chartFormat chart="16" format="94" series="1">
      <pivotArea type="data" outline="0" fieldPosition="0">
        <references count="2">
          <reference field="4294967294" count="1" selected="0">
            <x v="0"/>
          </reference>
          <reference field="3" count="1" selected="0">
            <x v="20"/>
          </reference>
        </references>
      </pivotArea>
    </chartFormat>
    <chartFormat chart="16" format="95" series="1">
      <pivotArea type="data" outline="0" fieldPosition="0">
        <references count="2">
          <reference field="4294967294" count="1" selected="0">
            <x v="0"/>
          </reference>
          <reference field="3" count="1" selected="0">
            <x v="21"/>
          </reference>
        </references>
      </pivotArea>
    </chartFormat>
    <chartFormat chart="16" format="96" series="1">
      <pivotArea type="data" outline="0" fieldPosition="0">
        <references count="2">
          <reference field="4294967294" count="1" selected="0">
            <x v="0"/>
          </reference>
          <reference field="3" count="1" selected="0">
            <x v="22"/>
          </reference>
        </references>
      </pivotArea>
    </chartFormat>
    <chartFormat chart="16" format="97" series="1">
      <pivotArea type="data" outline="0" fieldPosition="0">
        <references count="2">
          <reference field="4294967294" count="1" selected="0">
            <x v="0"/>
          </reference>
          <reference field="3" count="1" selected="0">
            <x v="23"/>
          </reference>
        </references>
      </pivotArea>
    </chartFormat>
    <chartFormat chart="16" format="98" series="1">
      <pivotArea type="data" outline="0" fieldPosition="0">
        <references count="2">
          <reference field="4294967294" count="1" selected="0">
            <x v="0"/>
          </reference>
          <reference field="3" count="1" selected="0">
            <x v="24"/>
          </reference>
        </references>
      </pivotArea>
    </chartFormat>
    <chartFormat chart="16" format="99" series="1">
      <pivotArea type="data" outline="0" fieldPosition="0">
        <references count="2">
          <reference field="4294967294" count="1" selected="0">
            <x v="0"/>
          </reference>
          <reference field="3" count="1" selected="0">
            <x v="25"/>
          </reference>
        </references>
      </pivotArea>
    </chartFormat>
    <chartFormat chart="16" format="100" series="1">
      <pivotArea type="data" outline="0" fieldPosition="0">
        <references count="2">
          <reference field="4294967294" count="1" selected="0">
            <x v="0"/>
          </reference>
          <reference field="3" count="1" selected="0">
            <x v="26"/>
          </reference>
        </references>
      </pivotArea>
    </chartFormat>
    <chartFormat chart="16" format="101" series="1">
      <pivotArea type="data" outline="0" fieldPosition="0">
        <references count="2">
          <reference field="4294967294" count="1" selected="0">
            <x v="0"/>
          </reference>
          <reference field="3" count="1" selected="0">
            <x v="27"/>
          </reference>
        </references>
      </pivotArea>
    </chartFormat>
    <chartFormat chart="16" format="102" series="1">
      <pivotArea type="data" outline="0" fieldPosition="0">
        <references count="2">
          <reference field="4294967294" count="1" selected="0">
            <x v="0"/>
          </reference>
          <reference field="3" count="1" selected="0">
            <x v="28"/>
          </reference>
        </references>
      </pivotArea>
    </chartFormat>
    <chartFormat chart="16" format="103" series="1">
      <pivotArea type="data" outline="0" fieldPosition="0">
        <references count="2">
          <reference field="4294967294" count="1" selected="0">
            <x v="0"/>
          </reference>
          <reference field="3" count="1" selected="0">
            <x v="29"/>
          </reference>
        </references>
      </pivotArea>
    </chartFormat>
    <chartFormat chart="16" format="104" series="1">
      <pivotArea type="data" outline="0" fieldPosition="0">
        <references count="2">
          <reference field="4294967294" count="1" selected="0">
            <x v="0"/>
          </reference>
          <reference field="3" count="1" selected="0">
            <x v="30"/>
          </reference>
        </references>
      </pivotArea>
    </chartFormat>
    <chartFormat chart="16" format="105" series="1">
      <pivotArea type="data" outline="0" fieldPosition="0">
        <references count="2">
          <reference field="4294967294" count="1" selected="0">
            <x v="0"/>
          </reference>
          <reference field="3" count="1" selected="0">
            <x v="31"/>
          </reference>
        </references>
      </pivotArea>
    </chartFormat>
    <chartFormat chart="16" format="106" series="1">
      <pivotArea type="data" outline="0" fieldPosition="0">
        <references count="2">
          <reference field="4294967294" count="1" selected="0">
            <x v="0"/>
          </reference>
          <reference field="3" count="1" selected="0">
            <x v="32"/>
          </reference>
        </references>
      </pivotArea>
    </chartFormat>
    <chartFormat chart="16" format="107" series="1">
      <pivotArea type="data" outline="0" fieldPosition="0">
        <references count="2">
          <reference field="4294967294" count="1" selected="0">
            <x v="0"/>
          </reference>
          <reference field="3" count="1" selected="0">
            <x v="33"/>
          </reference>
        </references>
      </pivotArea>
    </chartFormat>
    <chartFormat chart="16" format="108" series="1">
      <pivotArea type="data" outline="0" fieldPosition="0">
        <references count="2">
          <reference field="4294967294" count="1" selected="0">
            <x v="0"/>
          </reference>
          <reference field="3" count="1" selected="0">
            <x v="34"/>
          </reference>
        </references>
      </pivotArea>
    </chartFormat>
    <chartFormat chart="16" format="109" series="1">
      <pivotArea type="data" outline="0" fieldPosition="0">
        <references count="2">
          <reference field="4294967294" count="1" selected="0">
            <x v="0"/>
          </reference>
          <reference field="3" count="1" selected="0">
            <x v="35"/>
          </reference>
        </references>
      </pivotArea>
    </chartFormat>
    <chartFormat chart="19" format="77" series="1">
      <pivotArea type="data" outline="0" fieldPosition="0">
        <references count="2">
          <reference field="4294967294" count="1" selected="0">
            <x v="0"/>
          </reference>
          <reference field="3" count="1" selected="0">
            <x v="1"/>
          </reference>
        </references>
      </pivotArea>
    </chartFormat>
    <chartFormat chart="19" format="78" series="1">
      <pivotArea type="data" outline="0" fieldPosition="0">
        <references count="2">
          <reference field="4294967294" count="1" selected="0">
            <x v="0"/>
          </reference>
          <reference field="3" count="1" selected="0">
            <x v="2"/>
          </reference>
        </references>
      </pivotArea>
    </chartFormat>
    <chartFormat chart="19" format="79" series="1">
      <pivotArea type="data" outline="0" fieldPosition="0">
        <references count="2">
          <reference field="4294967294" count="1" selected="0">
            <x v="0"/>
          </reference>
          <reference field="3" count="1" selected="0">
            <x v="3"/>
          </reference>
        </references>
      </pivotArea>
    </chartFormat>
    <chartFormat chart="19" format="80" series="1">
      <pivotArea type="data" outline="0" fieldPosition="0">
        <references count="2">
          <reference field="4294967294" count="1" selected="0">
            <x v="0"/>
          </reference>
          <reference field="3" count="1" selected="0">
            <x v="4"/>
          </reference>
        </references>
      </pivotArea>
    </chartFormat>
    <chartFormat chart="19" format="81" series="1">
      <pivotArea type="data" outline="0" fieldPosition="0">
        <references count="2">
          <reference field="4294967294" count="1" selected="0">
            <x v="0"/>
          </reference>
          <reference field="3" count="1" selected="0">
            <x v="5"/>
          </reference>
        </references>
      </pivotArea>
    </chartFormat>
    <chartFormat chart="19" format="82" series="1">
      <pivotArea type="data" outline="0" fieldPosition="0">
        <references count="2">
          <reference field="4294967294" count="1" selected="0">
            <x v="0"/>
          </reference>
          <reference field="3" count="1" selected="0">
            <x v="6"/>
          </reference>
        </references>
      </pivotArea>
    </chartFormat>
    <chartFormat chart="19" format="83" series="1">
      <pivotArea type="data" outline="0" fieldPosition="0">
        <references count="2">
          <reference field="4294967294" count="1" selected="0">
            <x v="0"/>
          </reference>
          <reference field="3" count="1" selected="0">
            <x v="7"/>
          </reference>
        </references>
      </pivotArea>
    </chartFormat>
    <chartFormat chart="19" format="84" series="1">
      <pivotArea type="data" outline="0" fieldPosition="0">
        <references count="2">
          <reference field="4294967294" count="1" selected="0">
            <x v="0"/>
          </reference>
          <reference field="3" count="1" selected="0">
            <x v="8"/>
          </reference>
        </references>
      </pivotArea>
    </chartFormat>
    <chartFormat chart="19" format="85" series="1">
      <pivotArea type="data" outline="0" fieldPosition="0">
        <references count="2">
          <reference field="4294967294" count="1" selected="0">
            <x v="0"/>
          </reference>
          <reference field="3" count="1" selected="0">
            <x v="9"/>
          </reference>
        </references>
      </pivotArea>
    </chartFormat>
    <chartFormat chart="19" format="86" series="1">
      <pivotArea type="data" outline="0" fieldPosition="0">
        <references count="2">
          <reference field="4294967294" count="1" selected="0">
            <x v="0"/>
          </reference>
          <reference field="3" count="1" selected="0">
            <x v="10"/>
          </reference>
        </references>
      </pivotArea>
    </chartFormat>
    <chartFormat chart="19" format="87" series="1">
      <pivotArea type="data" outline="0" fieldPosition="0">
        <references count="2">
          <reference field="4294967294" count="1" selected="0">
            <x v="0"/>
          </reference>
          <reference field="3" count="1" selected="0">
            <x v="11"/>
          </reference>
        </references>
      </pivotArea>
    </chartFormat>
    <chartFormat chart="19" format="88" series="1">
      <pivotArea type="data" outline="0" fieldPosition="0">
        <references count="2">
          <reference field="4294967294" count="1" selected="0">
            <x v="0"/>
          </reference>
          <reference field="3" count="1" selected="0">
            <x v="12"/>
          </reference>
        </references>
      </pivotArea>
    </chartFormat>
    <chartFormat chart="19" format="89" series="1">
      <pivotArea type="data" outline="0" fieldPosition="0">
        <references count="2">
          <reference field="4294967294" count="1" selected="0">
            <x v="0"/>
          </reference>
          <reference field="3" count="1" selected="0">
            <x v="13"/>
          </reference>
        </references>
      </pivotArea>
    </chartFormat>
    <chartFormat chart="19" format="90" series="1">
      <pivotArea type="data" outline="0" fieldPosition="0">
        <references count="2">
          <reference field="4294967294" count="1" selected="0">
            <x v="0"/>
          </reference>
          <reference field="3" count="1" selected="0">
            <x v="14"/>
          </reference>
        </references>
      </pivotArea>
    </chartFormat>
    <chartFormat chart="19" format="91" series="1">
      <pivotArea type="data" outline="0" fieldPosition="0">
        <references count="2">
          <reference field="4294967294" count="1" selected="0">
            <x v="0"/>
          </reference>
          <reference field="3" count="1" selected="0">
            <x v="15"/>
          </reference>
        </references>
      </pivotArea>
    </chartFormat>
    <chartFormat chart="19" format="92" series="1">
      <pivotArea type="data" outline="0" fieldPosition="0">
        <references count="2">
          <reference field="4294967294" count="1" selected="0">
            <x v="0"/>
          </reference>
          <reference field="3" count="1" selected="0">
            <x v="16"/>
          </reference>
        </references>
      </pivotArea>
    </chartFormat>
    <chartFormat chart="19" format="93" series="1">
      <pivotArea type="data" outline="0" fieldPosition="0">
        <references count="2">
          <reference field="4294967294" count="1" selected="0">
            <x v="0"/>
          </reference>
          <reference field="3" count="1" selected="0">
            <x v="17"/>
          </reference>
        </references>
      </pivotArea>
    </chartFormat>
    <chartFormat chart="19" format="94" series="1">
      <pivotArea type="data" outline="0" fieldPosition="0">
        <references count="2">
          <reference field="4294967294" count="1" selected="0">
            <x v="0"/>
          </reference>
          <reference field="3" count="1" selected="0">
            <x v="18"/>
          </reference>
        </references>
      </pivotArea>
    </chartFormat>
    <chartFormat chart="19" format="95" series="1">
      <pivotArea type="data" outline="0" fieldPosition="0">
        <references count="2">
          <reference field="4294967294" count="1" selected="0">
            <x v="0"/>
          </reference>
          <reference field="3" count="1" selected="0">
            <x v="19"/>
          </reference>
        </references>
      </pivotArea>
    </chartFormat>
    <chartFormat chart="19" format="96" series="1">
      <pivotArea type="data" outline="0" fieldPosition="0">
        <references count="2">
          <reference field="4294967294" count="1" selected="0">
            <x v="0"/>
          </reference>
          <reference field="3" count="1" selected="0">
            <x v="20"/>
          </reference>
        </references>
      </pivotArea>
    </chartFormat>
    <chartFormat chart="19" format="97" series="1">
      <pivotArea type="data" outline="0" fieldPosition="0">
        <references count="2">
          <reference field="4294967294" count="1" selected="0">
            <x v="0"/>
          </reference>
          <reference field="3" count="1" selected="0">
            <x v="21"/>
          </reference>
        </references>
      </pivotArea>
    </chartFormat>
    <chartFormat chart="19" format="98" series="1">
      <pivotArea type="data" outline="0" fieldPosition="0">
        <references count="2">
          <reference field="4294967294" count="1" selected="0">
            <x v="0"/>
          </reference>
          <reference field="3" count="1" selected="0">
            <x v="22"/>
          </reference>
        </references>
      </pivotArea>
    </chartFormat>
    <chartFormat chart="19" format="99" series="1">
      <pivotArea type="data" outline="0" fieldPosition="0">
        <references count="2">
          <reference field="4294967294" count="1" selected="0">
            <x v="0"/>
          </reference>
          <reference field="3" count="1" selected="0">
            <x v="23"/>
          </reference>
        </references>
      </pivotArea>
    </chartFormat>
    <chartFormat chart="19" format="100" series="1">
      <pivotArea type="data" outline="0" fieldPosition="0">
        <references count="2">
          <reference field="4294967294" count="1" selected="0">
            <x v="0"/>
          </reference>
          <reference field="3" count="1" selected="0">
            <x v="24"/>
          </reference>
        </references>
      </pivotArea>
    </chartFormat>
    <chartFormat chart="19" format="101" series="1">
      <pivotArea type="data" outline="0" fieldPosition="0">
        <references count="2">
          <reference field="4294967294" count="1" selected="0">
            <x v="0"/>
          </reference>
          <reference field="3" count="1" selected="0">
            <x v="25"/>
          </reference>
        </references>
      </pivotArea>
    </chartFormat>
    <chartFormat chart="19" format="102" series="1">
      <pivotArea type="data" outline="0" fieldPosition="0">
        <references count="2">
          <reference field="4294967294" count="1" selected="0">
            <x v="0"/>
          </reference>
          <reference field="3" count="1" selected="0">
            <x v="26"/>
          </reference>
        </references>
      </pivotArea>
    </chartFormat>
    <chartFormat chart="19" format="103" series="1">
      <pivotArea type="data" outline="0" fieldPosition="0">
        <references count="2">
          <reference field="4294967294" count="1" selected="0">
            <x v="0"/>
          </reference>
          <reference field="3" count="1" selected="0">
            <x v="27"/>
          </reference>
        </references>
      </pivotArea>
    </chartFormat>
    <chartFormat chart="19" format="104" series="1">
      <pivotArea type="data" outline="0" fieldPosition="0">
        <references count="2">
          <reference field="4294967294" count="1" selected="0">
            <x v="0"/>
          </reference>
          <reference field="3" count="1" selected="0">
            <x v="28"/>
          </reference>
        </references>
      </pivotArea>
    </chartFormat>
    <chartFormat chart="19" format="105" series="1">
      <pivotArea type="data" outline="0" fieldPosition="0">
        <references count="2">
          <reference field="4294967294" count="1" selected="0">
            <x v="0"/>
          </reference>
          <reference field="3" count="1" selected="0">
            <x v="29"/>
          </reference>
        </references>
      </pivotArea>
    </chartFormat>
    <chartFormat chart="19" format="106" series="1">
      <pivotArea type="data" outline="0" fieldPosition="0">
        <references count="2">
          <reference field="4294967294" count="1" selected="0">
            <x v="0"/>
          </reference>
          <reference field="3" count="1" selected="0">
            <x v="30"/>
          </reference>
        </references>
      </pivotArea>
    </chartFormat>
    <chartFormat chart="19" format="107" series="1">
      <pivotArea type="data" outline="0" fieldPosition="0">
        <references count="2">
          <reference field="4294967294" count="1" selected="0">
            <x v="0"/>
          </reference>
          <reference field="3" count="1" selected="0">
            <x v="31"/>
          </reference>
        </references>
      </pivotArea>
    </chartFormat>
    <chartFormat chart="19" format="108" series="1">
      <pivotArea type="data" outline="0" fieldPosition="0">
        <references count="2">
          <reference field="4294967294" count="1" selected="0">
            <x v="0"/>
          </reference>
          <reference field="3" count="1" selected="0">
            <x v="32"/>
          </reference>
        </references>
      </pivotArea>
    </chartFormat>
    <chartFormat chart="19" format="109" series="1">
      <pivotArea type="data" outline="0" fieldPosition="0">
        <references count="2">
          <reference field="4294967294" count="1" selected="0">
            <x v="0"/>
          </reference>
          <reference field="3" count="1" selected="0">
            <x v="33"/>
          </reference>
        </references>
      </pivotArea>
    </chartFormat>
    <chartFormat chart="19" format="110" series="1">
      <pivotArea type="data" outline="0" fieldPosition="0">
        <references count="2">
          <reference field="4294967294" count="1" selected="0">
            <x v="0"/>
          </reference>
          <reference field="3" count="1" selected="0">
            <x v="34"/>
          </reference>
        </references>
      </pivotArea>
    </chartFormat>
    <chartFormat chart="19" format="111" series="1">
      <pivotArea type="data" outline="0" fieldPosition="0">
        <references count="2">
          <reference field="4294967294" count="1" selected="0">
            <x v="0"/>
          </reference>
          <reference field="3" count="1" selected="0">
            <x v="3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BA42F2-0FDF-4836-BF2C-0358841379CB}" name="PivotTable7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6:AL82" firstHeaderRow="1" firstDataRow="2" firstDataCol="1"/>
  <pivotFields count="10">
    <pivotField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items count="38">
        <item x="0"/>
        <item x="35"/>
        <item x="34"/>
        <item x="11"/>
        <item x="27"/>
        <item x="33"/>
        <item x="31"/>
        <item x="19"/>
        <item x="13"/>
        <item x="20"/>
        <item x="1"/>
        <item x="32"/>
        <item x="21"/>
        <item x="22"/>
        <item x="26"/>
        <item x="14"/>
        <item x="7"/>
        <item x="29"/>
        <item x="15"/>
        <item x="18"/>
        <item x="25"/>
        <item x="12"/>
        <item x="2"/>
        <item x="10"/>
        <item x="16"/>
        <item x="4"/>
        <item x="6"/>
        <item x="23"/>
        <item x="28"/>
        <item x="30"/>
        <item x="24"/>
        <item x="9"/>
        <item x="5"/>
        <item x="3"/>
        <item x="17"/>
        <item x="8"/>
        <item x="36"/>
        <item t="default"/>
      </items>
    </pivotField>
    <pivotField showAll="0">
      <items count="38">
        <item x="0"/>
        <item x="35"/>
        <item x="34"/>
        <item x="11"/>
        <item x="27"/>
        <item x="33"/>
        <item x="31"/>
        <item x="19"/>
        <item x="13"/>
        <item x="1"/>
        <item x="20"/>
        <item x="32"/>
        <item x="26"/>
        <item x="7"/>
        <item x="21"/>
        <item x="14"/>
        <item x="22"/>
        <item x="29"/>
        <item x="18"/>
        <item x="15"/>
        <item x="25"/>
        <item x="2"/>
        <item x="12"/>
        <item x="10"/>
        <item x="16"/>
        <item x="4"/>
        <item x="6"/>
        <item x="28"/>
        <item x="23"/>
        <item x="24"/>
        <item x="30"/>
        <item x="5"/>
        <item x="9"/>
        <item x="3"/>
        <item x="17"/>
        <item x="8"/>
        <item x="36"/>
        <item t="default"/>
      </items>
    </pivotField>
    <pivotField showAll="0">
      <items count="38">
        <item x="0"/>
        <item x="35"/>
        <item x="34"/>
        <item x="11"/>
        <item x="27"/>
        <item x="33"/>
        <item x="31"/>
        <item x="13"/>
        <item x="19"/>
        <item x="20"/>
        <item x="1"/>
        <item x="32"/>
        <item x="14"/>
        <item x="26"/>
        <item x="21"/>
        <item x="22"/>
        <item x="18"/>
        <item x="15"/>
        <item x="12"/>
        <item x="29"/>
        <item x="7"/>
        <item x="25"/>
        <item x="16"/>
        <item x="10"/>
        <item x="2"/>
        <item x="23"/>
        <item x="24"/>
        <item x="4"/>
        <item x="28"/>
        <item x="30"/>
        <item x="6"/>
        <item x="17"/>
        <item x="5"/>
        <item x="9"/>
        <item x="3"/>
        <item x="8"/>
        <item x="36"/>
        <item t="default"/>
      </items>
    </pivotField>
    <pivotField axis="axisCol" dataField="1" showAll="0">
      <items count="38">
        <item x="9"/>
        <item x="8"/>
        <item x="2"/>
        <item x="6"/>
        <item x="0"/>
        <item x="5"/>
        <item x="3"/>
        <item x="1"/>
        <item x="7"/>
        <item x="4"/>
        <item x="30"/>
        <item x="10"/>
        <item x="21"/>
        <item x="28"/>
        <item x="32"/>
        <item x="23"/>
        <item x="29"/>
        <item x="22"/>
        <item x="25"/>
        <item x="20"/>
        <item x="24"/>
        <item x="31"/>
        <item x="33"/>
        <item x="26"/>
        <item x="17"/>
        <item x="14"/>
        <item x="11"/>
        <item x="19"/>
        <item x="15"/>
        <item x="16"/>
        <item x="18"/>
        <item x="12"/>
        <item x="27"/>
        <item x="13"/>
        <item x="34"/>
        <item x="35"/>
        <item x="36"/>
        <item t="default"/>
      </items>
    </pivotField>
    <pivotField showAll="0">
      <items count="38">
        <item x="23"/>
        <item x="17"/>
        <item x="9"/>
        <item x="8"/>
        <item x="28"/>
        <item x="30"/>
        <item x="21"/>
        <item x="22"/>
        <item x="24"/>
        <item x="15"/>
        <item x="16"/>
        <item x="5"/>
        <item x="12"/>
        <item x="20"/>
        <item x="25"/>
        <item x="14"/>
        <item x="6"/>
        <item x="18"/>
        <item x="29"/>
        <item x="13"/>
        <item x="19"/>
        <item x="32"/>
        <item x="3"/>
        <item x="2"/>
        <item x="10"/>
        <item x="7"/>
        <item x="4"/>
        <item x="0"/>
        <item x="26"/>
        <item x="1"/>
        <item x="27"/>
        <item x="33"/>
        <item x="31"/>
        <item x="11"/>
        <item x="35"/>
        <item x="34"/>
        <item x="36"/>
        <item t="default"/>
      </items>
    </pivotField>
    <pivotField showAll="0"/>
    <pivotField showAll="0">
      <items count="15">
        <item h="1" sd="0" x="0"/>
        <item sd="0" x="1"/>
        <item sd="0" x="2"/>
        <item sd="0" x="3"/>
        <item sd="0" x="4"/>
        <item sd="0" x="5"/>
        <item sd="0" x="6"/>
        <item sd="0" x="7"/>
        <item sd="0" x="8"/>
        <item sd="0" x="9"/>
        <item sd="0" x="10"/>
        <item sd="0" x="11"/>
        <item sd="0" x="12"/>
        <item sd="0" x="13"/>
        <item t="default"/>
      </items>
    </pivotField>
    <pivotField axis="axisRow" showAll="0">
      <items count="7">
        <item h="1" sd="0" x="0"/>
        <item sd="0" x="1"/>
        <item sd="0" x="2"/>
        <item sd="0" x="3"/>
        <item sd="0" x="4"/>
        <item sd="0" x="5"/>
        <item t="default"/>
      </items>
    </pivotField>
    <pivotField showAll="0">
      <items count="7">
        <item sd="0" x="0"/>
        <item sd="0" x="1"/>
        <item sd="0" x="2"/>
        <item sd="0" x="3"/>
        <item sd="0" x="4"/>
        <item sd="0" x="5"/>
        <item t="default"/>
      </items>
    </pivotField>
  </pivotFields>
  <rowFields count="1">
    <field x="8"/>
  </rowFields>
  <rowItems count="5">
    <i>
      <x v="1"/>
    </i>
    <i>
      <x v="2"/>
    </i>
    <i>
      <x v="3"/>
    </i>
    <i>
      <x v="4"/>
    </i>
    <i t="grand">
      <x/>
    </i>
  </rowItems>
  <colFields count="1">
    <field x="4"/>
  </colFields>
  <col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colItems>
  <dataFields count="1">
    <dataField name="Sum of Average Unit Price" fld="4" baseField="0" baseItem="0"/>
  </dataFields>
  <chartFormats count="37">
    <chartFormat chart="5" format="0" series="1">
      <pivotArea type="data" outline="0" fieldPosition="0">
        <references count="2">
          <reference field="4294967294" count="1" selected="0">
            <x v="0"/>
          </reference>
          <reference field="4" count="1" selected="0">
            <x v="0"/>
          </reference>
        </references>
      </pivotArea>
    </chartFormat>
    <chartFormat chart="5" format="1" series="1">
      <pivotArea type="data" outline="0" fieldPosition="0">
        <references count="2">
          <reference field="4294967294" count="1" selected="0">
            <x v="0"/>
          </reference>
          <reference field="4" count="1" selected="0">
            <x v="1"/>
          </reference>
        </references>
      </pivotArea>
    </chartFormat>
    <chartFormat chart="5" format="2" series="1">
      <pivotArea type="data" outline="0" fieldPosition="0">
        <references count="2">
          <reference field="4294967294" count="1" selected="0">
            <x v="0"/>
          </reference>
          <reference field="4" count="1" selected="0">
            <x v="2"/>
          </reference>
        </references>
      </pivotArea>
    </chartFormat>
    <chartFormat chart="5" format="3" series="1">
      <pivotArea type="data" outline="0" fieldPosition="0">
        <references count="2">
          <reference field="4294967294" count="1" selected="0">
            <x v="0"/>
          </reference>
          <reference field="4" count="1" selected="0">
            <x v="3"/>
          </reference>
        </references>
      </pivotArea>
    </chartFormat>
    <chartFormat chart="5" format="4" series="1">
      <pivotArea type="data" outline="0" fieldPosition="0">
        <references count="2">
          <reference field="4294967294" count="1" selected="0">
            <x v="0"/>
          </reference>
          <reference field="4" count="1" selected="0">
            <x v="4"/>
          </reference>
        </references>
      </pivotArea>
    </chartFormat>
    <chartFormat chart="5" format="5" series="1">
      <pivotArea type="data" outline="0" fieldPosition="0">
        <references count="2">
          <reference field="4294967294" count="1" selected="0">
            <x v="0"/>
          </reference>
          <reference field="4" count="1" selected="0">
            <x v="5"/>
          </reference>
        </references>
      </pivotArea>
    </chartFormat>
    <chartFormat chart="5" format="6" series="1">
      <pivotArea type="data" outline="0" fieldPosition="0">
        <references count="2">
          <reference field="4294967294" count="1" selected="0">
            <x v="0"/>
          </reference>
          <reference field="4" count="1" selected="0">
            <x v="6"/>
          </reference>
        </references>
      </pivotArea>
    </chartFormat>
    <chartFormat chart="5" format="7" series="1">
      <pivotArea type="data" outline="0" fieldPosition="0">
        <references count="2">
          <reference field="4294967294" count="1" selected="0">
            <x v="0"/>
          </reference>
          <reference field="4" count="1" selected="0">
            <x v="7"/>
          </reference>
        </references>
      </pivotArea>
    </chartFormat>
    <chartFormat chart="5" format="8" series="1">
      <pivotArea type="data" outline="0" fieldPosition="0">
        <references count="2">
          <reference field="4294967294" count="1" selected="0">
            <x v="0"/>
          </reference>
          <reference field="4" count="1" selected="0">
            <x v="8"/>
          </reference>
        </references>
      </pivotArea>
    </chartFormat>
    <chartFormat chart="5" format="9" series="1">
      <pivotArea type="data" outline="0" fieldPosition="0">
        <references count="2">
          <reference field="4294967294" count="1" selected="0">
            <x v="0"/>
          </reference>
          <reference field="4" count="1" selected="0">
            <x v="9"/>
          </reference>
        </references>
      </pivotArea>
    </chartFormat>
    <chartFormat chart="5" format="10" series="1">
      <pivotArea type="data" outline="0" fieldPosition="0">
        <references count="2">
          <reference field="4294967294" count="1" selected="0">
            <x v="0"/>
          </reference>
          <reference field="4" count="1" selected="0">
            <x v="10"/>
          </reference>
        </references>
      </pivotArea>
    </chartFormat>
    <chartFormat chart="5" format="11" series="1">
      <pivotArea type="data" outline="0" fieldPosition="0">
        <references count="2">
          <reference field="4294967294" count="1" selected="0">
            <x v="0"/>
          </reference>
          <reference field="4" count="1" selected="0">
            <x v="11"/>
          </reference>
        </references>
      </pivotArea>
    </chartFormat>
    <chartFormat chart="5" format="12" series="1">
      <pivotArea type="data" outline="0" fieldPosition="0">
        <references count="2">
          <reference field="4294967294" count="1" selected="0">
            <x v="0"/>
          </reference>
          <reference field="4" count="1" selected="0">
            <x v="12"/>
          </reference>
        </references>
      </pivotArea>
    </chartFormat>
    <chartFormat chart="5" format="13" series="1">
      <pivotArea type="data" outline="0" fieldPosition="0">
        <references count="2">
          <reference field="4294967294" count="1" selected="0">
            <x v="0"/>
          </reference>
          <reference field="4" count="1" selected="0">
            <x v="13"/>
          </reference>
        </references>
      </pivotArea>
    </chartFormat>
    <chartFormat chart="5" format="14" series="1">
      <pivotArea type="data" outline="0" fieldPosition="0">
        <references count="2">
          <reference field="4294967294" count="1" selected="0">
            <x v="0"/>
          </reference>
          <reference field="4" count="1" selected="0">
            <x v="14"/>
          </reference>
        </references>
      </pivotArea>
    </chartFormat>
    <chartFormat chart="5" format="15" series="1">
      <pivotArea type="data" outline="0" fieldPosition="0">
        <references count="2">
          <reference field="4294967294" count="1" selected="0">
            <x v="0"/>
          </reference>
          <reference field="4" count="1" selected="0">
            <x v="15"/>
          </reference>
        </references>
      </pivotArea>
    </chartFormat>
    <chartFormat chart="5" format="16" series="1">
      <pivotArea type="data" outline="0" fieldPosition="0">
        <references count="2">
          <reference field="4294967294" count="1" selected="0">
            <x v="0"/>
          </reference>
          <reference field="4" count="1" selected="0">
            <x v="16"/>
          </reference>
        </references>
      </pivotArea>
    </chartFormat>
    <chartFormat chart="5" format="17" series="1">
      <pivotArea type="data" outline="0" fieldPosition="0">
        <references count="2">
          <reference field="4294967294" count="1" selected="0">
            <x v="0"/>
          </reference>
          <reference field="4" count="1" selected="0">
            <x v="17"/>
          </reference>
        </references>
      </pivotArea>
    </chartFormat>
    <chartFormat chart="5" format="18" series="1">
      <pivotArea type="data" outline="0" fieldPosition="0">
        <references count="2">
          <reference field="4294967294" count="1" selected="0">
            <x v="0"/>
          </reference>
          <reference field="4" count="1" selected="0">
            <x v="18"/>
          </reference>
        </references>
      </pivotArea>
    </chartFormat>
    <chartFormat chart="5" format="19" series="1">
      <pivotArea type="data" outline="0" fieldPosition="0">
        <references count="2">
          <reference field="4294967294" count="1" selected="0">
            <x v="0"/>
          </reference>
          <reference field="4" count="1" selected="0">
            <x v="19"/>
          </reference>
        </references>
      </pivotArea>
    </chartFormat>
    <chartFormat chart="5" format="20" series="1">
      <pivotArea type="data" outline="0" fieldPosition="0">
        <references count="2">
          <reference field="4294967294" count="1" selected="0">
            <x v="0"/>
          </reference>
          <reference field="4" count="1" selected="0">
            <x v="20"/>
          </reference>
        </references>
      </pivotArea>
    </chartFormat>
    <chartFormat chart="5" format="21" series="1">
      <pivotArea type="data" outline="0" fieldPosition="0">
        <references count="2">
          <reference field="4294967294" count="1" selected="0">
            <x v="0"/>
          </reference>
          <reference field="4" count="1" selected="0">
            <x v="21"/>
          </reference>
        </references>
      </pivotArea>
    </chartFormat>
    <chartFormat chart="5" format="22" series="1">
      <pivotArea type="data" outline="0" fieldPosition="0">
        <references count="2">
          <reference field="4294967294" count="1" selected="0">
            <x v="0"/>
          </reference>
          <reference field="4" count="1" selected="0">
            <x v="22"/>
          </reference>
        </references>
      </pivotArea>
    </chartFormat>
    <chartFormat chart="5" format="23" series="1">
      <pivotArea type="data" outline="0" fieldPosition="0">
        <references count="2">
          <reference field="4294967294" count="1" selected="0">
            <x v="0"/>
          </reference>
          <reference field="4" count="1" selected="0">
            <x v="23"/>
          </reference>
        </references>
      </pivotArea>
    </chartFormat>
    <chartFormat chart="5" format="24" series="1">
      <pivotArea type="data" outline="0" fieldPosition="0">
        <references count="2">
          <reference field="4294967294" count="1" selected="0">
            <x v="0"/>
          </reference>
          <reference field="4" count="1" selected="0">
            <x v="24"/>
          </reference>
        </references>
      </pivotArea>
    </chartFormat>
    <chartFormat chart="5" format="25" series="1">
      <pivotArea type="data" outline="0" fieldPosition="0">
        <references count="2">
          <reference field="4294967294" count="1" selected="0">
            <x v="0"/>
          </reference>
          <reference field="4" count="1" selected="0">
            <x v="25"/>
          </reference>
        </references>
      </pivotArea>
    </chartFormat>
    <chartFormat chart="5" format="26" series="1">
      <pivotArea type="data" outline="0" fieldPosition="0">
        <references count="2">
          <reference field="4294967294" count="1" selected="0">
            <x v="0"/>
          </reference>
          <reference field="4" count="1" selected="0">
            <x v="26"/>
          </reference>
        </references>
      </pivotArea>
    </chartFormat>
    <chartFormat chart="5" format="27" series="1">
      <pivotArea type="data" outline="0" fieldPosition="0">
        <references count="2">
          <reference field="4294967294" count="1" selected="0">
            <x v="0"/>
          </reference>
          <reference field="4" count="1" selected="0">
            <x v="27"/>
          </reference>
        </references>
      </pivotArea>
    </chartFormat>
    <chartFormat chart="5" format="28" series="1">
      <pivotArea type="data" outline="0" fieldPosition="0">
        <references count="2">
          <reference field="4294967294" count="1" selected="0">
            <x v="0"/>
          </reference>
          <reference field="4" count="1" selected="0">
            <x v="28"/>
          </reference>
        </references>
      </pivotArea>
    </chartFormat>
    <chartFormat chart="5" format="29" series="1">
      <pivotArea type="data" outline="0" fieldPosition="0">
        <references count="2">
          <reference field="4294967294" count="1" selected="0">
            <x v="0"/>
          </reference>
          <reference field="4" count="1" selected="0">
            <x v="29"/>
          </reference>
        </references>
      </pivotArea>
    </chartFormat>
    <chartFormat chart="5" format="30" series="1">
      <pivotArea type="data" outline="0" fieldPosition="0">
        <references count="2">
          <reference field="4294967294" count="1" selected="0">
            <x v="0"/>
          </reference>
          <reference field="4" count="1" selected="0">
            <x v="30"/>
          </reference>
        </references>
      </pivotArea>
    </chartFormat>
    <chartFormat chart="5" format="31" series="1">
      <pivotArea type="data" outline="0" fieldPosition="0">
        <references count="2">
          <reference field="4294967294" count="1" selected="0">
            <x v="0"/>
          </reference>
          <reference field="4" count="1" selected="0">
            <x v="31"/>
          </reference>
        </references>
      </pivotArea>
    </chartFormat>
    <chartFormat chart="5" format="32" series="1">
      <pivotArea type="data" outline="0" fieldPosition="0">
        <references count="2">
          <reference field="4294967294" count="1" selected="0">
            <x v="0"/>
          </reference>
          <reference field="4" count="1" selected="0">
            <x v="32"/>
          </reference>
        </references>
      </pivotArea>
    </chartFormat>
    <chartFormat chart="5" format="33" series="1">
      <pivotArea type="data" outline="0" fieldPosition="0">
        <references count="2">
          <reference field="4294967294" count="1" selected="0">
            <x v="0"/>
          </reference>
          <reference field="4" count="1" selected="0">
            <x v="33"/>
          </reference>
        </references>
      </pivotArea>
    </chartFormat>
    <chartFormat chart="5" format="34" series="1">
      <pivotArea type="data" outline="0" fieldPosition="0">
        <references count="2">
          <reference field="4294967294" count="1" selected="0">
            <x v="0"/>
          </reference>
          <reference field="4" count="1" selected="0">
            <x v="34"/>
          </reference>
        </references>
      </pivotArea>
    </chartFormat>
    <chartFormat chart="5" format="35" series="1">
      <pivotArea type="data" outline="0" fieldPosition="0">
        <references count="2">
          <reference field="4294967294" count="1" selected="0">
            <x v="0"/>
          </reference>
          <reference field="4" count="1" selected="0">
            <x v="35"/>
          </reference>
        </references>
      </pivotArea>
    </chartFormat>
    <chartFormat chart="5" format="3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A970C7-7A31-4E15-901B-3CE35D0E856F}" name="PivotTable6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10">
    <pivotField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dataField="1" showAll="0">
      <items count="38">
        <item x="0"/>
        <item x="35"/>
        <item x="34"/>
        <item x="11"/>
        <item x="27"/>
        <item x="33"/>
        <item x="31"/>
        <item x="19"/>
        <item x="13"/>
        <item x="20"/>
        <item x="1"/>
        <item x="32"/>
        <item x="21"/>
        <item x="22"/>
        <item x="26"/>
        <item x="14"/>
        <item x="7"/>
        <item x="29"/>
        <item x="15"/>
        <item x="18"/>
        <item x="25"/>
        <item x="12"/>
        <item x="2"/>
        <item x="10"/>
        <item x="16"/>
        <item x="4"/>
        <item x="6"/>
        <item x="23"/>
        <item x="28"/>
        <item x="30"/>
        <item x="24"/>
        <item x="9"/>
        <item x="5"/>
        <item x="3"/>
        <item x="17"/>
        <item x="8"/>
        <item x="36"/>
        <item t="default"/>
      </items>
    </pivotField>
    <pivotField showAll="0">
      <items count="38">
        <item x="0"/>
        <item x="35"/>
        <item x="34"/>
        <item x="11"/>
        <item x="27"/>
        <item x="33"/>
        <item x="31"/>
        <item x="19"/>
        <item x="13"/>
        <item x="1"/>
        <item x="20"/>
        <item x="32"/>
        <item x="26"/>
        <item x="7"/>
        <item x="21"/>
        <item x="14"/>
        <item x="22"/>
        <item x="29"/>
        <item x="18"/>
        <item x="15"/>
        <item x="25"/>
        <item x="2"/>
        <item x="12"/>
        <item x="10"/>
        <item x="16"/>
        <item x="4"/>
        <item x="6"/>
        <item x="28"/>
        <item x="23"/>
        <item x="24"/>
        <item x="30"/>
        <item x="5"/>
        <item x="9"/>
        <item x="3"/>
        <item x="17"/>
        <item x="8"/>
        <item x="36"/>
        <item t="default"/>
      </items>
    </pivotField>
    <pivotField showAll="0">
      <items count="38">
        <item x="0"/>
        <item x="35"/>
        <item x="34"/>
        <item x="11"/>
        <item x="27"/>
        <item x="33"/>
        <item x="31"/>
        <item x="13"/>
        <item x="19"/>
        <item x="20"/>
        <item x="1"/>
        <item x="32"/>
        <item x="14"/>
        <item x="26"/>
        <item x="21"/>
        <item x="22"/>
        <item x="18"/>
        <item x="15"/>
        <item x="12"/>
        <item x="29"/>
        <item x="7"/>
        <item x="25"/>
        <item x="16"/>
        <item x="10"/>
        <item x="2"/>
        <item x="23"/>
        <item x="24"/>
        <item x="4"/>
        <item x="28"/>
        <item x="30"/>
        <item x="6"/>
        <item x="17"/>
        <item x="5"/>
        <item x="9"/>
        <item x="3"/>
        <item x="8"/>
        <item x="36"/>
        <item t="default"/>
      </items>
    </pivotField>
    <pivotField showAll="0">
      <items count="38">
        <item x="9"/>
        <item x="8"/>
        <item x="2"/>
        <item x="6"/>
        <item x="0"/>
        <item x="5"/>
        <item x="3"/>
        <item x="1"/>
        <item x="7"/>
        <item x="4"/>
        <item x="30"/>
        <item x="10"/>
        <item x="21"/>
        <item x="28"/>
        <item x="32"/>
        <item x="23"/>
        <item x="29"/>
        <item x="22"/>
        <item x="25"/>
        <item x="20"/>
        <item x="24"/>
        <item x="31"/>
        <item x="33"/>
        <item x="26"/>
        <item x="17"/>
        <item x="14"/>
        <item x="11"/>
        <item x="19"/>
        <item x="15"/>
        <item x="16"/>
        <item x="18"/>
        <item x="12"/>
        <item x="27"/>
        <item x="13"/>
        <item x="34"/>
        <item x="35"/>
        <item x="36"/>
        <item t="default"/>
      </items>
    </pivotField>
    <pivotField showAll="0">
      <items count="38">
        <item x="23"/>
        <item x="17"/>
        <item x="9"/>
        <item x="8"/>
        <item x="28"/>
        <item x="30"/>
        <item x="21"/>
        <item x="22"/>
        <item x="24"/>
        <item x="15"/>
        <item x="16"/>
        <item x="5"/>
        <item x="12"/>
        <item x="20"/>
        <item x="25"/>
        <item x="14"/>
        <item x="6"/>
        <item x="18"/>
        <item x="29"/>
        <item x="13"/>
        <item x="19"/>
        <item x="32"/>
        <item x="3"/>
        <item x="2"/>
        <item x="10"/>
        <item x="7"/>
        <item x="4"/>
        <item x="0"/>
        <item x="26"/>
        <item x="1"/>
        <item x="27"/>
        <item x="33"/>
        <item x="31"/>
        <item x="11"/>
        <item x="35"/>
        <item x="34"/>
        <item x="36"/>
        <item t="default"/>
      </items>
    </pivotField>
    <pivotField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Total Sales" fld="1" baseField="0" baseItem="0"/>
  </dataFields>
  <chartFormats count="2">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68B157-2682-492B-A858-EB0BF92689F7}" name="PivotTable7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2:A73" firstHeaderRow="1" firstDataRow="1" firstDataCol="0"/>
  <pivotFields count="10">
    <pivotField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items count="38">
        <item x="0"/>
        <item x="35"/>
        <item x="34"/>
        <item x="11"/>
        <item x="27"/>
        <item x="33"/>
        <item x="31"/>
        <item x="19"/>
        <item x="13"/>
        <item x="20"/>
        <item x="1"/>
        <item x="32"/>
        <item x="21"/>
        <item x="22"/>
        <item x="26"/>
        <item x="14"/>
        <item x="7"/>
        <item x="29"/>
        <item x="15"/>
        <item x="18"/>
        <item x="25"/>
        <item x="12"/>
        <item x="2"/>
        <item x="10"/>
        <item x="16"/>
        <item x="4"/>
        <item x="6"/>
        <item x="23"/>
        <item x="28"/>
        <item x="30"/>
        <item x="24"/>
        <item x="9"/>
        <item x="5"/>
        <item x="3"/>
        <item x="17"/>
        <item x="8"/>
        <item x="36"/>
        <item t="default"/>
      </items>
    </pivotField>
    <pivotField showAll="0">
      <items count="38">
        <item x="0"/>
        <item x="35"/>
        <item x="34"/>
        <item x="11"/>
        <item x="27"/>
        <item x="33"/>
        <item x="31"/>
        <item x="19"/>
        <item x="13"/>
        <item x="1"/>
        <item x="20"/>
        <item x="32"/>
        <item x="26"/>
        <item x="7"/>
        <item x="21"/>
        <item x="14"/>
        <item x="22"/>
        <item x="29"/>
        <item x="18"/>
        <item x="15"/>
        <item x="25"/>
        <item x="2"/>
        <item x="12"/>
        <item x="10"/>
        <item x="16"/>
        <item x="4"/>
        <item x="6"/>
        <item x="28"/>
        <item x="23"/>
        <item x="24"/>
        <item x="30"/>
        <item x="5"/>
        <item x="9"/>
        <item x="3"/>
        <item x="17"/>
        <item x="8"/>
        <item x="36"/>
        <item t="default"/>
      </items>
    </pivotField>
    <pivotField showAll="0">
      <items count="38">
        <item x="0"/>
        <item x="35"/>
        <item x="34"/>
        <item x="11"/>
        <item x="27"/>
        <item x="33"/>
        <item x="31"/>
        <item x="13"/>
        <item x="19"/>
        <item x="20"/>
        <item x="1"/>
        <item x="32"/>
        <item x="14"/>
        <item x="26"/>
        <item x="21"/>
        <item x="22"/>
        <item x="18"/>
        <item x="15"/>
        <item x="12"/>
        <item x="29"/>
        <item x="7"/>
        <item x="25"/>
        <item x="16"/>
        <item x="10"/>
        <item x="2"/>
        <item x="23"/>
        <item x="24"/>
        <item x="4"/>
        <item x="28"/>
        <item x="30"/>
        <item x="6"/>
        <item x="17"/>
        <item x="5"/>
        <item x="9"/>
        <item x="3"/>
        <item x="8"/>
        <item x="36"/>
        <item t="default"/>
      </items>
    </pivotField>
    <pivotField dataField="1" showAll="0">
      <items count="38">
        <item x="9"/>
        <item x="8"/>
        <item x="2"/>
        <item x="6"/>
        <item x="0"/>
        <item x="5"/>
        <item x="3"/>
        <item x="1"/>
        <item x="7"/>
        <item x="4"/>
        <item x="30"/>
        <item x="10"/>
        <item x="21"/>
        <item x="28"/>
        <item x="32"/>
        <item x="23"/>
        <item x="29"/>
        <item x="22"/>
        <item x="25"/>
        <item x="20"/>
        <item x="24"/>
        <item x="31"/>
        <item x="33"/>
        <item x="26"/>
        <item x="17"/>
        <item x="14"/>
        <item x="11"/>
        <item x="19"/>
        <item x="15"/>
        <item x="16"/>
        <item x="18"/>
        <item x="12"/>
        <item x="27"/>
        <item x="13"/>
        <item x="34"/>
        <item x="35"/>
        <item x="36"/>
        <item t="default"/>
      </items>
    </pivotField>
    <pivotField showAll="0">
      <items count="38">
        <item x="23"/>
        <item x="17"/>
        <item x="9"/>
        <item x="8"/>
        <item x="28"/>
        <item x="30"/>
        <item x="21"/>
        <item x="22"/>
        <item x="24"/>
        <item x="15"/>
        <item x="16"/>
        <item x="5"/>
        <item x="12"/>
        <item x="20"/>
        <item x="25"/>
        <item x="14"/>
        <item x="6"/>
        <item x="18"/>
        <item x="29"/>
        <item x="13"/>
        <item x="19"/>
        <item x="32"/>
        <item x="3"/>
        <item x="2"/>
        <item x="10"/>
        <item x="7"/>
        <item x="4"/>
        <item x="0"/>
        <item x="26"/>
        <item x="1"/>
        <item x="27"/>
        <item x="33"/>
        <item x="31"/>
        <item x="11"/>
        <item x="35"/>
        <item x="34"/>
        <item x="36"/>
        <item t="default"/>
      </items>
    </pivotField>
    <pivotField showAll="0"/>
    <pivotField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dataFields count="1">
    <dataField name="Average of Average Unit Price"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DAB609-4A6E-4CD7-B13A-6FB4FFA8F0A0}" name="PivotTable5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
    <pivotField showAll="0"/>
    <pivotField dataField="1" showAll="0"/>
    <pivotField showAll="0"/>
    <pivotField showAll="0"/>
  </pivotFields>
  <rowItems count="1">
    <i/>
  </rowItems>
  <colItems count="1">
    <i/>
  </colItems>
  <dataFields count="1">
    <dataField name="Sum of Sales" fld="1" baseField="0" baseItem="0" numFmtId="43"/>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807B84-F675-459C-9120-76B481013A91}" name="PivotTable6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4">
    <pivotField showAll="0"/>
    <pivotField showAll="0"/>
    <pivotField showAll="0"/>
    <pivotField dataField="1" showAll="0"/>
  </pivotFields>
  <rowItems count="1">
    <i/>
  </rowItems>
  <colItems count="1">
    <i/>
  </colItems>
  <dataFields count="1">
    <dataField name="Sum of Quantity Sold" fld="3" baseField="0" baseItem="0" numFmtId="166"/>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9C23058-5A47-4B5A-8E26-9D915694DE3F}" name="PivotTable8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5">
    <pivotField showAll="0">
      <items count="1057">
        <item x="1054"/>
        <item x="10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t="default"/>
      </items>
    </pivotField>
    <pivotField dataField="1" showAll="0"/>
    <pivotField dataField="1" showAll="0"/>
    <pivotField showAll="0">
      <items count="996">
        <item x="994"/>
        <item x="992"/>
        <item x="936"/>
        <item x="960"/>
        <item x="580"/>
        <item x="326"/>
        <item x="581"/>
        <item x="826"/>
        <item x="328"/>
        <item x="903"/>
        <item x="882"/>
        <item x="905"/>
        <item x="325"/>
        <item x="935"/>
        <item x="607"/>
        <item x="959"/>
        <item x="606"/>
        <item x="881"/>
        <item x="778"/>
        <item x="830"/>
        <item x="603"/>
        <item x="825"/>
        <item x="887"/>
        <item x="880"/>
        <item x="965"/>
        <item x="329"/>
        <item x="774"/>
        <item x="772"/>
        <item x="958"/>
        <item x="904"/>
        <item x="886"/>
        <item x="966"/>
        <item x="771"/>
        <item x="579"/>
        <item x="829"/>
        <item x="831"/>
        <item x="942"/>
        <item x="878"/>
        <item x="862"/>
        <item x="964"/>
        <item x="327"/>
        <item x="890"/>
        <item x="462"/>
        <item x="777"/>
        <item x="937"/>
        <item x="824"/>
        <item x="632"/>
        <item x="828"/>
        <item x="891"/>
        <item x="931"/>
        <item x="576"/>
        <item x="944"/>
        <item x="892"/>
        <item x="176"/>
        <item x="437"/>
        <item x="639"/>
        <item x="633"/>
        <item x="775"/>
        <item x="610"/>
        <item x="879"/>
        <item x="330"/>
        <item x="901"/>
        <item x="324"/>
        <item x="611"/>
        <item x="554"/>
        <item x="781"/>
        <item x="900"/>
        <item x="941"/>
        <item x="430"/>
        <item x="357"/>
        <item x="575"/>
        <item x="436"/>
        <item x="464"/>
        <item x="930"/>
        <item x="934"/>
        <item x="827"/>
        <item x="885"/>
        <item x="435"/>
        <item x="600"/>
        <item x="894"/>
        <item x="940"/>
        <item x="943"/>
        <item x="971"/>
        <item x="957"/>
        <item x="969"/>
        <item x="323"/>
        <item x="956"/>
        <item x="321"/>
        <item x="605"/>
        <item x="758"/>
        <item x="796"/>
        <item x="780"/>
        <item x="547"/>
        <item x="314"/>
        <item x="776"/>
        <item x="604"/>
        <item x="963"/>
        <item x="962"/>
        <item x="468"/>
        <item x="634"/>
        <item x="322"/>
        <item x="467"/>
        <item x="335"/>
        <item x="561"/>
        <item x="429"/>
        <item x="390"/>
        <item x="463"/>
        <item x="638"/>
        <item x="897"/>
        <item x="193"/>
        <item x="562"/>
        <item x="470"/>
        <item x="375"/>
        <item x="888"/>
        <item x="389"/>
        <item x="630"/>
        <item x="946"/>
        <item x="631"/>
        <item x="315"/>
        <item x="545"/>
        <item x="602"/>
        <item x="560"/>
        <item x="29"/>
        <item x="313"/>
        <item x="719"/>
        <item x="627"/>
        <item x="637"/>
        <item x="428"/>
        <item x="382"/>
        <item x="583"/>
        <item x="948"/>
        <item x="526"/>
        <item x="898"/>
        <item x="574"/>
        <item x="374"/>
        <item x="782"/>
        <item x="770"/>
        <item x="823"/>
        <item x="947"/>
        <item x="973"/>
        <item x="178"/>
        <item x="177"/>
        <item x="546"/>
        <item x="893"/>
        <item x="383"/>
        <item x="202"/>
        <item x="626"/>
        <item x="439"/>
        <item x="50"/>
        <item x="726"/>
        <item x="433"/>
        <item x="974"/>
        <item x="515"/>
        <item x="718"/>
        <item x="970"/>
        <item x="875"/>
        <item x="753"/>
        <item x="283"/>
        <item x="320"/>
        <item x="983"/>
        <item x="945"/>
        <item x="847"/>
        <item x="359"/>
        <item x="899"/>
        <item x="372"/>
        <item x="701"/>
        <item x="514"/>
        <item x="902"/>
        <item x="23"/>
        <item x="724"/>
        <item x="938"/>
        <item x="555"/>
        <item x="954"/>
        <item x="789"/>
        <item x="608"/>
        <item x="988"/>
        <item x="609"/>
        <item x="180"/>
        <item x="399"/>
        <item x="334"/>
        <item x="552"/>
        <item x="542"/>
        <item x="712"/>
        <item x="598"/>
        <item x="573"/>
        <item x="457"/>
        <item x="379"/>
        <item x="746"/>
        <item x="513"/>
        <item x="889"/>
        <item x="751"/>
        <item x="553"/>
        <item x="307"/>
        <item x="549"/>
        <item x="773"/>
        <item x="340"/>
        <item x="578"/>
        <item x="369"/>
        <item x="388"/>
        <item x="877"/>
        <item x="24"/>
        <item x="521"/>
        <item x="768"/>
        <item x="31"/>
        <item x="285"/>
        <item x="386"/>
        <item x="301"/>
        <item x="982"/>
        <item x="883"/>
        <item x="336"/>
        <item x="932"/>
        <item x="376"/>
        <item x="569"/>
        <item x="280"/>
        <item x="460"/>
        <item x="670"/>
        <item x="572"/>
        <item x="568"/>
        <item x="953"/>
        <item x="434"/>
        <item x="599"/>
        <item x="187"/>
        <item x="311"/>
        <item x="30"/>
        <item x="440"/>
        <item x="260"/>
        <item x="518"/>
        <item x="186"/>
        <item x="83"/>
        <item x="396"/>
        <item x="582"/>
        <item x="567"/>
        <item x="494"/>
        <item x="700"/>
        <item x="312"/>
        <item x="318"/>
        <item x="461"/>
        <item x="368"/>
        <item x="253"/>
        <item x="757"/>
        <item x="525"/>
        <item x="795"/>
        <item x="548"/>
        <item x="745"/>
        <item x="373"/>
        <item x="783"/>
        <item x="331"/>
        <item x="876"/>
        <item x="566"/>
        <item x="397"/>
        <item x="749"/>
        <item x="259"/>
        <item x="933"/>
        <item x="558"/>
        <item x="541"/>
        <item x="28"/>
        <item x="520"/>
        <item x="279"/>
        <item x="524"/>
        <item x="961"/>
        <item x="413"/>
        <item x="194"/>
        <item x="788"/>
        <item x="263"/>
        <item x="787"/>
        <item x="333"/>
        <item x="20"/>
        <item x="987"/>
        <item x="380"/>
        <item x="601"/>
        <item x="683"/>
        <item x="715"/>
        <item x="779"/>
        <item x="759"/>
        <item x="339"/>
        <item x="895"/>
        <item x="387"/>
        <item x="300"/>
        <item x="559"/>
        <item x="252"/>
        <item x="967"/>
        <item x="722"/>
        <item x="565"/>
        <item x="884"/>
        <item x="896"/>
        <item x="986"/>
        <item x="955"/>
        <item x="976"/>
        <item x="319"/>
        <item x="832"/>
        <item x="217"/>
        <item x="197"/>
        <item x="756"/>
        <item x="308"/>
        <item x="52"/>
        <item x="84"/>
        <item x="189"/>
        <item x="657"/>
        <item x="981"/>
        <item x="15"/>
        <item x="438"/>
        <item x="723"/>
        <item x="284"/>
        <item x="833"/>
        <item x="258"/>
        <item x="381"/>
        <item x="400"/>
        <item x="519"/>
        <item x="952"/>
        <item x="711"/>
        <item x="769"/>
        <item x="717"/>
        <item x="27"/>
        <item x="200"/>
        <item x="299"/>
        <item x="21"/>
        <item x="793"/>
        <item x="456"/>
        <item x="256"/>
        <item x="290"/>
        <item x="968"/>
        <item x="201"/>
        <item x="395"/>
        <item x="939"/>
        <item x="465"/>
        <item x="17"/>
        <item x="332"/>
        <item x="306"/>
        <item x="414"/>
        <item x="979"/>
        <item x="398"/>
        <item x="287"/>
        <item x="264"/>
        <item x="713"/>
        <item x="512"/>
        <item x="980"/>
        <item x="79"/>
        <item x="22"/>
        <item x="125"/>
        <item x="294"/>
        <item x="183"/>
        <item x="181"/>
        <item x="358"/>
        <item x="128"/>
        <item x="2"/>
        <item x="129"/>
        <item x="293"/>
        <item x="78"/>
        <item x="338"/>
        <item x="204"/>
        <item x="458"/>
        <item x="291"/>
        <item x="13"/>
        <item x="184"/>
        <item x="115"/>
        <item x="635"/>
        <item x="292"/>
        <item x="527"/>
        <item x="636"/>
        <item x="192"/>
        <item x="482"/>
        <item x="431"/>
        <item x="427"/>
        <item x="907"/>
        <item x="16"/>
        <item x="363"/>
        <item x="972"/>
        <item x="371"/>
        <item x="750"/>
        <item x="218"/>
        <item x="716"/>
        <item x="799"/>
        <item x="426"/>
        <item x="190"/>
        <item x="975"/>
        <item x="9"/>
        <item x="370"/>
        <item x="38"/>
        <item x="653"/>
        <item x="629"/>
        <item x="854"/>
        <item x="577"/>
        <item x="550"/>
        <item x="459"/>
        <item x="570"/>
        <item x="188"/>
        <item x="114"/>
        <item x="265"/>
        <item x="195"/>
        <item x="126"/>
        <item x="10"/>
        <item x="671"/>
        <item x="466"/>
        <item x="950"/>
        <item x="644"/>
        <item x="706"/>
        <item x="684"/>
        <item x="543"/>
        <item x="628"/>
        <item x="642"/>
        <item x="834"/>
        <item x="646"/>
        <item x="702"/>
        <item x="912"/>
        <item x="360"/>
        <item x="699"/>
        <item x="556"/>
        <item x="391"/>
        <item x="714"/>
        <item x="51"/>
        <item x="288"/>
        <item x="910"/>
        <item x="441"/>
        <item x="34"/>
        <item x="551"/>
        <item x="127"/>
        <item x="356"/>
        <item x="794"/>
        <item x="643"/>
        <item x="185"/>
        <item x="765"/>
        <item x="14"/>
        <item x="522"/>
        <item x="571"/>
        <item x="99"/>
        <item x="143"/>
        <item x="25"/>
        <item x="111"/>
        <item x="257"/>
        <item x="469"/>
        <item x="97"/>
        <item x="762"/>
        <item x="297"/>
        <item x="251"/>
        <item x="800"/>
        <item x="861"/>
        <item x="801"/>
        <item x="911"/>
        <item x="951"/>
        <item x="747"/>
        <item x="87"/>
        <item x="286"/>
        <item x="917"/>
        <item x="790"/>
        <item x="198"/>
        <item x="100"/>
        <item x="557"/>
        <item x="119"/>
        <item x="171"/>
        <item x="453"/>
        <item x="118"/>
        <item x="540"/>
        <item x="544"/>
        <item x="806"/>
        <item x="412"/>
        <item x="686"/>
        <item x="377"/>
        <item x="492"/>
        <item x="656"/>
        <item x="720"/>
        <item x="432"/>
        <item x="766"/>
        <item x="86"/>
        <item x="916"/>
        <item x="403"/>
        <item x="401"/>
        <item x="394"/>
        <item x="516"/>
        <item x="124"/>
        <item x="853"/>
        <item x="408"/>
        <item x="309"/>
        <item x="612"/>
        <item x="563"/>
        <item x="658"/>
        <item x="984"/>
        <item x="384"/>
        <item x="282"/>
        <item x="179"/>
        <item x="337"/>
        <item x="120"/>
        <item x="36"/>
        <item x="685"/>
        <item x="85"/>
        <item x="191"/>
        <item x="409"/>
        <item x="859"/>
        <item x="754"/>
        <item x="985"/>
        <item x="98"/>
        <item x="385"/>
        <item x="423"/>
        <item x="348"/>
        <item x="767"/>
        <item x="261"/>
        <item x="923"/>
        <item x="977"/>
        <item x="852"/>
        <item x="298"/>
        <item x="488"/>
        <item x="849"/>
        <item x="915"/>
        <item x="18"/>
        <item x="316"/>
        <item x="94"/>
        <item x="660"/>
        <item x="174"/>
        <item x="523"/>
        <item x="32"/>
        <item x="304"/>
        <item x="822"/>
        <item x="341"/>
        <item x="860"/>
        <item x="786"/>
        <item x="748"/>
        <item x="56"/>
        <item x="48"/>
        <item x="175"/>
        <item x="378"/>
        <item x="538"/>
        <item x="666"/>
        <item x="342"/>
        <item x="41"/>
        <item x="393"/>
        <item x="416"/>
        <item x="43"/>
        <item x="35"/>
        <item x="665"/>
        <item x="659"/>
        <item x="254"/>
        <item x="11"/>
        <item x="45"/>
        <item x="310"/>
        <item x="55"/>
        <item x="906"/>
        <item x="618"/>
        <item x="805"/>
        <item x="12"/>
        <item x="402"/>
        <item x="863"/>
        <item x="347"/>
        <item x="664"/>
        <item x="669"/>
        <item x="455"/>
        <item x="729"/>
        <item x="695"/>
        <item x="262"/>
        <item x="532"/>
        <item x="19"/>
        <item x="493"/>
        <item x="121"/>
        <item x="517"/>
        <item x="485"/>
        <item x="797"/>
        <item x="764"/>
        <item x="564"/>
        <item x="497"/>
        <item x="613"/>
        <item x="134"/>
        <item x="921"/>
        <item x="929"/>
        <item x="752"/>
        <item x="645"/>
        <item x="302"/>
        <item x="352"/>
        <item x="26"/>
        <item x="42"/>
        <item x="93"/>
        <item x="123"/>
        <item x="703"/>
        <item x="539"/>
        <item x="289"/>
        <item x="365"/>
        <item x="345"/>
        <item x="49"/>
        <item x="721"/>
        <item x="922"/>
        <item x="804"/>
        <item x="708"/>
        <item x="490"/>
        <item x="367"/>
        <item x="689"/>
        <item x="763"/>
        <item x="978"/>
        <item x="511"/>
        <item x="848"/>
        <item x="725"/>
        <item x="90"/>
        <item x="596"/>
        <item x="317"/>
        <item x="663"/>
        <item x="196"/>
        <item x="112"/>
        <item x="454"/>
        <item x="807"/>
        <item x="392"/>
        <item x="528"/>
        <item x="281"/>
        <item x="616"/>
        <item x="255"/>
        <item x="531"/>
        <item x="232"/>
        <item x="760"/>
        <item x="82"/>
        <item x="230"/>
        <item x="104"/>
        <item x="353"/>
        <item x="44"/>
        <item x="640"/>
        <item x="839"/>
        <item x="73"/>
        <item x="66"/>
        <item x="743"/>
        <item x="203"/>
        <item x="487"/>
        <item x="122"/>
        <item x="139"/>
        <item x="182"/>
        <item x="80"/>
        <item x="474"/>
        <item x="231"/>
        <item x="473"/>
        <item x="846"/>
        <item x="140"/>
        <item x="491"/>
        <item x="651"/>
        <item x="597"/>
        <item x="415"/>
        <item x="486"/>
        <item x="792"/>
        <item x="499"/>
        <item x="349"/>
        <item x="33"/>
        <item x="508"/>
        <item x="101"/>
        <item x="406"/>
        <item x="163"/>
        <item x="810"/>
        <item x="113"/>
        <item x="225"/>
        <item x="682"/>
        <item x="6"/>
        <item x="141"/>
        <item x="95"/>
        <item x="305"/>
        <item x="91"/>
        <item x="361"/>
        <item x="761"/>
        <item x="533"/>
        <item x="949"/>
        <item x="785"/>
        <item x="133"/>
        <item x="447"/>
        <item x="366"/>
        <item x="617"/>
        <item x="733"/>
        <item x="652"/>
        <item x="679"/>
        <item x="81"/>
        <item x="71"/>
        <item x="856"/>
        <item x="170"/>
        <item x="740"/>
        <item x="37"/>
        <item x="501"/>
        <item x="157"/>
        <item x="168"/>
        <item x="105"/>
        <item x="654"/>
        <item x="407"/>
        <item x="162"/>
        <item x="223"/>
        <item x="72"/>
        <item x="589"/>
        <item x="446"/>
        <item x="704"/>
        <item x="481"/>
        <item x="731"/>
        <item x="845"/>
        <item x="221"/>
        <item x="160"/>
        <item x="692"/>
        <item x="142"/>
        <item x="443"/>
        <item x="908"/>
        <item x="623"/>
        <item x="744"/>
        <item x="224"/>
        <item x="874"/>
        <item x="210"/>
        <item x="172"/>
        <item x="836"/>
        <item x="710"/>
        <item x="173"/>
        <item x="132"/>
        <item x="3"/>
        <item x="480"/>
        <item x="690"/>
        <item x="420"/>
        <item x="687"/>
        <item x="164"/>
        <item x="135"/>
        <item x="732"/>
        <item x="730"/>
        <item x="791"/>
        <item x="96"/>
        <item x="868"/>
        <item x="584"/>
        <item x="364"/>
        <item x="235"/>
        <item x="150"/>
        <item x="500"/>
        <item x="266"/>
        <item x="146"/>
        <item x="736"/>
        <item x="697"/>
        <item x="855"/>
        <item x="209"/>
        <item x="873"/>
        <item x="691"/>
        <item x="784"/>
        <item x="161"/>
        <item x="421"/>
        <item x="169"/>
        <item x="625"/>
        <item x="535"/>
        <item x="866"/>
        <item x="913"/>
        <item x="918"/>
        <item x="586"/>
        <item x="928"/>
        <item x="442"/>
        <item x="478"/>
        <item x="303"/>
        <item x="147"/>
        <item x="295"/>
        <item x="498"/>
        <item x="419"/>
        <item x="0"/>
        <item x="422"/>
        <item x="641"/>
        <item x="8"/>
        <item x="924"/>
        <item x="672"/>
        <item x="58"/>
        <item x="57"/>
        <item x="76"/>
        <item x="167"/>
        <item x="504"/>
        <item x="69"/>
        <item x="148"/>
        <item x="678"/>
        <item x="411"/>
        <item x="536"/>
        <item x="424"/>
        <item x="675"/>
        <item x="350"/>
        <item x="507"/>
        <item x="92"/>
        <item x="222"/>
        <item x="850"/>
        <item x="914"/>
        <item x="343"/>
        <item x="650"/>
        <item x="346"/>
        <item x="811"/>
        <item x="228"/>
        <item x="835"/>
        <item x="676"/>
        <item x="649"/>
        <item x="677"/>
        <item x="707"/>
        <item x="199"/>
        <item x="77"/>
        <item x="106"/>
        <item x="814"/>
        <item x="840"/>
        <item x="149"/>
        <item x="867"/>
        <item x="237"/>
        <item x="249"/>
        <item x="739"/>
        <item x="647"/>
        <item x="798"/>
        <item x="693"/>
        <item x="410"/>
        <item x="909"/>
        <item x="509"/>
        <item x="354"/>
        <item x="727"/>
        <item x="709"/>
        <item x="229"/>
        <item x="593"/>
        <item x="250"/>
        <item x="655"/>
        <item x="585"/>
        <item x="65"/>
        <item x="534"/>
        <item x="216"/>
        <item x="738"/>
        <item x="842"/>
        <item x="425"/>
        <item x="88"/>
        <item x="271"/>
        <item x="417"/>
        <item x="696"/>
        <item x="207"/>
        <item x="117"/>
        <item x="812"/>
        <item x="296"/>
        <item x="351"/>
        <item x="479"/>
        <item x="818"/>
        <item x="537"/>
        <item x="239"/>
        <item x="136"/>
        <item x="872"/>
        <item x="529"/>
        <item x="869"/>
        <item x="495"/>
        <item x="116"/>
        <item x="667"/>
        <item x="851"/>
        <item x="277"/>
        <item x="819"/>
        <item x="270"/>
        <item x="483"/>
        <item x="668"/>
        <item x="107"/>
        <item x="624"/>
        <item x="506"/>
        <item x="471"/>
        <item x="156"/>
        <item x="238"/>
        <item x="70"/>
        <item x="158"/>
        <item x="858"/>
        <item x="208"/>
        <item x="680"/>
        <item x="211"/>
        <item x="813"/>
        <item x="925"/>
        <item x="728"/>
        <item x="510"/>
        <item x="755"/>
        <item x="705"/>
        <item x="1"/>
        <item x="673"/>
        <item x="39"/>
        <item x="418"/>
        <item x="803"/>
        <item x="130"/>
        <item x="857"/>
        <item x="444"/>
        <item x="448"/>
        <item x="688"/>
        <item x="7"/>
        <item x="362"/>
        <item x="5"/>
        <item x="214"/>
        <item x="694"/>
        <item x="236"/>
        <item x="741"/>
        <item x="404"/>
        <item x="698"/>
        <item x="102"/>
        <item x="344"/>
        <item x="619"/>
        <item x="590"/>
        <item x="40"/>
        <item x="530"/>
        <item x="54"/>
        <item x="64"/>
        <item x="53"/>
        <item x="919"/>
        <item x="594"/>
        <item x="820"/>
        <item x="475"/>
        <item x="802"/>
        <item x="4"/>
        <item x="592"/>
        <item x="737"/>
        <item x="246"/>
        <item x="661"/>
        <item x="155"/>
        <item x="808"/>
        <item x="484"/>
        <item x="46"/>
        <item x="817"/>
        <item x="920"/>
        <item x="89"/>
        <item x="615"/>
        <item x="452"/>
        <item x="837"/>
        <item x="595"/>
        <item x="681"/>
        <item x="841"/>
        <item x="662"/>
        <item x="927"/>
        <item x="110"/>
        <item x="926"/>
        <item x="742"/>
        <item x="843"/>
        <item x="489"/>
        <item x="614"/>
        <item x="272"/>
        <item x="267"/>
        <item x="59"/>
        <item x="496"/>
        <item x="648"/>
        <item x="215"/>
        <item x="405"/>
        <item x="103"/>
        <item x="591"/>
        <item x="233"/>
        <item x="587"/>
        <item x="47"/>
        <item x="821"/>
        <item x="278"/>
        <item x="838"/>
        <item x="242"/>
        <item x="864"/>
        <item x="505"/>
        <item x="844"/>
        <item x="621"/>
        <item x="355"/>
        <item x="734"/>
        <item x="620"/>
        <item x="74"/>
        <item x="445"/>
        <item x="477"/>
        <item x="159"/>
        <item x="809"/>
        <item x="502"/>
        <item x="220"/>
        <item x="476"/>
        <item x="137"/>
        <item x="674"/>
        <item x="472"/>
        <item x="449"/>
        <item x="154"/>
        <item x="131"/>
        <item x="815"/>
        <item x="144"/>
        <item x="588"/>
        <item x="451"/>
        <item x="622"/>
        <item x="219"/>
        <item x="871"/>
        <item x="234"/>
        <item x="865"/>
        <item x="109"/>
        <item x="153"/>
        <item x="870"/>
        <item x="503"/>
        <item x="274"/>
        <item x="67"/>
        <item x="165"/>
        <item x="226"/>
        <item x="166"/>
        <item x="62"/>
        <item x="245"/>
        <item x="244"/>
        <item x="735"/>
        <item x="138"/>
        <item x="151"/>
        <item x="205"/>
        <item x="75"/>
        <item x="275"/>
        <item x="68"/>
        <item x="816"/>
        <item x="247"/>
        <item x="227"/>
        <item x="63"/>
        <item x="206"/>
        <item x="248"/>
        <item x="268"/>
        <item x="273"/>
        <item x="145"/>
        <item x="108"/>
        <item x="152"/>
        <item x="212"/>
        <item x="450"/>
        <item x="269"/>
        <item x="240"/>
        <item x="243"/>
        <item x="213"/>
        <item x="276"/>
        <item x="60"/>
        <item x="241"/>
        <item x="61"/>
        <item x="989"/>
        <item x="991"/>
        <item x="993"/>
        <item x="990"/>
        <item t="default"/>
      </items>
    </pivotField>
    <pivotField showAll="0"/>
  </pivotFields>
  <rowItems count="1">
    <i/>
  </rowItems>
  <colFields count="1">
    <field x="-2"/>
  </colFields>
  <colItems count="2">
    <i>
      <x/>
    </i>
    <i i="1">
      <x v="1"/>
    </i>
  </colItems>
  <dataFields count="2">
    <dataField name="Sum of Sales" fld="1" baseField="0" baseItem="0"/>
    <dataField name="Count of Cost Of Sales"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2B64758-E3A4-4179-88F0-BBCC6D9F35ED}" name="PivotTable6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8">
    <pivotField numFmtId="164" showAll="0"/>
    <pivotField numFmtId="4" showAll="0"/>
    <pivotField numFmtId="4" showAll="0"/>
    <pivotField showAll="0"/>
    <pivotField numFmtId="4" showAll="0"/>
    <pivotField dataField="1" numFmtId="4" showAll="0"/>
    <pivotField numFmtId="10" showAll="0"/>
    <pivotField numFmtId="4" showAll="0"/>
  </pivotFields>
  <rowItems count="1">
    <i/>
  </rowItems>
  <colItems count="1">
    <i/>
  </colItems>
  <dataFields count="1">
    <dataField name="Sum of Gross Profit" fld="5"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6FCA17-D001-4287-8EDD-3F40CEC6C2CD}" name="PivotTable7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8">
    <pivotField numFmtId="164" showAll="0"/>
    <pivotField numFmtId="4" showAll="0"/>
    <pivotField numFmtId="4" showAll="0"/>
    <pivotField showAll="0"/>
    <pivotField numFmtId="4" showAll="0"/>
    <pivotField numFmtId="4" showAll="0"/>
    <pivotField dataField="1" numFmtId="10" showAll="0"/>
    <pivotField numFmtId="4" showAll="0"/>
  </pivotFields>
  <rowItems count="1">
    <i/>
  </rowItems>
  <colItems count="1">
    <i/>
  </colItems>
  <dataFields count="1">
    <dataField name="Average of Gross Profit %" fld="6" subtotal="average" baseField="0" baseItem="0" numFmtId="10"/>
  </dataFields>
  <formats count="1">
    <format dxfId="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914C962-D523-4F23-BE04-419FE7BF0BE0}" name="PivotTable8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8" firstHeaderRow="0" firstDataRow="1" firstDataCol="1" rowPageCount="1" colPageCount="1"/>
  <pivotFields count="11">
    <pivotField showAll="0">
      <items count="10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t="default"/>
      </items>
    </pivotField>
    <pivotField dataField="1" showAll="0">
      <items count="1055">
        <item x="988"/>
        <item x="1017"/>
        <item x="597"/>
        <item x="598"/>
        <item x="329"/>
        <item x="864"/>
        <item x="626"/>
        <item x="950"/>
        <item x="625"/>
        <item x="331"/>
        <item x="927"/>
        <item x="987"/>
        <item x="952"/>
        <item x="1016"/>
        <item x="328"/>
        <item x="622"/>
        <item x="926"/>
        <item x="808"/>
        <item x="870"/>
        <item x="863"/>
        <item x="596"/>
        <item x="933"/>
        <item x="1015"/>
        <item x="176"/>
        <item x="925"/>
        <item x="804"/>
        <item x="801"/>
        <item x="1023"/>
        <item x="951"/>
        <item x="332"/>
        <item x="932"/>
        <item x="994"/>
        <item x="800"/>
        <item x="1024"/>
        <item x="869"/>
        <item x="871"/>
        <item x="591"/>
        <item x="923"/>
        <item x="905"/>
        <item x="1028"/>
        <item x="652"/>
        <item x="330"/>
        <item x="989"/>
        <item x="470"/>
        <item x="936"/>
        <item x="1022"/>
        <item x="629"/>
        <item x="996"/>
        <item x="807"/>
        <item x="659"/>
        <item x="653"/>
        <item x="862"/>
        <item x="868"/>
        <item x="937"/>
        <item x="444"/>
        <item x="982"/>
        <item x="966"/>
        <item x="938"/>
        <item x="630"/>
        <item x="569"/>
        <item x="590"/>
        <item x="805"/>
        <item x="930"/>
        <item x="924"/>
        <item x="402"/>
        <item x="947"/>
        <item x="993"/>
        <item x="631"/>
        <item x="333"/>
        <item x="327"/>
        <item x="437"/>
        <item x="812"/>
        <item x="361"/>
        <item x="619"/>
        <item x="946"/>
        <item x="324"/>
        <item x="443"/>
        <item x="985"/>
        <item x="317"/>
        <item x="195"/>
        <item x="992"/>
        <item x="472"/>
        <item x="995"/>
        <item x="29"/>
        <item x="442"/>
        <item x="981"/>
        <item x="1014"/>
        <item x="624"/>
        <item x="325"/>
        <item x="561"/>
        <item x="867"/>
        <item x="931"/>
        <item x="1013"/>
        <item x="940"/>
        <item x="986"/>
        <item x="623"/>
        <item x="576"/>
        <item x="654"/>
        <item x="1031"/>
        <item x="660"/>
        <item x="326"/>
        <item x="785"/>
        <item x="1027"/>
        <item x="828"/>
        <item x="811"/>
        <item x="339"/>
        <item x="318"/>
        <item x="577"/>
        <item x="658"/>
        <item x="806"/>
        <item x="50"/>
        <item x="178"/>
        <item x="661"/>
        <item x="177"/>
        <item x="316"/>
        <item x="204"/>
        <item x="477"/>
        <item x="601"/>
        <item x="575"/>
        <item x="1003"/>
        <item x="436"/>
        <item x="1021"/>
        <item x="476"/>
        <item x="1020"/>
        <item x="395"/>
        <item x="621"/>
        <item x="650"/>
        <item x="559"/>
        <item x="651"/>
        <item x="23"/>
        <item x="471"/>
        <item x="818"/>
        <item x="1002"/>
        <item x="1001"/>
        <item x="602"/>
        <item x="943"/>
        <item x="380"/>
        <item x="647"/>
        <item x="657"/>
        <item x="394"/>
        <item x="589"/>
        <item x="479"/>
        <item x="799"/>
        <item x="286"/>
        <item x="934"/>
        <item x="874"/>
        <item x="745"/>
        <item x="181"/>
        <item x="435"/>
        <item x="1030"/>
        <item x="323"/>
        <item x="475"/>
        <item x="387"/>
        <item x="560"/>
        <item x="646"/>
        <item x="24"/>
        <item x="773"/>
        <item x="821"/>
        <item x="595"/>
        <item x="31"/>
        <item x="379"/>
        <item x="540"/>
        <item x="944"/>
        <item x="813"/>
        <item x="861"/>
        <item x="388"/>
        <item x="570"/>
        <item x="447"/>
        <item x="752"/>
        <item x="440"/>
        <item x="1000"/>
        <item x="30"/>
        <item x="1034"/>
        <item x="744"/>
        <item x="939"/>
        <item x="627"/>
        <item x="189"/>
        <item x="528"/>
        <item x="628"/>
        <item x="363"/>
        <item x="875"/>
        <item x="262"/>
        <item x="1018"/>
        <item x="727"/>
        <item x="288"/>
        <item x="920"/>
        <item x="377"/>
        <item x="780"/>
        <item x="304"/>
        <item x="990"/>
        <item x="567"/>
        <item x="588"/>
        <item x="1035"/>
        <item x="188"/>
        <item x="83"/>
        <item x="1010"/>
        <item x="617"/>
        <item x="1029"/>
        <item x="890"/>
        <item x="282"/>
        <item x="750"/>
        <item x="945"/>
        <item x="556"/>
        <item x="255"/>
        <item x="594"/>
        <item x="527"/>
        <item x="949"/>
        <item x="1045"/>
        <item x="338"/>
        <item x="563"/>
        <item x="568"/>
        <item x="28"/>
        <item x="999"/>
        <item x="310"/>
        <item x="405"/>
        <item x="948"/>
        <item x="261"/>
        <item x="314"/>
        <item x="797"/>
        <item x="20"/>
        <item x="584"/>
        <item x="738"/>
        <item x="465"/>
        <item x="384"/>
        <item x="196"/>
        <item x="344"/>
        <item x="583"/>
        <item x="587"/>
        <item x="265"/>
        <item x="321"/>
        <item x="618"/>
        <item x="315"/>
        <item x="772"/>
        <item x="599"/>
        <item x="374"/>
        <item x="526"/>
        <item x="393"/>
        <item x="935"/>
        <item x="1051"/>
        <item x="983"/>
        <item x="778"/>
        <item x="566"/>
        <item x="582"/>
        <item x="340"/>
        <item x="802"/>
        <item x="391"/>
        <item x="281"/>
        <item x="809"/>
        <item x="922"/>
        <item x="254"/>
        <item x="535"/>
        <item x="1009"/>
        <item x="52"/>
        <item x="381"/>
        <item x="468"/>
        <item x="693"/>
        <item x="803"/>
        <item x="865"/>
        <item x="15"/>
        <item x="562"/>
        <item x="928"/>
        <item x="441"/>
        <item x="219"/>
        <item x="199"/>
        <item x="581"/>
        <item x="448"/>
        <item x="84"/>
        <item x="786"/>
        <item x="1044"/>
        <item x="573"/>
        <item x="191"/>
        <item x="827"/>
        <item x="303"/>
        <item x="866"/>
        <item x="401"/>
        <item x="726"/>
        <item x="27"/>
        <item x="469"/>
        <item x="373"/>
        <item x="260"/>
        <item x="21"/>
        <item x="531"/>
        <item x="555"/>
        <item x="771"/>
        <item x="507"/>
        <item x="378"/>
        <item x="820"/>
        <item x="814"/>
        <item x="17"/>
        <item x="984"/>
        <item x="202"/>
        <item x="784"/>
        <item x="819"/>
        <item x="403"/>
        <item x="592"/>
        <item x="620"/>
        <item x="539"/>
        <item x="322"/>
        <item x="258"/>
        <item x="420"/>
        <item x="203"/>
        <item x="2"/>
        <item x="287"/>
        <item x="574"/>
        <item x="311"/>
        <item x="921"/>
        <item x="1011"/>
        <item x="1049"/>
        <item x="776"/>
        <item x="580"/>
        <item x="337"/>
        <item x="334"/>
        <item x="534"/>
        <item x="538"/>
        <item x="302"/>
        <item x="22"/>
        <item x="343"/>
        <item x="385"/>
        <item x="707"/>
        <item x="293"/>
        <item x="825"/>
        <item x="741"/>
        <item x="266"/>
        <item x="798"/>
        <item x="128"/>
        <item x="392"/>
        <item x="1012"/>
        <item x="1019"/>
        <item x="79"/>
        <item x="748"/>
        <item x="810"/>
        <item x="125"/>
        <item x="185"/>
        <item x="941"/>
        <item x="182"/>
        <item x="679"/>
        <item x="78"/>
        <item x="290"/>
        <item x="929"/>
        <item x="942"/>
        <item x="13"/>
        <item x="421"/>
        <item x="1050"/>
        <item x="206"/>
        <item x="1025"/>
        <item x="129"/>
        <item x="1008"/>
        <item x="872"/>
        <item x="445"/>
        <item x="749"/>
        <item x="783"/>
        <item x="1038"/>
        <item x="297"/>
        <item x="1037"/>
        <item x="386"/>
        <item x="406"/>
        <item x="1048"/>
        <item x="186"/>
        <item x="115"/>
        <item x="737"/>
        <item x="16"/>
        <item x="296"/>
        <item x="309"/>
        <item x="194"/>
        <item x="873"/>
        <item x="743"/>
        <item x="954"/>
        <item x="991"/>
        <item x="533"/>
        <item x="1043"/>
        <item x="464"/>
        <item x="335"/>
        <item x="294"/>
        <item x="9"/>
        <item x="400"/>
        <item x="600"/>
        <item x="38"/>
        <item x="1032"/>
        <item x="220"/>
        <item x="283"/>
        <item x="295"/>
        <item x="473"/>
        <item x="192"/>
        <item x="342"/>
        <item x="832"/>
        <item x="184"/>
        <item x="336"/>
        <item x="1026"/>
        <item x="404"/>
        <item x="51"/>
        <item x="739"/>
        <item x="541"/>
        <item x="897"/>
        <item x="10"/>
        <item x="190"/>
        <item x="1041"/>
        <item x="114"/>
        <item x="525"/>
        <item x="267"/>
        <item x="362"/>
        <item x="197"/>
        <item x="655"/>
        <item x="126"/>
        <item x="694"/>
        <item x="656"/>
        <item x="732"/>
        <item x="675"/>
        <item x="961"/>
        <item x="367"/>
        <item x="1042"/>
        <item x="876"/>
        <item x="34"/>
        <item x="171"/>
        <item x="466"/>
        <item x="111"/>
        <item x="959"/>
        <item x="14"/>
        <item x="143"/>
        <item x="25"/>
        <item x="666"/>
        <item x="493"/>
        <item x="593"/>
        <item x="438"/>
        <item x="187"/>
        <item x="708"/>
        <item x="434"/>
        <item x="1006"/>
        <item x="664"/>
        <item x="99"/>
        <item x="668"/>
        <item x="97"/>
        <item x="564"/>
        <item x="127"/>
        <item x="87"/>
        <item x="649"/>
        <item x="259"/>
        <item x="585"/>
        <item x="967"/>
        <item x="376"/>
        <item x="291"/>
        <item x="446"/>
        <item x="742"/>
        <item x="433"/>
        <item x="960"/>
        <item x="253"/>
        <item x="957"/>
        <item x="834"/>
        <item x="904"/>
        <item x="665"/>
        <item x="777"/>
        <item x="375"/>
        <item x="119"/>
        <item x="835"/>
        <item x="200"/>
        <item x="100"/>
        <item x="118"/>
        <item x="1033"/>
        <item x="449"/>
        <item x="632"/>
        <item x="86"/>
        <item x="571"/>
        <item x="557"/>
        <item x="467"/>
        <item x="648"/>
        <item x="841"/>
        <item x="1036"/>
        <item x="965"/>
        <item x="300"/>
        <item x="565"/>
        <item x="794"/>
        <item x="896"/>
        <item x="36"/>
        <item x="85"/>
        <item x="289"/>
        <item x="822"/>
        <item x="833"/>
        <item x="680"/>
        <item x="124"/>
        <item x="826"/>
        <item x="179"/>
        <item x="120"/>
        <item x="586"/>
        <item x="98"/>
        <item x="478"/>
        <item x="474"/>
        <item x="728"/>
        <item x="56"/>
        <item x="710"/>
        <item x="364"/>
        <item x="725"/>
        <item x="48"/>
        <item x="973"/>
        <item x="193"/>
        <item x="678"/>
        <item x="902"/>
        <item x="396"/>
        <item x="740"/>
        <item x="174"/>
        <item x="790"/>
        <item x="41"/>
        <item x="18"/>
        <item x="43"/>
        <item x="461"/>
        <item x="554"/>
        <item x="94"/>
        <item x="419"/>
        <item x="964"/>
        <item x="263"/>
        <item x="360"/>
        <item x="32"/>
        <item x="505"/>
        <item x="285"/>
        <item x="45"/>
        <item x="175"/>
        <item x="895"/>
        <item x="55"/>
        <item x="409"/>
        <item x="572"/>
        <item x="407"/>
        <item x="892"/>
        <item x="860"/>
        <item x="414"/>
        <item x="312"/>
        <item x="682"/>
        <item x="709"/>
        <item x="536"/>
        <item x="795"/>
        <item x="558"/>
        <item x="1007"/>
        <item x="638"/>
        <item x="35"/>
        <item x="906"/>
        <item x="903"/>
        <item x="416"/>
        <item x="11"/>
        <item x="578"/>
        <item x="301"/>
        <item x="689"/>
        <item x="430"/>
        <item x="134"/>
        <item x="180"/>
        <item x="12"/>
        <item x="953"/>
        <item x="688"/>
        <item x="997"/>
        <item x="42"/>
        <item x="681"/>
        <item x="307"/>
        <item x="256"/>
        <item x="774"/>
        <item x="352"/>
        <item x="755"/>
        <item x="500"/>
        <item x="382"/>
        <item x="532"/>
        <item x="319"/>
        <item x="19"/>
        <item x="746"/>
        <item x="633"/>
        <item x="341"/>
        <item x="439"/>
        <item x="49"/>
        <item x="840"/>
        <item x="998"/>
        <item x="399"/>
        <item x="796"/>
        <item x="687"/>
        <item x="692"/>
        <item x="264"/>
        <item x="971"/>
        <item x="980"/>
        <item x="389"/>
        <item x="121"/>
        <item x="529"/>
        <item x="26"/>
        <item x="720"/>
        <item x="829"/>
        <item x="93"/>
        <item x="1004"/>
        <item x="198"/>
        <item x="552"/>
        <item x="423"/>
        <item x="346"/>
        <item x="390"/>
        <item x="779"/>
        <item x="667"/>
        <item x="751"/>
        <item x="972"/>
        <item x="232"/>
        <item x="313"/>
        <item x="1046"/>
        <item x="787"/>
        <item x="415"/>
        <item x="112"/>
        <item x="729"/>
        <item x="781"/>
        <item x="345"/>
        <item x="408"/>
        <item x="836"/>
        <item x="958"/>
        <item x="891"/>
        <item x="817"/>
        <item x="791"/>
        <item x="636"/>
        <item x="44"/>
        <item x="123"/>
        <item x="90"/>
        <item x="234"/>
        <item x="734"/>
        <item x="73"/>
        <item x="615"/>
        <item x="839"/>
        <item x="1047"/>
        <item x="546"/>
        <item x="205"/>
        <item x="351"/>
        <item x="506"/>
        <item x="104"/>
        <item x="842"/>
        <item x="499"/>
        <item x="139"/>
        <item x="496"/>
        <item x="305"/>
        <item x="843"/>
        <item x="66"/>
        <item x="1039"/>
        <item x="140"/>
        <item x="685"/>
        <item x="537"/>
        <item x="292"/>
        <item x="510"/>
        <item x="383"/>
        <item x="793"/>
        <item x="398"/>
        <item x="233"/>
        <item x="257"/>
        <item x="775"/>
        <item x="882"/>
        <item x="82"/>
        <item x="579"/>
        <item x="714"/>
        <item x="356"/>
        <item x="553"/>
        <item x="163"/>
        <item x="769"/>
        <item x="463"/>
        <item x="503"/>
        <item x="686"/>
        <item x="349"/>
        <item x="889"/>
        <item x="227"/>
        <item x="141"/>
        <item x="370"/>
        <item x="616"/>
        <item x="6"/>
        <item x="101"/>
        <item x="524"/>
        <item x="284"/>
        <item x="183"/>
        <item x="122"/>
        <item x="80"/>
        <item x="320"/>
        <item x="792"/>
        <item x="33"/>
        <item x="372"/>
        <item x="462"/>
        <item x="113"/>
        <item x="133"/>
        <item x="542"/>
        <item x="170"/>
        <item x="157"/>
        <item x="530"/>
        <item x="713"/>
        <item x="168"/>
        <item x="545"/>
        <item x="662"/>
        <item x="846"/>
        <item x="71"/>
        <item x="37"/>
        <item x="162"/>
        <item x="788"/>
        <item x="225"/>
        <item x="95"/>
        <item x="484"/>
        <item x="91"/>
        <item x="637"/>
        <item x="747"/>
        <item x="72"/>
        <item x="673"/>
        <item x="498"/>
        <item x="105"/>
        <item x="160"/>
        <item x="483"/>
        <item x="142"/>
        <item x="706"/>
        <item x="759"/>
        <item x="824"/>
        <item x="223"/>
        <item x="504"/>
        <item x="226"/>
        <item x="766"/>
        <item x="212"/>
        <item x="422"/>
        <item x="497"/>
        <item x="485"/>
        <item x="512"/>
        <item x="3"/>
        <item x="397"/>
        <item x="164"/>
        <item x="482"/>
        <item x="132"/>
        <item x="911"/>
        <item x="81"/>
        <item x="703"/>
        <item x="135"/>
        <item x="521"/>
        <item x="674"/>
        <item x="899"/>
        <item x="1040"/>
        <item x="608"/>
        <item x="353"/>
        <item x="643"/>
        <item x="172"/>
        <item x="173"/>
        <item x="412"/>
        <item x="919"/>
        <item x="881"/>
        <item x="357"/>
        <item x="757"/>
        <item x="308"/>
        <item x="888"/>
        <item x="150"/>
        <item x="1005"/>
        <item x="770"/>
        <item x="730"/>
        <item x="978"/>
        <item x="268"/>
        <item x="878"/>
        <item x="955"/>
        <item x="146"/>
        <item x="912"/>
        <item x="211"/>
        <item x="547"/>
        <item x="169"/>
        <item x="717"/>
        <item x="161"/>
        <item x="237"/>
        <item x="758"/>
        <item x="676"/>
        <item x="756"/>
        <item x="455"/>
        <item x="736"/>
        <item x="789"/>
        <item x="365"/>
        <item x="96"/>
        <item x="603"/>
        <item x="514"/>
        <item x="762"/>
        <item x="147"/>
        <item x="918"/>
        <item x="715"/>
        <item x="371"/>
        <item x="413"/>
        <item x="909"/>
        <item x="645"/>
        <item x="0"/>
        <item x="8"/>
        <item x="898"/>
        <item x="454"/>
        <item x="167"/>
        <item x="69"/>
        <item x="492"/>
        <item x="57"/>
        <item x="58"/>
        <item x="148"/>
        <item x="968"/>
        <item x="76"/>
        <item x="816"/>
        <item x="979"/>
        <item x="605"/>
        <item x="451"/>
        <item x="711"/>
        <item x="962"/>
        <item x="224"/>
        <item x="823"/>
        <item x="251"/>
        <item x="716"/>
        <item x="427"/>
        <item x="974"/>
        <item x="857"/>
        <item x="699"/>
        <item x="230"/>
        <item x="491"/>
        <item x="916"/>
        <item x="201"/>
        <item x="239"/>
        <item x="695"/>
        <item x="513"/>
        <item x="77"/>
        <item x="149"/>
        <item x="252"/>
        <item x="92"/>
        <item x="369"/>
        <item x="306"/>
        <item x="702"/>
        <item x="298"/>
        <item x="428"/>
        <item x="106"/>
        <item x="963"/>
        <item x="549"/>
        <item x="847"/>
        <item x="893"/>
        <item x="663"/>
        <item x="450"/>
        <item x="877"/>
        <item x="910"/>
        <item x="231"/>
        <item x="65"/>
        <item x="511"/>
        <item x="426"/>
        <item x="850"/>
        <item x="241"/>
        <item x="429"/>
        <item x="883"/>
        <item x="489"/>
        <item x="700"/>
        <item x="218"/>
        <item x="701"/>
        <item x="733"/>
        <item x="815"/>
        <item x="830"/>
        <item x="765"/>
        <item x="273"/>
        <item x="517"/>
        <item x="956"/>
        <item x="209"/>
        <item x="753"/>
        <item x="418"/>
        <item x="723"/>
        <item x="550"/>
        <item x="431"/>
        <item x="672"/>
        <item x="520"/>
        <item x="136"/>
        <item x="368"/>
        <item x="612"/>
        <item x="831"/>
        <item x="718"/>
        <item x="354"/>
        <item x="240"/>
        <item x="671"/>
        <item x="735"/>
        <item x="604"/>
        <item x="88"/>
        <item x="885"/>
        <item x="764"/>
        <item x="347"/>
        <item x="279"/>
        <item x="677"/>
        <item x="848"/>
        <item x="917"/>
        <item x="350"/>
        <item x="913"/>
        <item x="854"/>
        <item x="272"/>
        <item x="117"/>
        <item x="669"/>
        <item x="856"/>
        <item x="70"/>
        <item x="156"/>
        <item x="158"/>
        <item x="721"/>
        <item x="210"/>
        <item x="417"/>
        <item x="522"/>
        <item x="894"/>
        <item x="107"/>
        <item x="644"/>
        <item x="213"/>
        <item x="116"/>
        <item x="855"/>
        <item x="1"/>
        <item x="690"/>
        <item x="39"/>
        <item x="299"/>
        <item x="130"/>
        <item x="548"/>
        <item x="7"/>
        <item x="432"/>
        <item x="5"/>
        <item x="216"/>
        <item x="424"/>
        <item x="901"/>
        <item x="54"/>
        <item x="691"/>
        <item x="64"/>
        <item x="696"/>
        <item x="248"/>
        <item x="722"/>
        <item x="849"/>
        <item x="975"/>
        <item x="754"/>
        <item x="40"/>
        <item x="355"/>
        <item x="551"/>
        <item x="358"/>
        <item x="238"/>
        <item x="704"/>
        <item x="53"/>
        <item x="102"/>
        <item x="543"/>
        <item x="490"/>
        <item x="508"/>
        <item x="639"/>
        <item x="782"/>
        <item x="731"/>
        <item x="767"/>
        <item x="4"/>
        <item x="838"/>
        <item x="155"/>
        <item x="900"/>
        <item x="494"/>
        <item x="609"/>
        <item x="712"/>
        <item x="519"/>
        <item x="46"/>
        <item x="719"/>
        <item x="969"/>
        <item x="763"/>
        <item x="613"/>
        <item x="858"/>
        <item x="480"/>
        <item x="59"/>
        <item x="611"/>
        <item x="523"/>
        <item x="425"/>
        <item x="844"/>
        <item x="635"/>
        <item x="837"/>
        <item x="452"/>
        <item x="853"/>
        <item x="970"/>
        <item x="456"/>
        <item x="89"/>
        <item x="274"/>
        <item x="244"/>
        <item x="683"/>
        <item x="269"/>
        <item x="410"/>
        <item x="110"/>
        <item x="217"/>
        <item x="879"/>
        <item x="614"/>
        <item x="366"/>
        <item x="47"/>
        <item x="634"/>
        <item x="884"/>
        <item x="977"/>
        <item x="544"/>
        <item x="348"/>
        <item x="976"/>
        <item x="768"/>
        <item x="886"/>
        <item x="103"/>
        <item x="280"/>
        <item x="697"/>
        <item x="235"/>
        <item x="684"/>
        <item x="705"/>
        <item x="501"/>
        <item x="610"/>
        <item x="486"/>
        <item x="606"/>
        <item x="859"/>
        <item x="907"/>
        <item x="495"/>
        <item x="670"/>
        <item x="159"/>
        <item x="724"/>
        <item x="641"/>
        <item x="74"/>
        <item x="880"/>
        <item x="760"/>
        <item x="460"/>
        <item x="887"/>
        <item x="640"/>
        <item x="222"/>
        <item x="502"/>
        <item x="137"/>
        <item x="509"/>
        <item x="845"/>
        <item x="411"/>
        <item x="154"/>
        <item x="144"/>
        <item x="131"/>
        <item x="698"/>
        <item x="221"/>
        <item x="518"/>
        <item x="642"/>
        <item x="236"/>
        <item x="915"/>
        <item x="851"/>
        <item x="153"/>
        <item x="453"/>
        <item x="607"/>
        <item x="908"/>
        <item x="488"/>
        <item x="247"/>
        <item x="109"/>
        <item x="67"/>
        <item x="165"/>
        <item x="246"/>
        <item x="276"/>
        <item x="515"/>
        <item x="228"/>
        <item x="166"/>
        <item x="62"/>
        <item x="914"/>
        <item x="359"/>
        <item x="481"/>
        <item x="138"/>
        <item x="457"/>
        <item x="487"/>
        <item x="249"/>
        <item x="151"/>
        <item x="459"/>
        <item x="761"/>
        <item x="207"/>
        <item x="75"/>
        <item x="277"/>
        <item x="68"/>
        <item x="63"/>
        <item x="229"/>
        <item x="516"/>
        <item x="250"/>
        <item x="852"/>
        <item x="208"/>
        <item x="270"/>
        <item x="145"/>
        <item x="242"/>
        <item x="275"/>
        <item x="245"/>
        <item x="152"/>
        <item x="214"/>
        <item x="108"/>
        <item x="271"/>
        <item x="215"/>
        <item x="278"/>
        <item x="60"/>
        <item x="458"/>
        <item x="243"/>
        <item x="61"/>
        <item x="1053"/>
        <item x="1052"/>
        <item t="default"/>
      </items>
    </pivotField>
    <pivotField dataField="1" showAll="0">
      <items count="1055">
        <item x="989"/>
        <item x="1018"/>
        <item x="329"/>
        <item x="864"/>
        <item x="597"/>
        <item x="598"/>
        <item x="951"/>
        <item x="927"/>
        <item x="331"/>
        <item x="953"/>
        <item x="328"/>
        <item x="988"/>
        <item x="1017"/>
        <item x="626"/>
        <item x="926"/>
        <item x="625"/>
        <item x="870"/>
        <item x="934"/>
        <item x="863"/>
        <item x="622"/>
        <item x="925"/>
        <item x="1016"/>
        <item x="808"/>
        <item x="932"/>
        <item x="952"/>
        <item x="332"/>
        <item x="1024"/>
        <item x="869"/>
        <item x="995"/>
        <item x="923"/>
        <item x="871"/>
        <item x="905"/>
        <item x="804"/>
        <item x="937"/>
        <item x="1025"/>
        <item x="801"/>
        <item x="176"/>
        <item x="330"/>
        <item x="800"/>
        <item x="1029"/>
        <item x="990"/>
        <item x="933"/>
        <item x="596"/>
        <item x="938"/>
        <item x="862"/>
        <item x="868"/>
        <item x="1023"/>
        <item x="983"/>
        <item x="997"/>
        <item x="939"/>
        <item x="967"/>
        <item x="930"/>
        <item x="652"/>
        <item x="924"/>
        <item x="807"/>
        <item x="629"/>
        <item x="948"/>
        <item x="470"/>
        <item x="333"/>
        <item x="659"/>
        <item x="653"/>
        <item x="327"/>
        <item x="591"/>
        <item x="630"/>
        <item x="947"/>
        <item x="994"/>
        <item x="805"/>
        <item x="444"/>
        <item x="631"/>
        <item x="982"/>
        <item x="986"/>
        <item x="931"/>
        <item x="941"/>
        <item x="993"/>
        <item x="867"/>
        <item x="996"/>
        <item x="1015"/>
        <item x="812"/>
        <item x="619"/>
        <item x="569"/>
        <item x="1014"/>
        <item x="402"/>
        <item x="590"/>
        <item x="987"/>
        <item x="326"/>
        <item x="324"/>
        <item x="437"/>
        <item x="1032"/>
        <item x="317"/>
        <item x="443"/>
        <item x="195"/>
        <item x="624"/>
        <item x="472"/>
        <item x="361"/>
        <item x="785"/>
        <item x="623"/>
        <item x="29"/>
        <item x="1028"/>
        <item x="325"/>
        <item x="442"/>
        <item x="828"/>
        <item x="944"/>
        <item x="811"/>
        <item x="1022"/>
        <item x="654"/>
        <item x="660"/>
        <item x="806"/>
        <item x="935"/>
        <item x="561"/>
        <item x="1021"/>
        <item x="1002"/>
        <item x="658"/>
        <item x="50"/>
        <item x="874"/>
        <item x="178"/>
        <item x="177"/>
        <item x="318"/>
        <item x="661"/>
        <item x="621"/>
        <item x="339"/>
        <item x="316"/>
        <item x="477"/>
        <item x="1004"/>
        <item x="204"/>
        <item x="773"/>
        <item x="576"/>
        <item x="650"/>
        <item x="476"/>
        <item x="651"/>
        <item x="945"/>
        <item x="1031"/>
        <item x="436"/>
        <item x="471"/>
        <item x="577"/>
        <item x="23"/>
        <item x="1003"/>
        <item x="745"/>
        <item x="601"/>
        <item x="818"/>
        <item x="647"/>
        <item x="861"/>
        <item x="657"/>
        <item x="286"/>
        <item x="940"/>
        <item x="479"/>
        <item x="395"/>
        <item x="559"/>
        <item x="575"/>
        <item x="920"/>
        <item x="602"/>
        <item x="875"/>
        <item x="181"/>
        <item x="1001"/>
        <item x="946"/>
        <item x="380"/>
        <item x="890"/>
        <item x="323"/>
        <item x="394"/>
        <item x="475"/>
        <item x="1035"/>
        <item x="780"/>
        <item x="950"/>
        <item x="752"/>
        <item x="646"/>
        <item x="1011"/>
        <item x="813"/>
        <item x="1019"/>
        <item x="435"/>
        <item x="540"/>
        <item x="1036"/>
        <item x="799"/>
        <item x="589"/>
        <item x="991"/>
        <item x="744"/>
        <item x="24"/>
        <item x="949"/>
        <item x="1030"/>
        <item x="31"/>
        <item x="387"/>
        <item x="727"/>
        <item x="560"/>
        <item x="1000"/>
        <item x="627"/>
        <item x="628"/>
        <item x="750"/>
        <item x="379"/>
        <item x="936"/>
        <item x="288"/>
        <item x="772"/>
        <item x="30"/>
        <item x="528"/>
        <item x="617"/>
        <item x="447"/>
        <item x="440"/>
        <item x="189"/>
        <item x="83"/>
        <item x="282"/>
        <item x="922"/>
        <item x="595"/>
        <item x="1046"/>
        <item x="310"/>
        <item x="388"/>
        <item x="188"/>
        <item x="778"/>
        <item x="262"/>
        <item x="304"/>
        <item x="821"/>
        <item x="527"/>
        <item x="928"/>
        <item x="738"/>
        <item x="865"/>
        <item x="570"/>
        <item x="255"/>
        <item x="984"/>
        <item x="338"/>
        <item x="1010"/>
        <item x="363"/>
        <item x="377"/>
        <item x="567"/>
        <item x="28"/>
        <item x="866"/>
        <item x="1052"/>
        <item x="556"/>
        <item x="314"/>
        <item x="618"/>
        <item x="261"/>
        <item x="588"/>
        <item x="20"/>
        <item x="405"/>
        <item x="802"/>
        <item x="196"/>
        <item x="809"/>
        <item x="563"/>
        <item x="568"/>
        <item x="321"/>
        <item x="315"/>
        <item x="526"/>
        <item x="281"/>
        <item x="797"/>
        <item x="693"/>
        <item x="465"/>
        <item x="265"/>
        <item x="594"/>
        <item x="921"/>
        <item x="771"/>
        <item x="803"/>
        <item x="535"/>
        <item x="52"/>
        <item x="784"/>
        <item x="384"/>
        <item x="776"/>
        <item x="985"/>
        <item x="726"/>
        <item x="584"/>
        <item x="344"/>
        <item x="254"/>
        <item x="1045"/>
        <item x="1012"/>
        <item x="340"/>
        <item x="219"/>
        <item x="84"/>
        <item x="587"/>
        <item x="583"/>
        <item x="15"/>
        <item x="374"/>
        <item x="393"/>
        <item x="599"/>
        <item x="199"/>
        <item x="468"/>
        <item x="191"/>
        <item x="566"/>
        <item x="391"/>
        <item x="334"/>
        <item x="827"/>
        <item x="303"/>
        <item x="441"/>
        <item x="381"/>
        <item x="942"/>
        <item x="582"/>
        <item x="531"/>
        <item x="448"/>
        <item x="1013"/>
        <item x="814"/>
        <item x="620"/>
        <item x="27"/>
        <item x="929"/>
        <item x="562"/>
        <item x="786"/>
        <item x="260"/>
        <item x="507"/>
        <item x="21"/>
        <item x="943"/>
        <item x="287"/>
        <item x="539"/>
        <item x="469"/>
        <item x="202"/>
        <item x="1050"/>
        <item x="581"/>
        <item x="401"/>
        <item x="17"/>
        <item x="1020"/>
        <item x="872"/>
        <item x="707"/>
        <item x="741"/>
        <item x="322"/>
        <item x="311"/>
        <item x="555"/>
        <item x="820"/>
        <item x="203"/>
        <item x="373"/>
        <item x="258"/>
        <item x="819"/>
        <item x="573"/>
        <item x="1009"/>
        <item x="337"/>
        <item x="534"/>
        <item x="420"/>
        <item x="403"/>
        <item x="538"/>
        <item x="748"/>
        <item x="873"/>
        <item x="1038"/>
        <item x="783"/>
        <item x="378"/>
        <item x="1026"/>
        <item x="302"/>
        <item x="810"/>
        <item x="293"/>
        <item x="2"/>
        <item x="1051"/>
        <item x="79"/>
        <item x="22"/>
        <item x="1039"/>
        <item x="992"/>
        <item x="266"/>
        <item x="592"/>
        <item x="679"/>
        <item x="749"/>
        <item x="574"/>
        <item x="182"/>
        <item x="78"/>
        <item x="580"/>
        <item x="185"/>
        <item x="309"/>
        <item x="343"/>
        <item x="290"/>
        <item x="385"/>
        <item x="125"/>
        <item x="737"/>
        <item x="743"/>
        <item x="206"/>
        <item x="1033"/>
        <item x="1049"/>
        <item x="13"/>
        <item x="128"/>
        <item x="335"/>
        <item x="129"/>
        <item x="392"/>
        <item x="1044"/>
        <item x="297"/>
        <item x="798"/>
        <item x="186"/>
        <item x="825"/>
        <item x="1027"/>
        <item x="115"/>
        <item x="445"/>
        <item x="296"/>
        <item x="194"/>
        <item x="533"/>
        <item x="406"/>
        <item x="16"/>
        <item x="336"/>
        <item x="283"/>
        <item x="294"/>
        <item x="739"/>
        <item x="386"/>
        <item x="220"/>
        <item x="9"/>
        <item x="295"/>
        <item x="464"/>
        <item x="421"/>
        <item x="192"/>
        <item x="473"/>
        <item x="184"/>
        <item x="38"/>
        <item x="1042"/>
        <item x="400"/>
        <item x="955"/>
        <item x="600"/>
        <item x="10"/>
        <item x="190"/>
        <item x="404"/>
        <item x="1043"/>
        <item x="525"/>
        <item x="114"/>
        <item x="655"/>
        <item x="197"/>
        <item x="51"/>
        <item x="656"/>
        <item x="777"/>
        <item x="267"/>
        <item x="126"/>
        <item x="1037"/>
        <item x="897"/>
        <item x="34"/>
        <item x="342"/>
        <item x="14"/>
        <item x="362"/>
        <item x="742"/>
        <item x="1034"/>
        <item x="1007"/>
        <item x="541"/>
        <item x="832"/>
        <item x="466"/>
        <item x="187"/>
        <item x="25"/>
        <item x="143"/>
        <item x="99"/>
        <item x="127"/>
        <item x="493"/>
        <item x="649"/>
        <item x="675"/>
        <item x="438"/>
        <item x="97"/>
        <item x="434"/>
        <item x="291"/>
        <item x="111"/>
        <item x="962"/>
        <item x="876"/>
        <item x="259"/>
        <item x="87"/>
        <item x="171"/>
        <item x="960"/>
        <item x="253"/>
        <item x="446"/>
        <item x="100"/>
        <item x="433"/>
        <item x="732"/>
        <item x="694"/>
        <item x="200"/>
        <item x="708"/>
        <item x="367"/>
        <item x="666"/>
        <item x="86"/>
        <item x="593"/>
        <item x="119"/>
        <item x="648"/>
        <item x="564"/>
        <item x="664"/>
        <item x="118"/>
        <item x="376"/>
        <item x="728"/>
        <item x="585"/>
        <item x="668"/>
        <item x="725"/>
        <item x="289"/>
        <item x="300"/>
        <item x="740"/>
        <item x="467"/>
        <item x="375"/>
        <item x="1008"/>
        <item x="179"/>
        <item x="85"/>
        <item x="904"/>
        <item x="124"/>
        <item x="968"/>
        <item x="557"/>
        <item x="665"/>
        <item x="961"/>
        <item x="36"/>
        <item x="474"/>
        <item x="774"/>
        <item x="958"/>
        <item x="790"/>
        <item x="120"/>
        <item x="571"/>
        <item x="193"/>
        <item x="826"/>
        <item x="98"/>
        <item x="285"/>
        <item x="794"/>
        <item x="998"/>
        <item x="565"/>
        <item x="18"/>
        <item x="834"/>
        <item x="835"/>
        <item x="966"/>
        <item x="841"/>
        <item x="56"/>
        <item x="94"/>
        <item x="896"/>
        <item x="263"/>
        <item x="174"/>
        <item x="999"/>
        <item x="32"/>
        <item x="586"/>
        <item x="364"/>
        <item x="536"/>
        <item x="449"/>
        <item x="312"/>
        <item x="48"/>
        <item x="396"/>
        <item x="710"/>
        <item x="632"/>
        <item x="822"/>
        <item x="175"/>
        <item x="746"/>
        <item x="902"/>
        <item x="43"/>
        <item x="678"/>
        <item x="478"/>
        <item x="35"/>
        <item x="360"/>
        <item x="301"/>
        <item x="55"/>
        <item x="180"/>
        <item x="45"/>
        <item x="11"/>
        <item x="41"/>
        <item x="833"/>
        <item x="974"/>
        <item x="12"/>
        <item x="895"/>
        <item x="781"/>
        <item x="572"/>
        <item x="965"/>
        <item x="892"/>
        <item x="554"/>
        <item x="680"/>
        <item x="558"/>
        <item x="532"/>
        <item x="419"/>
        <item x="795"/>
        <item x="709"/>
        <item x="307"/>
        <item x="256"/>
        <item x="19"/>
        <item x="319"/>
        <item x="461"/>
        <item x="409"/>
        <item x="505"/>
        <item x="407"/>
        <item x="414"/>
        <item x="860"/>
        <item x="903"/>
        <item x="529"/>
        <item x="439"/>
        <item x="578"/>
        <item x="775"/>
        <item x="121"/>
        <item x="1005"/>
        <item x="264"/>
        <item x="382"/>
        <item x="1047"/>
        <item x="26"/>
        <item x="416"/>
        <item x="49"/>
        <item x="93"/>
        <item x="796"/>
        <item x="682"/>
        <item x="399"/>
        <item x="42"/>
        <item x="341"/>
        <item x="954"/>
        <item x="906"/>
        <item x="1048"/>
        <item x="1040"/>
        <item x="313"/>
        <item x="123"/>
        <item x="430"/>
        <item x="134"/>
        <item x="389"/>
        <item x="689"/>
        <item x="840"/>
        <item x="791"/>
        <item x="90"/>
        <item x="500"/>
        <item x="352"/>
        <item x="688"/>
        <item x="817"/>
        <item x="681"/>
        <item x="390"/>
        <item x="537"/>
        <item x="787"/>
        <item x="638"/>
        <item x="305"/>
        <item x="972"/>
        <item x="755"/>
        <item x="981"/>
        <item x="292"/>
        <item x="198"/>
        <item x="82"/>
        <item x="112"/>
        <item x="552"/>
        <item x="423"/>
        <item x="687"/>
        <item x="44"/>
        <item x="232"/>
        <item x="234"/>
        <item x="720"/>
        <item x="779"/>
        <item x="692"/>
        <item x="633"/>
        <item x="66"/>
        <item x="959"/>
        <item x="257"/>
        <item x="73"/>
        <item x="345"/>
        <item x="973"/>
        <item x="104"/>
        <item x="415"/>
        <item x="284"/>
        <item x="829"/>
        <item x="346"/>
        <item x="836"/>
        <item x="80"/>
        <item x="891"/>
        <item x="383"/>
        <item x="408"/>
        <item x="205"/>
        <item x="183"/>
        <item x="139"/>
        <item x="793"/>
        <item x="398"/>
        <item x="667"/>
        <item x="233"/>
        <item x="839"/>
        <item x="729"/>
        <item x="140"/>
        <item x="122"/>
        <item x="546"/>
        <item x="615"/>
        <item x="320"/>
        <item x="747"/>
        <item x="530"/>
        <item x="463"/>
        <item x="33"/>
        <item x="506"/>
        <item x="579"/>
        <item x="842"/>
        <item x="499"/>
        <item x="496"/>
        <item x="734"/>
        <item x="351"/>
        <item x="714"/>
        <item x="163"/>
        <item x="751"/>
        <item x="510"/>
        <item x="843"/>
        <item x="792"/>
        <item x="6"/>
        <item x="788"/>
        <item x="101"/>
        <item x="882"/>
        <item x="553"/>
        <item x="685"/>
        <item x="227"/>
        <item x="769"/>
        <item x="636"/>
        <item x="91"/>
        <item x="113"/>
        <item x="95"/>
        <item x="141"/>
        <item x="889"/>
        <item x="1041"/>
        <item x="356"/>
        <item x="503"/>
        <item x="713"/>
        <item x="71"/>
        <item x="81"/>
        <item x="170"/>
        <item x="349"/>
        <item x="616"/>
        <item x="662"/>
        <item x="157"/>
        <item x="168"/>
        <item x="524"/>
        <item x="686"/>
        <item x="370"/>
        <item x="37"/>
        <item x="162"/>
        <item x="542"/>
        <item x="545"/>
        <item x="72"/>
        <item x="372"/>
        <item x="225"/>
        <item x="133"/>
        <item x="105"/>
        <item x="462"/>
        <item x="484"/>
        <item x="673"/>
        <item x="160"/>
        <item x="308"/>
        <item x="1006"/>
        <item x="846"/>
        <item x="3"/>
        <item x="223"/>
        <item x="397"/>
        <item x="483"/>
        <item x="142"/>
        <item x="226"/>
        <item x="172"/>
        <item x="824"/>
        <item x="212"/>
        <item x="173"/>
        <item x="164"/>
        <item x="498"/>
        <item x="899"/>
        <item x="766"/>
        <item x="485"/>
        <item x="422"/>
        <item x="789"/>
        <item x="357"/>
        <item x="706"/>
        <item x="759"/>
        <item x="482"/>
        <item x="504"/>
        <item x="96"/>
        <item x="497"/>
        <item x="512"/>
        <item x="150"/>
        <item x="132"/>
        <item x="521"/>
        <item x="637"/>
        <item x="881"/>
        <item x="412"/>
        <item x="911"/>
        <item x="146"/>
        <item x="135"/>
        <item x="237"/>
        <item x="888"/>
        <item x="703"/>
        <item x="919"/>
        <item x="608"/>
        <item x="161"/>
        <item x="956"/>
        <item x="674"/>
        <item x="211"/>
        <item x="770"/>
        <item x="169"/>
        <item x="353"/>
        <item x="757"/>
        <item x="979"/>
        <item x="816"/>
        <item x="878"/>
        <item x="268"/>
        <item x="676"/>
        <item x="147"/>
        <item x="547"/>
        <item x="730"/>
        <item x="57"/>
        <item x="58"/>
        <item x="912"/>
        <item x="8"/>
        <item x="0"/>
        <item x="717"/>
        <item x="758"/>
        <item x="643"/>
        <item x="76"/>
        <item x="167"/>
        <item x="69"/>
        <item x="514"/>
        <item x="148"/>
        <item x="756"/>
        <item x="736"/>
        <item x="413"/>
        <item x="455"/>
        <item x="365"/>
        <item x="918"/>
        <item x="715"/>
        <item x="711"/>
        <item x="898"/>
        <item x="762"/>
        <item x="92"/>
        <item x="371"/>
        <item x="969"/>
        <item x="909"/>
        <item x="963"/>
        <item x="224"/>
        <item x="298"/>
        <item x="492"/>
        <item x="980"/>
        <item x="306"/>
        <item x="454"/>
        <item x="823"/>
        <item x="603"/>
        <item x="230"/>
        <item x="723"/>
        <item x="451"/>
        <item x="975"/>
        <item x="77"/>
        <item x="716"/>
        <item x="491"/>
        <item x="427"/>
        <item x="605"/>
        <item x="149"/>
        <item x="645"/>
        <item x="857"/>
        <item x="201"/>
        <item x="106"/>
        <item x="815"/>
        <item x="239"/>
        <item x="251"/>
        <item x="893"/>
        <item x="916"/>
        <item x="964"/>
        <item x="513"/>
        <item x="663"/>
        <item x="231"/>
        <item x="695"/>
        <item x="549"/>
        <item x="65"/>
        <item x="369"/>
        <item x="428"/>
        <item x="877"/>
        <item x="702"/>
        <item x="88"/>
        <item x="252"/>
        <item x="218"/>
        <item x="847"/>
        <item x="489"/>
        <item x="699"/>
        <item x="883"/>
        <item x="910"/>
        <item x="511"/>
        <item x="450"/>
        <item x="426"/>
        <item x="850"/>
        <item x="209"/>
        <item x="429"/>
        <item x="765"/>
        <item x="117"/>
        <item x="957"/>
        <item x="672"/>
        <item x="418"/>
        <item x="273"/>
        <item x="700"/>
        <item x="550"/>
        <item x="517"/>
        <item x="733"/>
        <item x="701"/>
        <item x="241"/>
        <item x="671"/>
        <item x="136"/>
        <item x="520"/>
        <item x="431"/>
        <item x="830"/>
        <item x="116"/>
        <item x="612"/>
        <item x="299"/>
        <item x="753"/>
        <item x="368"/>
        <item x="885"/>
        <item x="764"/>
        <item x="718"/>
        <item x="156"/>
        <item x="669"/>
        <item x="70"/>
        <item x="831"/>
        <item x="354"/>
        <item x="735"/>
        <item x="158"/>
        <item x="347"/>
        <item x="279"/>
        <item x="107"/>
        <item x="848"/>
        <item x="917"/>
        <item x="240"/>
        <item x="272"/>
        <item x="350"/>
        <item x="210"/>
        <item x="854"/>
        <item x="856"/>
        <item x="913"/>
        <item x="677"/>
        <item x="1"/>
        <item x="604"/>
        <item x="213"/>
        <item x="417"/>
        <item x="894"/>
        <item x="721"/>
        <item x="7"/>
        <item x="39"/>
        <item x="5"/>
        <item x="522"/>
        <item x="216"/>
        <item x="855"/>
        <item x="54"/>
        <item x="53"/>
        <item x="238"/>
        <item x="64"/>
        <item x="548"/>
        <item x="424"/>
        <item x="130"/>
        <item x="102"/>
        <item x="358"/>
        <item x="901"/>
        <item x="690"/>
        <item x="40"/>
        <item x="432"/>
        <item x="976"/>
        <item x="4"/>
        <item x="551"/>
        <item x="490"/>
        <item x="644"/>
        <item x="849"/>
        <item x="722"/>
        <item x="691"/>
        <item x="543"/>
        <item x="155"/>
        <item x="900"/>
        <item x="46"/>
        <item x="767"/>
        <item x="838"/>
        <item x="782"/>
        <item x="704"/>
        <item x="754"/>
        <item x="355"/>
        <item x="508"/>
        <item x="248"/>
        <item x="89"/>
        <item x="731"/>
        <item x="696"/>
        <item x="494"/>
        <item x="970"/>
        <item x="712"/>
        <item x="519"/>
        <item x="609"/>
        <item x="719"/>
        <item x="480"/>
        <item x="858"/>
        <item x="724"/>
        <item x="59"/>
        <item x="613"/>
        <item x="639"/>
        <item x="110"/>
        <item x="763"/>
        <item x="837"/>
        <item x="611"/>
        <item x="47"/>
        <item x="425"/>
        <item x="523"/>
        <item x="217"/>
        <item x="971"/>
        <item x="844"/>
        <item x="853"/>
        <item x="410"/>
        <item x="269"/>
        <item x="103"/>
        <item x="235"/>
        <item x="274"/>
        <item x="452"/>
        <item x="879"/>
        <item x="456"/>
        <item x="683"/>
        <item x="978"/>
        <item x="884"/>
        <item x="544"/>
        <item x="614"/>
        <item x="977"/>
        <item x="768"/>
        <item x="886"/>
        <item x="635"/>
        <item x="366"/>
        <item x="244"/>
        <item x="348"/>
        <item x="280"/>
        <item x="486"/>
        <item x="74"/>
        <item x="159"/>
        <item x="501"/>
        <item x="705"/>
        <item x="684"/>
        <item x="634"/>
        <item x="859"/>
        <item x="610"/>
        <item x="495"/>
        <item x="880"/>
        <item x="907"/>
        <item x="222"/>
        <item x="887"/>
        <item x="606"/>
        <item x="670"/>
        <item x="697"/>
        <item x="460"/>
        <item x="760"/>
        <item x="137"/>
        <item x="154"/>
        <item x="502"/>
        <item x="641"/>
        <item x="144"/>
        <item x="509"/>
        <item x="411"/>
        <item x="845"/>
        <item x="221"/>
        <item x="640"/>
        <item x="236"/>
        <item x="131"/>
        <item x="153"/>
        <item x="518"/>
        <item x="109"/>
        <item x="67"/>
        <item x="165"/>
        <item x="851"/>
        <item x="915"/>
        <item x="228"/>
        <item x="166"/>
        <item x="62"/>
        <item x="359"/>
        <item x="488"/>
        <item x="698"/>
        <item x="908"/>
        <item x="453"/>
        <item x="607"/>
        <item x="276"/>
        <item x="515"/>
        <item x="642"/>
        <item x="247"/>
        <item x="914"/>
        <item x="151"/>
        <item x="246"/>
        <item x="487"/>
        <item x="138"/>
        <item x="75"/>
        <item x="481"/>
        <item x="207"/>
        <item x="68"/>
        <item x="457"/>
        <item x="459"/>
        <item x="63"/>
        <item x="277"/>
        <item x="249"/>
        <item x="761"/>
        <item x="229"/>
        <item x="208"/>
        <item x="516"/>
        <item x="852"/>
        <item x="145"/>
        <item x="250"/>
        <item x="270"/>
        <item x="152"/>
        <item x="108"/>
        <item x="214"/>
        <item x="275"/>
        <item x="215"/>
        <item x="242"/>
        <item x="271"/>
        <item x="245"/>
        <item x="60"/>
        <item x="278"/>
        <item x="458"/>
        <item x="243"/>
        <item x="61"/>
        <item x="1053"/>
        <item t="default"/>
      </items>
    </pivotField>
    <pivotField showAll="0">
      <items count="991">
        <item x="936"/>
        <item x="960"/>
        <item x="580"/>
        <item x="326"/>
        <item x="581"/>
        <item x="826"/>
        <item x="328"/>
        <item x="903"/>
        <item x="882"/>
        <item x="905"/>
        <item x="325"/>
        <item x="935"/>
        <item x="607"/>
        <item x="959"/>
        <item x="606"/>
        <item x="881"/>
        <item x="778"/>
        <item x="830"/>
        <item x="603"/>
        <item x="825"/>
        <item x="887"/>
        <item x="880"/>
        <item x="965"/>
        <item x="329"/>
        <item x="774"/>
        <item x="772"/>
        <item x="958"/>
        <item x="904"/>
        <item x="886"/>
        <item x="966"/>
        <item x="771"/>
        <item x="579"/>
        <item x="829"/>
        <item x="831"/>
        <item x="942"/>
        <item x="878"/>
        <item x="862"/>
        <item x="964"/>
        <item x="327"/>
        <item x="890"/>
        <item x="462"/>
        <item x="777"/>
        <item x="937"/>
        <item x="824"/>
        <item x="632"/>
        <item x="828"/>
        <item x="891"/>
        <item x="931"/>
        <item x="576"/>
        <item x="944"/>
        <item x="892"/>
        <item x="176"/>
        <item x="437"/>
        <item x="639"/>
        <item x="633"/>
        <item x="775"/>
        <item x="610"/>
        <item x="879"/>
        <item x="330"/>
        <item x="901"/>
        <item x="324"/>
        <item x="611"/>
        <item x="554"/>
        <item x="781"/>
        <item x="900"/>
        <item x="941"/>
        <item x="430"/>
        <item x="357"/>
        <item x="575"/>
        <item x="436"/>
        <item x="464"/>
        <item x="930"/>
        <item x="934"/>
        <item x="827"/>
        <item x="885"/>
        <item x="435"/>
        <item x="600"/>
        <item x="894"/>
        <item x="940"/>
        <item x="943"/>
        <item x="971"/>
        <item x="957"/>
        <item x="969"/>
        <item x="323"/>
        <item x="956"/>
        <item x="321"/>
        <item x="605"/>
        <item x="758"/>
        <item x="796"/>
        <item x="780"/>
        <item x="547"/>
        <item x="314"/>
        <item x="776"/>
        <item x="604"/>
        <item x="963"/>
        <item x="962"/>
        <item x="468"/>
        <item x="634"/>
        <item x="322"/>
        <item x="467"/>
        <item x="335"/>
        <item x="561"/>
        <item x="429"/>
        <item x="390"/>
        <item x="463"/>
        <item x="638"/>
        <item x="897"/>
        <item x="193"/>
        <item x="562"/>
        <item x="470"/>
        <item x="375"/>
        <item x="888"/>
        <item x="389"/>
        <item x="630"/>
        <item x="946"/>
        <item x="631"/>
        <item x="315"/>
        <item x="545"/>
        <item x="602"/>
        <item x="560"/>
        <item x="29"/>
        <item x="313"/>
        <item x="719"/>
        <item x="627"/>
        <item x="637"/>
        <item x="428"/>
        <item x="382"/>
        <item x="583"/>
        <item x="948"/>
        <item x="526"/>
        <item x="898"/>
        <item x="574"/>
        <item x="374"/>
        <item x="782"/>
        <item x="770"/>
        <item x="823"/>
        <item x="947"/>
        <item x="973"/>
        <item x="178"/>
        <item x="177"/>
        <item x="546"/>
        <item x="893"/>
        <item x="383"/>
        <item x="202"/>
        <item x="626"/>
        <item x="439"/>
        <item x="50"/>
        <item x="726"/>
        <item x="433"/>
        <item x="974"/>
        <item x="515"/>
        <item x="718"/>
        <item x="970"/>
        <item x="875"/>
        <item x="753"/>
        <item x="283"/>
        <item x="320"/>
        <item x="983"/>
        <item x="945"/>
        <item x="847"/>
        <item x="359"/>
        <item x="899"/>
        <item x="372"/>
        <item x="701"/>
        <item x="514"/>
        <item x="902"/>
        <item x="23"/>
        <item x="724"/>
        <item x="938"/>
        <item x="555"/>
        <item x="954"/>
        <item x="789"/>
        <item x="608"/>
        <item x="988"/>
        <item x="609"/>
        <item x="180"/>
        <item x="399"/>
        <item x="334"/>
        <item x="552"/>
        <item x="542"/>
        <item x="712"/>
        <item x="598"/>
        <item x="573"/>
        <item x="457"/>
        <item x="379"/>
        <item x="746"/>
        <item x="513"/>
        <item x="889"/>
        <item x="751"/>
        <item x="553"/>
        <item x="307"/>
        <item x="549"/>
        <item x="773"/>
        <item x="340"/>
        <item x="578"/>
        <item x="369"/>
        <item x="388"/>
        <item x="877"/>
        <item x="24"/>
        <item x="521"/>
        <item x="768"/>
        <item x="31"/>
        <item x="285"/>
        <item x="386"/>
        <item x="301"/>
        <item x="982"/>
        <item x="883"/>
        <item x="336"/>
        <item x="932"/>
        <item x="376"/>
        <item x="569"/>
        <item x="280"/>
        <item x="460"/>
        <item x="670"/>
        <item x="572"/>
        <item x="568"/>
        <item x="953"/>
        <item x="434"/>
        <item x="599"/>
        <item x="187"/>
        <item x="311"/>
        <item x="30"/>
        <item x="440"/>
        <item x="260"/>
        <item x="518"/>
        <item x="186"/>
        <item x="83"/>
        <item x="396"/>
        <item x="582"/>
        <item x="567"/>
        <item x="494"/>
        <item x="700"/>
        <item x="312"/>
        <item x="318"/>
        <item x="461"/>
        <item x="368"/>
        <item x="253"/>
        <item x="757"/>
        <item x="525"/>
        <item x="795"/>
        <item x="548"/>
        <item x="745"/>
        <item x="373"/>
        <item x="783"/>
        <item x="331"/>
        <item x="876"/>
        <item x="566"/>
        <item x="397"/>
        <item x="749"/>
        <item x="259"/>
        <item x="933"/>
        <item x="558"/>
        <item x="541"/>
        <item x="28"/>
        <item x="520"/>
        <item x="279"/>
        <item x="524"/>
        <item x="961"/>
        <item x="413"/>
        <item x="194"/>
        <item x="788"/>
        <item x="263"/>
        <item x="787"/>
        <item x="333"/>
        <item x="20"/>
        <item x="987"/>
        <item x="380"/>
        <item x="601"/>
        <item x="683"/>
        <item x="715"/>
        <item x="779"/>
        <item x="759"/>
        <item x="339"/>
        <item x="895"/>
        <item x="387"/>
        <item x="300"/>
        <item x="559"/>
        <item x="252"/>
        <item x="967"/>
        <item x="722"/>
        <item x="565"/>
        <item x="884"/>
        <item x="896"/>
        <item x="986"/>
        <item x="955"/>
        <item x="976"/>
        <item x="319"/>
        <item x="832"/>
        <item x="217"/>
        <item x="197"/>
        <item x="756"/>
        <item x="308"/>
        <item x="52"/>
        <item x="84"/>
        <item x="189"/>
        <item x="657"/>
        <item x="981"/>
        <item x="15"/>
        <item x="438"/>
        <item x="723"/>
        <item x="284"/>
        <item x="833"/>
        <item x="258"/>
        <item x="381"/>
        <item x="400"/>
        <item x="519"/>
        <item x="952"/>
        <item x="711"/>
        <item x="769"/>
        <item x="717"/>
        <item x="27"/>
        <item x="200"/>
        <item x="299"/>
        <item x="21"/>
        <item x="793"/>
        <item x="456"/>
        <item x="256"/>
        <item x="290"/>
        <item x="968"/>
        <item x="201"/>
        <item x="395"/>
        <item x="939"/>
        <item x="465"/>
        <item x="17"/>
        <item x="332"/>
        <item x="306"/>
        <item x="414"/>
        <item x="979"/>
        <item x="398"/>
        <item x="287"/>
        <item x="264"/>
        <item x="713"/>
        <item x="512"/>
        <item x="980"/>
        <item x="79"/>
        <item x="22"/>
        <item x="125"/>
        <item x="294"/>
        <item x="183"/>
        <item x="181"/>
        <item x="358"/>
        <item x="128"/>
        <item x="2"/>
        <item x="129"/>
        <item x="293"/>
        <item x="78"/>
        <item x="338"/>
        <item x="204"/>
        <item x="458"/>
        <item x="291"/>
        <item x="13"/>
        <item x="184"/>
        <item x="115"/>
        <item x="635"/>
        <item x="292"/>
        <item x="527"/>
        <item x="636"/>
        <item x="192"/>
        <item x="482"/>
        <item x="431"/>
        <item x="427"/>
        <item x="907"/>
        <item x="16"/>
        <item x="363"/>
        <item x="972"/>
        <item x="371"/>
        <item x="750"/>
        <item x="218"/>
        <item x="716"/>
        <item x="799"/>
        <item x="426"/>
        <item x="190"/>
        <item x="975"/>
        <item x="9"/>
        <item x="370"/>
        <item x="38"/>
        <item x="653"/>
        <item x="629"/>
        <item x="854"/>
        <item x="577"/>
        <item x="550"/>
        <item x="459"/>
        <item x="570"/>
        <item x="188"/>
        <item x="114"/>
        <item x="265"/>
        <item x="195"/>
        <item x="126"/>
        <item x="10"/>
        <item x="671"/>
        <item x="466"/>
        <item x="950"/>
        <item x="644"/>
        <item x="706"/>
        <item x="684"/>
        <item x="543"/>
        <item x="628"/>
        <item x="642"/>
        <item x="834"/>
        <item x="646"/>
        <item x="702"/>
        <item x="912"/>
        <item x="360"/>
        <item x="699"/>
        <item x="556"/>
        <item x="391"/>
        <item x="714"/>
        <item x="51"/>
        <item x="288"/>
        <item x="910"/>
        <item x="441"/>
        <item x="34"/>
        <item x="551"/>
        <item x="127"/>
        <item x="356"/>
        <item x="794"/>
        <item x="643"/>
        <item x="185"/>
        <item x="765"/>
        <item x="14"/>
        <item x="522"/>
        <item x="571"/>
        <item x="99"/>
        <item x="143"/>
        <item x="25"/>
        <item x="111"/>
        <item x="257"/>
        <item x="469"/>
        <item x="97"/>
        <item x="762"/>
        <item x="297"/>
        <item x="251"/>
        <item x="800"/>
        <item x="861"/>
        <item x="801"/>
        <item x="911"/>
        <item x="951"/>
        <item x="747"/>
        <item x="87"/>
        <item x="286"/>
        <item x="917"/>
        <item x="790"/>
        <item x="198"/>
        <item x="100"/>
        <item x="557"/>
        <item x="119"/>
        <item x="171"/>
        <item x="453"/>
        <item x="118"/>
        <item x="540"/>
        <item x="544"/>
        <item x="806"/>
        <item x="412"/>
        <item x="686"/>
        <item x="377"/>
        <item x="492"/>
        <item x="656"/>
        <item x="720"/>
        <item x="432"/>
        <item x="766"/>
        <item x="86"/>
        <item x="916"/>
        <item x="403"/>
        <item x="401"/>
        <item x="394"/>
        <item x="516"/>
        <item x="124"/>
        <item x="853"/>
        <item x="408"/>
        <item x="309"/>
        <item x="612"/>
        <item x="563"/>
        <item x="658"/>
        <item x="984"/>
        <item x="384"/>
        <item x="282"/>
        <item x="179"/>
        <item x="337"/>
        <item x="120"/>
        <item x="36"/>
        <item x="685"/>
        <item x="85"/>
        <item x="191"/>
        <item x="409"/>
        <item x="859"/>
        <item x="754"/>
        <item x="985"/>
        <item x="98"/>
        <item x="385"/>
        <item x="423"/>
        <item x="348"/>
        <item x="767"/>
        <item x="261"/>
        <item x="923"/>
        <item x="977"/>
        <item x="852"/>
        <item x="298"/>
        <item x="488"/>
        <item x="849"/>
        <item x="915"/>
        <item x="18"/>
        <item x="316"/>
        <item x="94"/>
        <item x="660"/>
        <item x="174"/>
        <item x="523"/>
        <item x="32"/>
        <item x="304"/>
        <item x="822"/>
        <item x="341"/>
        <item x="860"/>
        <item x="786"/>
        <item x="748"/>
        <item x="56"/>
        <item x="48"/>
        <item x="175"/>
        <item x="378"/>
        <item x="538"/>
        <item x="666"/>
        <item x="342"/>
        <item x="41"/>
        <item x="393"/>
        <item x="416"/>
        <item x="43"/>
        <item x="35"/>
        <item x="665"/>
        <item x="659"/>
        <item x="254"/>
        <item x="11"/>
        <item x="45"/>
        <item x="310"/>
        <item x="55"/>
        <item x="906"/>
        <item x="618"/>
        <item x="805"/>
        <item x="12"/>
        <item x="402"/>
        <item x="863"/>
        <item x="347"/>
        <item x="664"/>
        <item x="669"/>
        <item x="455"/>
        <item x="729"/>
        <item x="695"/>
        <item x="262"/>
        <item x="532"/>
        <item x="19"/>
        <item x="493"/>
        <item x="121"/>
        <item x="517"/>
        <item x="485"/>
        <item x="797"/>
        <item x="764"/>
        <item x="564"/>
        <item x="497"/>
        <item x="613"/>
        <item x="134"/>
        <item x="921"/>
        <item x="929"/>
        <item x="752"/>
        <item x="645"/>
        <item x="302"/>
        <item x="352"/>
        <item x="26"/>
        <item x="42"/>
        <item x="93"/>
        <item x="123"/>
        <item x="703"/>
        <item x="539"/>
        <item x="289"/>
        <item x="365"/>
        <item x="345"/>
        <item x="49"/>
        <item x="721"/>
        <item x="922"/>
        <item x="804"/>
        <item x="708"/>
        <item x="490"/>
        <item x="367"/>
        <item x="689"/>
        <item x="763"/>
        <item x="978"/>
        <item x="511"/>
        <item x="848"/>
        <item x="725"/>
        <item x="90"/>
        <item x="596"/>
        <item x="317"/>
        <item x="663"/>
        <item x="196"/>
        <item x="112"/>
        <item x="454"/>
        <item x="807"/>
        <item x="392"/>
        <item x="528"/>
        <item x="281"/>
        <item x="616"/>
        <item x="255"/>
        <item x="531"/>
        <item x="232"/>
        <item x="760"/>
        <item x="82"/>
        <item x="230"/>
        <item x="104"/>
        <item x="353"/>
        <item x="44"/>
        <item x="640"/>
        <item x="839"/>
        <item x="73"/>
        <item x="66"/>
        <item x="743"/>
        <item x="203"/>
        <item x="487"/>
        <item x="122"/>
        <item x="139"/>
        <item x="182"/>
        <item x="80"/>
        <item x="474"/>
        <item x="231"/>
        <item x="473"/>
        <item x="846"/>
        <item x="140"/>
        <item x="491"/>
        <item x="651"/>
        <item x="597"/>
        <item x="415"/>
        <item x="486"/>
        <item x="792"/>
        <item x="499"/>
        <item x="349"/>
        <item x="33"/>
        <item x="508"/>
        <item x="101"/>
        <item x="406"/>
        <item x="163"/>
        <item x="810"/>
        <item x="113"/>
        <item x="225"/>
        <item x="682"/>
        <item x="6"/>
        <item x="141"/>
        <item x="95"/>
        <item x="305"/>
        <item x="91"/>
        <item x="361"/>
        <item x="761"/>
        <item x="533"/>
        <item x="949"/>
        <item x="785"/>
        <item x="133"/>
        <item x="447"/>
        <item x="366"/>
        <item x="617"/>
        <item x="733"/>
        <item x="652"/>
        <item x="679"/>
        <item x="81"/>
        <item x="71"/>
        <item x="856"/>
        <item x="170"/>
        <item x="740"/>
        <item x="37"/>
        <item x="501"/>
        <item x="157"/>
        <item x="168"/>
        <item x="105"/>
        <item x="654"/>
        <item x="407"/>
        <item x="162"/>
        <item x="223"/>
        <item x="72"/>
        <item x="589"/>
        <item x="446"/>
        <item x="704"/>
        <item x="481"/>
        <item x="731"/>
        <item x="845"/>
        <item x="221"/>
        <item x="160"/>
        <item x="692"/>
        <item x="142"/>
        <item x="443"/>
        <item x="908"/>
        <item x="623"/>
        <item x="744"/>
        <item x="224"/>
        <item x="874"/>
        <item x="210"/>
        <item x="172"/>
        <item x="836"/>
        <item x="710"/>
        <item x="173"/>
        <item x="132"/>
        <item x="3"/>
        <item x="480"/>
        <item x="690"/>
        <item x="420"/>
        <item x="687"/>
        <item x="164"/>
        <item x="135"/>
        <item x="732"/>
        <item x="730"/>
        <item x="791"/>
        <item x="96"/>
        <item x="868"/>
        <item x="584"/>
        <item x="364"/>
        <item x="235"/>
        <item x="150"/>
        <item x="500"/>
        <item x="266"/>
        <item x="146"/>
        <item x="736"/>
        <item x="697"/>
        <item x="855"/>
        <item x="209"/>
        <item x="873"/>
        <item x="691"/>
        <item x="784"/>
        <item x="161"/>
        <item x="421"/>
        <item x="169"/>
        <item x="625"/>
        <item x="535"/>
        <item x="866"/>
        <item x="913"/>
        <item x="918"/>
        <item x="586"/>
        <item x="928"/>
        <item x="442"/>
        <item x="478"/>
        <item x="303"/>
        <item x="147"/>
        <item x="295"/>
        <item x="498"/>
        <item x="419"/>
        <item x="0"/>
        <item x="422"/>
        <item x="641"/>
        <item x="8"/>
        <item x="924"/>
        <item x="672"/>
        <item x="58"/>
        <item x="57"/>
        <item x="76"/>
        <item x="167"/>
        <item x="504"/>
        <item x="69"/>
        <item x="148"/>
        <item x="678"/>
        <item x="411"/>
        <item x="536"/>
        <item x="424"/>
        <item x="675"/>
        <item x="350"/>
        <item x="507"/>
        <item x="92"/>
        <item x="222"/>
        <item x="850"/>
        <item x="914"/>
        <item x="343"/>
        <item x="650"/>
        <item x="346"/>
        <item x="811"/>
        <item x="228"/>
        <item x="835"/>
        <item x="676"/>
        <item x="649"/>
        <item x="677"/>
        <item x="707"/>
        <item x="199"/>
        <item x="77"/>
        <item x="106"/>
        <item x="814"/>
        <item x="840"/>
        <item x="149"/>
        <item x="867"/>
        <item x="237"/>
        <item x="249"/>
        <item x="739"/>
        <item x="647"/>
        <item x="798"/>
        <item x="693"/>
        <item x="410"/>
        <item x="909"/>
        <item x="509"/>
        <item x="354"/>
        <item x="727"/>
        <item x="709"/>
        <item x="229"/>
        <item x="593"/>
        <item x="250"/>
        <item x="655"/>
        <item x="585"/>
        <item x="65"/>
        <item x="534"/>
        <item x="216"/>
        <item x="738"/>
        <item x="842"/>
        <item x="425"/>
        <item x="88"/>
        <item x="271"/>
        <item x="417"/>
        <item x="696"/>
        <item x="207"/>
        <item x="117"/>
        <item x="812"/>
        <item x="296"/>
        <item x="351"/>
        <item x="479"/>
        <item x="818"/>
        <item x="537"/>
        <item x="239"/>
        <item x="136"/>
        <item x="872"/>
        <item x="529"/>
        <item x="869"/>
        <item x="495"/>
        <item x="116"/>
        <item x="667"/>
        <item x="851"/>
        <item x="277"/>
        <item x="819"/>
        <item x="270"/>
        <item x="483"/>
        <item x="668"/>
        <item x="107"/>
        <item x="624"/>
        <item x="506"/>
        <item x="471"/>
        <item x="156"/>
        <item x="238"/>
        <item x="70"/>
        <item x="158"/>
        <item x="858"/>
        <item x="208"/>
        <item x="680"/>
        <item x="211"/>
        <item x="813"/>
        <item x="925"/>
        <item x="728"/>
        <item x="510"/>
        <item x="755"/>
        <item x="705"/>
        <item x="1"/>
        <item x="673"/>
        <item x="39"/>
        <item x="418"/>
        <item x="803"/>
        <item x="130"/>
        <item x="857"/>
        <item x="444"/>
        <item x="448"/>
        <item x="688"/>
        <item x="7"/>
        <item x="362"/>
        <item x="5"/>
        <item x="214"/>
        <item x="694"/>
        <item x="236"/>
        <item x="741"/>
        <item x="404"/>
        <item x="698"/>
        <item x="102"/>
        <item x="344"/>
        <item x="619"/>
        <item x="590"/>
        <item x="40"/>
        <item x="530"/>
        <item x="54"/>
        <item x="64"/>
        <item x="53"/>
        <item x="919"/>
        <item x="594"/>
        <item x="820"/>
        <item x="475"/>
        <item x="802"/>
        <item x="4"/>
        <item x="592"/>
        <item x="737"/>
        <item x="246"/>
        <item x="661"/>
        <item x="155"/>
        <item x="808"/>
        <item x="484"/>
        <item x="46"/>
        <item x="817"/>
        <item x="920"/>
        <item x="89"/>
        <item x="615"/>
        <item x="452"/>
        <item x="837"/>
        <item x="595"/>
        <item x="681"/>
        <item x="841"/>
        <item x="662"/>
        <item x="927"/>
        <item x="110"/>
        <item x="926"/>
        <item x="742"/>
        <item x="843"/>
        <item x="489"/>
        <item x="614"/>
        <item x="272"/>
        <item x="267"/>
        <item x="59"/>
        <item x="496"/>
        <item x="648"/>
        <item x="215"/>
        <item x="405"/>
        <item x="103"/>
        <item x="591"/>
        <item x="233"/>
        <item x="587"/>
        <item x="47"/>
        <item x="821"/>
        <item x="278"/>
        <item x="838"/>
        <item x="242"/>
        <item x="864"/>
        <item x="505"/>
        <item x="844"/>
        <item x="621"/>
        <item x="355"/>
        <item x="734"/>
        <item x="620"/>
        <item x="74"/>
        <item x="445"/>
        <item x="477"/>
        <item x="159"/>
        <item x="809"/>
        <item x="502"/>
        <item x="220"/>
        <item x="476"/>
        <item x="137"/>
        <item x="674"/>
        <item x="472"/>
        <item x="449"/>
        <item x="154"/>
        <item x="131"/>
        <item x="815"/>
        <item x="144"/>
        <item x="588"/>
        <item x="451"/>
        <item x="622"/>
        <item x="219"/>
        <item x="871"/>
        <item x="234"/>
        <item x="865"/>
        <item x="109"/>
        <item x="153"/>
        <item x="870"/>
        <item x="503"/>
        <item x="274"/>
        <item x="67"/>
        <item x="165"/>
        <item x="226"/>
        <item x="166"/>
        <item x="62"/>
        <item x="245"/>
        <item x="244"/>
        <item x="735"/>
        <item x="138"/>
        <item x="151"/>
        <item x="205"/>
        <item x="75"/>
        <item x="275"/>
        <item x="68"/>
        <item x="816"/>
        <item x="247"/>
        <item x="227"/>
        <item x="63"/>
        <item x="206"/>
        <item x="248"/>
        <item x="268"/>
        <item x="273"/>
        <item x="145"/>
        <item x="108"/>
        <item x="152"/>
        <item x="212"/>
        <item x="450"/>
        <item x="269"/>
        <item x="240"/>
        <item x="243"/>
        <item x="213"/>
        <item x="276"/>
        <item x="60"/>
        <item x="241"/>
        <item x="61"/>
        <item x="989"/>
        <item t="default"/>
      </items>
    </pivotField>
    <pivotField showAll="0"/>
    <pivotField showAll="0"/>
    <pivotField showAll="0"/>
    <pivotField showAll="0"/>
    <pivotField showAll="0">
      <items count="15">
        <item h="1" sd="0" x="0"/>
        <item sd="0" x="1"/>
        <item sd="0" x="2"/>
        <item sd="0" x="3"/>
        <item sd="0" x="4"/>
        <item sd="0" x="5"/>
        <item sd="0" x="6"/>
        <item sd="0" x="7"/>
        <item sd="0" x="8"/>
        <item sd="0" x="9"/>
        <item sd="0" x="10"/>
        <item sd="0" x="11"/>
        <item sd="0" x="12"/>
        <item sd="0" x="13"/>
        <item t="default"/>
      </items>
    </pivotField>
    <pivotField axis="axisPage" showAll="0">
      <items count="7">
        <item sd="0" x="0"/>
        <item sd="0" x="1"/>
        <item sd="0" x="2"/>
        <item sd="0" x="3"/>
        <item sd="0" x="4"/>
        <item sd="0" x="5"/>
        <item t="default"/>
      </items>
    </pivotField>
    <pivotField axis="axisRow" showAll="0">
      <items count="7">
        <item h="1" sd="0" x="0"/>
        <item sd="0" x="1"/>
        <item sd="0" x="2"/>
        <item sd="0" x="3"/>
        <item sd="0" x="4"/>
        <item sd="0" x="5"/>
        <item t="default"/>
      </items>
    </pivotField>
  </pivotFields>
  <rowFields count="1">
    <field x="10"/>
  </rowFields>
  <rowItems count="5">
    <i>
      <x v="1"/>
    </i>
    <i>
      <x v="2"/>
    </i>
    <i>
      <x v="3"/>
    </i>
    <i>
      <x v="4"/>
    </i>
    <i t="grand">
      <x/>
    </i>
  </rowItems>
  <colFields count="1">
    <field x="-2"/>
  </colFields>
  <colItems count="2">
    <i>
      <x/>
    </i>
    <i i="1">
      <x v="1"/>
    </i>
  </colItems>
  <pageFields count="1">
    <pageField fld="9" hier="-1"/>
  </pageFields>
  <dataFields count="2">
    <dataField name="Sum of Cost Of Sales" fld="2" baseField="0" baseItem="0"/>
    <dataField name="Sum of Sales" fld="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EF1E97C-A382-48F2-A9CA-9B268E380A27}" name="PivotTable7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056" firstHeaderRow="1" firstDataRow="1" firstDataCol="1"/>
  <pivotFields count="2">
    <pivotField axis="axisRow" showAll="0" sortType="descending">
      <items count="1053">
        <item x="1051"/>
        <item x="1050"/>
        <item x="1023"/>
        <item x="1044"/>
        <item x="1048"/>
        <item x="1046"/>
        <item x="1042"/>
        <item x="1047"/>
        <item x="1045"/>
        <item x="1021"/>
        <item x="1049"/>
        <item x="332"/>
        <item x="1022"/>
        <item x="1019"/>
        <item x="1043"/>
        <item x="1020"/>
        <item x="1018"/>
        <item x="1017"/>
        <item x="331"/>
        <item x="1038"/>
        <item x="1040"/>
        <item x="1027"/>
        <item x="1041"/>
        <item x="1039"/>
        <item x="1026"/>
        <item x="1036"/>
        <item x="1035"/>
        <item x="333"/>
        <item x="1037"/>
        <item x="334"/>
        <item x="1031"/>
        <item x="1025"/>
        <item x="1028"/>
        <item x="1034"/>
        <item x="1033"/>
        <item x="1029"/>
        <item x="1032"/>
        <item x="1024"/>
        <item x="1030"/>
        <item x="335"/>
        <item x="328"/>
        <item x="327"/>
        <item x="336"/>
        <item x="326"/>
        <item x="863"/>
        <item x="923"/>
        <item x="927"/>
        <item x="804"/>
        <item x="932"/>
        <item x="944"/>
        <item x="937"/>
        <item x="939"/>
        <item x="828"/>
        <item x="945"/>
        <item x="867"/>
        <item x="868"/>
        <item x="982"/>
        <item x="875"/>
        <item x="981"/>
        <item x="948"/>
        <item x="933"/>
        <item x="925"/>
        <item x="920"/>
        <item x="928"/>
        <item x="966"/>
        <item x="865"/>
        <item x="940"/>
        <item x="941"/>
        <item x="949"/>
        <item x="538"/>
        <item x="872"/>
        <item x="922"/>
        <item x="866"/>
        <item x="952"/>
        <item x="870"/>
        <item x="805"/>
        <item x="943"/>
        <item x="811"/>
        <item x="936"/>
        <item x="951"/>
        <item x="531"/>
        <item x="926"/>
        <item x="874"/>
        <item x="479"/>
        <item x="921"/>
        <item x="942"/>
        <item x="931"/>
        <item x="873"/>
        <item x="864"/>
        <item x="935"/>
        <item x="929"/>
        <item x="934"/>
        <item x="890"/>
        <item x="924"/>
        <item x="871"/>
        <item x="526"/>
        <item x="861"/>
        <item x="862"/>
        <item x="950"/>
        <item x="946"/>
        <item x="507"/>
        <item x="869"/>
        <item x="529"/>
        <item x="802"/>
        <item x="938"/>
        <item x="947"/>
        <item x="930"/>
        <item x="905"/>
        <item x="537"/>
        <item x="808"/>
        <item x="803"/>
        <item x="806"/>
        <item x="536"/>
        <item x="477"/>
        <item x="530"/>
        <item x="775"/>
        <item x="527"/>
        <item x="532"/>
        <item x="812"/>
        <item x="539"/>
        <item x="525"/>
        <item x="784"/>
        <item x="774"/>
        <item x="776"/>
        <item x="807"/>
        <item x="540"/>
        <item x="534"/>
        <item x="528"/>
        <item x="778"/>
        <item x="783"/>
        <item x="772"/>
        <item x="535"/>
        <item x="810"/>
        <item x="800"/>
        <item x="773"/>
        <item x="777"/>
        <item x="781"/>
        <item x="801"/>
        <item x="785"/>
        <item x="780"/>
        <item x="533"/>
        <item x="809"/>
        <item x="475"/>
        <item x="476"/>
        <item x="329"/>
        <item x="813"/>
        <item x="474"/>
        <item x="330"/>
        <item x="473"/>
        <item x="472"/>
        <item x="471"/>
        <item x="470"/>
        <item x="442"/>
        <item x="402"/>
        <item x="380"/>
        <item x="468"/>
        <item x="752"/>
        <item x="388"/>
        <item x="364"/>
        <item x="377"/>
        <item x="384"/>
        <item x="446"/>
        <item x="467"/>
        <item x="379"/>
        <item x="385"/>
        <item x="382"/>
        <item x="392"/>
        <item x="466"/>
        <item x="439"/>
        <item x="387"/>
        <item x="469"/>
        <item x="447"/>
        <item x="399"/>
        <item x="403"/>
        <item x="375"/>
        <item x="373"/>
        <item x="363"/>
        <item x="397"/>
        <item x="378"/>
        <item x="376"/>
        <item x="400"/>
        <item x="465"/>
        <item x="359"/>
        <item x="360"/>
        <item x="464"/>
        <item x="383"/>
        <item x="437"/>
        <item x="405"/>
        <item x="445"/>
        <item x="390"/>
        <item x="386"/>
        <item x="393"/>
        <item x="406"/>
        <item x="440"/>
        <item x="435"/>
        <item x="436"/>
        <item x="395"/>
        <item x="398"/>
        <item x="434"/>
        <item x="396"/>
        <item x="433"/>
        <item x="389"/>
        <item x="394"/>
        <item x="362"/>
        <item x="381"/>
        <item x="391"/>
        <item x="438"/>
        <item x="404"/>
        <item x="448"/>
        <item x="374"/>
        <item x="441"/>
        <item x="443"/>
        <item x="742"/>
        <item x="771"/>
        <item x="444"/>
        <item x="401"/>
        <item x="693"/>
        <item x="745"/>
        <item x="738"/>
        <item x="493"/>
        <item x="361"/>
        <item x="707"/>
        <item x="743"/>
        <item x="728"/>
        <item x="749"/>
        <item x="741"/>
        <item x="726"/>
        <item x="740"/>
        <item x="746"/>
        <item x="747"/>
        <item x="748"/>
        <item x="750"/>
        <item x="724"/>
        <item x="744"/>
        <item x="814"/>
        <item x="739"/>
        <item x="727"/>
        <item x="737"/>
        <item x="725"/>
        <item x="723"/>
        <item x="357"/>
        <item x="340"/>
        <item x="358"/>
        <item x="463"/>
        <item x="337"/>
        <item x="343"/>
        <item x="344"/>
        <item x="1016"/>
        <item x="1010"/>
        <item x="816"/>
        <item x="995"/>
        <item x="984"/>
        <item x="998"/>
        <item x="988"/>
        <item x="994"/>
        <item x="992"/>
        <item x="983"/>
        <item x="989"/>
        <item x="991"/>
        <item x="1009"/>
        <item x="986"/>
        <item x="997"/>
        <item x="1014"/>
        <item x="1007"/>
        <item x="420"/>
        <item x="1011"/>
        <item x="985"/>
        <item x="999"/>
        <item x="1012"/>
        <item x="993"/>
        <item x="1001"/>
        <item x="990"/>
        <item x="996"/>
        <item x="679"/>
        <item x="1008"/>
        <item x="1000"/>
        <item x="1015"/>
        <item x="1013"/>
        <item x="987"/>
        <item x="339"/>
        <item x="338"/>
        <item x="827"/>
        <item x="341"/>
        <item x="555"/>
        <item x="815"/>
        <item x="818"/>
        <item x="817"/>
        <item x="558"/>
        <item x="819"/>
        <item x="345"/>
        <item x="660"/>
        <item x="646"/>
        <item x="653"/>
        <item x="655"/>
        <item x="658"/>
        <item x="650"/>
        <item x="649"/>
        <item x="557"/>
        <item x="652"/>
        <item x="657"/>
        <item x="647"/>
        <item x="631"/>
        <item x="648"/>
        <item x="656"/>
        <item x="651"/>
        <item x="654"/>
        <item x="630"/>
        <item x="661"/>
        <item x="659"/>
        <item x="556"/>
        <item x="309"/>
        <item x="310"/>
        <item x="797"/>
        <item x="820"/>
        <item x="826"/>
        <item x="560"/>
        <item x="619"/>
        <item x="623"/>
        <item x="624"/>
        <item x="561"/>
        <item x="562"/>
        <item x="622"/>
        <item x="566"/>
        <item x="620"/>
        <item x="626"/>
        <item x="559"/>
        <item x="567"/>
        <item x="581"/>
        <item x="796"/>
        <item x="790"/>
        <item x="628"/>
        <item x="621"/>
        <item x="625"/>
        <item x="580"/>
        <item x="627"/>
        <item x="568"/>
        <item x="585"/>
        <item x="565"/>
        <item x="586"/>
        <item x="579"/>
        <item x="602"/>
        <item x="563"/>
        <item x="587"/>
        <item x="601"/>
        <item x="617"/>
        <item x="564"/>
        <item x="629"/>
        <item x="572"/>
        <item x="569"/>
        <item x="795"/>
        <item x="578"/>
        <item x="618"/>
        <item x="491"/>
        <item x="583"/>
        <item x="573"/>
        <item x="577"/>
        <item x="574"/>
        <item x="582"/>
        <item x="483"/>
        <item x="576"/>
        <item x="482"/>
        <item x="584"/>
        <item x="490"/>
        <item x="575"/>
        <item x="480"/>
        <item x="485"/>
        <item x="487"/>
        <item x="489"/>
        <item x="588"/>
        <item x="367"/>
        <item x="484"/>
        <item x="486"/>
        <item x="368"/>
        <item x="478"/>
        <item x="342"/>
        <item x="365"/>
        <item x="372"/>
        <item x="369"/>
        <item x="370"/>
        <item x="366"/>
        <item x="571"/>
        <item x="794"/>
        <item x="371"/>
        <item x="351"/>
        <item x="352"/>
        <item x="570"/>
        <item x="589"/>
        <item x="789"/>
        <item x="598"/>
        <item x="597"/>
        <item x="793"/>
        <item x="350"/>
        <item x="347"/>
        <item x="354"/>
        <item x="799"/>
        <item x="349"/>
        <item x="792"/>
        <item x="356"/>
        <item x="353"/>
        <item x="348"/>
        <item x="788"/>
        <item x="355"/>
        <item x="599"/>
        <item x="593"/>
        <item x="791"/>
        <item x="600"/>
        <item x="592"/>
        <item x="590"/>
        <item x="346"/>
        <item x="596"/>
        <item x="591"/>
        <item x="595"/>
        <item x="594"/>
        <item x="505"/>
        <item x="798"/>
        <item x="552"/>
        <item x="430"/>
        <item x="551"/>
        <item x="543"/>
        <item x="506"/>
        <item x="553"/>
        <item x="481"/>
        <item x="544"/>
        <item x="459"/>
        <item x="494"/>
        <item x="542"/>
        <item x="488"/>
        <item x="550"/>
        <item x="554"/>
        <item x="545"/>
        <item x="541"/>
        <item x="457"/>
        <item x="422"/>
        <item x="431"/>
        <item x="450"/>
        <item x="510"/>
        <item x="521"/>
        <item x="432"/>
        <item x="460"/>
        <item x="496"/>
        <item x="458"/>
        <item x="449"/>
        <item x="547"/>
        <item x="492"/>
        <item x="517"/>
        <item x="546"/>
        <item x="495"/>
        <item x="461"/>
        <item x="523"/>
        <item x="515"/>
        <item x="520"/>
        <item x="315"/>
        <item x="497"/>
        <item x="548"/>
        <item x="500"/>
        <item x="524"/>
        <item x="425"/>
        <item x="454"/>
        <item x="508"/>
        <item x="498"/>
        <item x="522"/>
        <item x="513"/>
        <item x="501"/>
        <item x="512"/>
        <item x="511"/>
        <item x="456"/>
        <item x="514"/>
        <item x="504"/>
        <item x="421"/>
        <item x="452"/>
        <item x="509"/>
        <item x="503"/>
        <item x="429"/>
        <item x="426"/>
        <item x="411"/>
        <item x="499"/>
        <item x="502"/>
        <item x="462"/>
        <item x="516"/>
        <item x="549"/>
        <item x="427"/>
        <item x="410"/>
        <item x="518"/>
        <item x="428"/>
        <item x="453"/>
        <item x="408"/>
        <item x="519"/>
        <item x="415"/>
        <item x="413"/>
        <item x="417"/>
        <item x="455"/>
        <item x="451"/>
        <item x="416"/>
        <item x="407"/>
        <item x="423"/>
        <item x="412"/>
        <item x="419"/>
        <item x="424"/>
        <item x="418"/>
        <item x="409"/>
        <item x="414"/>
        <item x="314"/>
        <item x="312"/>
        <item x="313"/>
        <item x="320"/>
        <item x="317"/>
        <item x="311"/>
        <item x="323"/>
        <item x="321"/>
        <item x="316"/>
        <item x="319"/>
        <item x="324"/>
        <item x="322"/>
        <item x="318"/>
        <item x="325"/>
        <item x="1006"/>
        <item x="824"/>
        <item x="1002"/>
        <item x="1003"/>
        <item x="825"/>
        <item x="709"/>
        <item x="1005"/>
        <item x="823"/>
        <item x="1004"/>
        <item x="713"/>
        <item x="822"/>
        <item x="710"/>
        <item x="711"/>
        <item x="708"/>
        <item x="669"/>
        <item x="714"/>
        <item x="664"/>
        <item x="678"/>
        <item x="676"/>
        <item x="675"/>
        <item x="668"/>
        <item x="673"/>
        <item x="665"/>
        <item x="662"/>
        <item x="672"/>
        <item x="671"/>
        <item x="666"/>
        <item x="786"/>
        <item x="663"/>
        <item x="821"/>
        <item x="308"/>
        <item x="287"/>
        <item x="289"/>
        <item x="284"/>
        <item x="307"/>
        <item x="297"/>
        <item x="306"/>
        <item x="283"/>
        <item x="302"/>
        <item x="301"/>
        <item x="291"/>
        <item x="292"/>
        <item x="290"/>
        <item x="286"/>
        <item x="293"/>
        <item x="303"/>
        <item x="288"/>
        <item x="305"/>
        <item x="285"/>
        <item x="295"/>
        <item x="304"/>
        <item x="281"/>
        <item x="298"/>
        <item x="300"/>
        <item x="299"/>
        <item x="294"/>
        <item x="296"/>
        <item x="282"/>
        <item x="787"/>
        <item x="127"/>
        <item x="129"/>
        <item x="123"/>
        <item x="716"/>
        <item x="719"/>
        <item x="124"/>
        <item x="706"/>
        <item x="715"/>
        <item x="720"/>
        <item x="712"/>
        <item x="832"/>
        <item x="722"/>
        <item x="717"/>
        <item x="833"/>
        <item x="718"/>
        <item x="721"/>
        <item x="829"/>
        <item x="705"/>
        <item x="831"/>
        <item x="836"/>
        <item x="837"/>
        <item x="830"/>
        <item x="125"/>
        <item x="839"/>
        <item x="835"/>
        <item x="702"/>
        <item x="121"/>
        <item x="840"/>
        <item x="838"/>
        <item x="841"/>
        <item x="122"/>
        <item x="126"/>
        <item x="834"/>
        <item x="704"/>
        <item x="667"/>
        <item x="686"/>
        <item x="690"/>
        <item x="674"/>
        <item x="694"/>
        <item x="670"/>
        <item x="685"/>
        <item x="691"/>
        <item x="904"/>
        <item x="731"/>
        <item x="899"/>
        <item x="732"/>
        <item x="782"/>
        <item x="729"/>
        <item x="695"/>
        <item x="700"/>
        <item x="893"/>
        <item x="701"/>
        <item x="680"/>
        <item x="683"/>
        <item x="903"/>
        <item x="902"/>
        <item x="892"/>
        <item x="689"/>
        <item x="779"/>
        <item x="692"/>
        <item x="688"/>
        <item x="684"/>
        <item x="900"/>
        <item x="687"/>
        <item x="897"/>
        <item x="677"/>
        <item x="733"/>
        <item x="895"/>
        <item x="896"/>
        <item x="730"/>
        <item x="876"/>
        <item x="736"/>
        <item x="681"/>
        <item x="703"/>
        <item x="735"/>
        <item x="682"/>
        <item x="734"/>
        <item x="196"/>
        <item x="203"/>
        <item x="176"/>
        <item x="83"/>
        <item x="261"/>
        <item x="186"/>
        <item x="220"/>
        <item x="194"/>
        <item x="179"/>
        <item x="188"/>
        <item x="253"/>
        <item x="190"/>
        <item x="115"/>
        <item x="187"/>
        <item x="254"/>
        <item x="202"/>
        <item x="219"/>
        <item x="192"/>
        <item x="185"/>
        <item x="114"/>
        <item x="82"/>
        <item x="256"/>
        <item x="257"/>
        <item x="78"/>
        <item x="99"/>
        <item x="178"/>
        <item x="206"/>
        <item x="81"/>
        <item x="264"/>
        <item x="193"/>
        <item x="182"/>
        <item x="189"/>
        <item x="184"/>
        <item x="266"/>
        <item x="258"/>
        <item x="267"/>
        <item x="180"/>
        <item x="80"/>
        <item x="79"/>
        <item x="255"/>
        <item x="183"/>
        <item x="100"/>
        <item x="197"/>
        <item x="200"/>
        <item x="259"/>
        <item x="199"/>
        <item x="260"/>
        <item x="191"/>
        <item x="263"/>
        <item x="265"/>
        <item x="84"/>
        <item x="181"/>
        <item x="195"/>
        <item x="262"/>
        <item x="204"/>
        <item x="177"/>
        <item x="958"/>
        <item x="954"/>
        <item x="118"/>
        <item x="959"/>
        <item x="119"/>
        <item x="117"/>
        <item x="965"/>
        <item x="116"/>
        <item x="955"/>
        <item x="120"/>
        <item x="963"/>
        <item x="961"/>
        <item x="960"/>
        <item x="962"/>
        <item x="97"/>
        <item x="964"/>
        <item x="957"/>
        <item x="842"/>
        <item x="96"/>
        <item x="766"/>
        <item x="883"/>
        <item x="886"/>
        <item x="877"/>
        <item x="615"/>
        <item x="769"/>
        <item x="880"/>
        <item x="887"/>
        <item x="767"/>
        <item x="953"/>
        <item x="95"/>
        <item x="604"/>
        <item x="768"/>
        <item x="755"/>
        <item x="756"/>
        <item x="884"/>
        <item x="879"/>
        <item x="894"/>
        <item x="764"/>
        <item x="605"/>
        <item x="956"/>
        <item x="613"/>
        <item x="878"/>
        <item x="128"/>
        <item x="889"/>
        <item x="765"/>
        <item x="770"/>
        <item x="898"/>
        <item x="901"/>
        <item x="888"/>
        <item x="757"/>
        <item x="885"/>
        <item x="614"/>
        <item x="881"/>
        <item x="754"/>
        <item x="882"/>
        <item x="758"/>
        <item x="611"/>
        <item x="603"/>
        <item x="98"/>
        <item x="616"/>
        <item x="850"/>
        <item x="852"/>
        <item x="606"/>
        <item x="609"/>
        <item x="612"/>
        <item x="759"/>
        <item x="608"/>
        <item x="90"/>
        <item x="607"/>
        <item x="851"/>
        <item x="753"/>
        <item x="976"/>
        <item x="844"/>
        <item x="891"/>
        <item x="856"/>
        <item x="980"/>
        <item x="610"/>
        <item x="86"/>
        <item x="858"/>
        <item x="28"/>
        <item x="92"/>
        <item x="24"/>
        <item x="977"/>
        <item x="30"/>
        <item x="52"/>
        <item x="26"/>
        <item x="25"/>
        <item x="50"/>
        <item x="32"/>
        <item x="34"/>
        <item x="35"/>
        <item x="972"/>
        <item x="27"/>
        <item x="31"/>
        <item x="33"/>
        <item x="970"/>
        <item x="36"/>
        <item x="860"/>
        <item x="859"/>
        <item x="91"/>
        <item x="853"/>
        <item x="978"/>
        <item x="845"/>
        <item x="974"/>
        <item x="29"/>
        <item x="857"/>
        <item x="843"/>
        <item x="971"/>
        <item x="20"/>
        <item x="846"/>
        <item x="848"/>
        <item x="973"/>
        <item x="854"/>
        <item x="975"/>
        <item x="18"/>
        <item x="849"/>
        <item x="979"/>
        <item x="855"/>
        <item x="19"/>
        <item x="13"/>
        <item x="10"/>
        <item x="21"/>
        <item x="15"/>
        <item x="12"/>
        <item x="11"/>
        <item x="847"/>
        <item x="969"/>
        <item x="14"/>
        <item x="22"/>
        <item x="17"/>
        <item x="16"/>
        <item x="85"/>
        <item x="9"/>
        <item x="968"/>
        <item x="94"/>
        <item x="93"/>
        <item x="89"/>
        <item x="88"/>
        <item x="967"/>
        <item x="23"/>
        <item x="38"/>
        <item x="143"/>
        <item x="87"/>
        <item x="174"/>
        <item x="632"/>
        <item x="696"/>
        <item x="641"/>
        <item x="175"/>
        <item x="919"/>
        <item x="760"/>
        <item x="908"/>
        <item x="699"/>
        <item x="762"/>
        <item x="907"/>
        <item x="751"/>
        <item x="910"/>
        <item x="761"/>
        <item x="633"/>
        <item x="915"/>
        <item x="911"/>
        <item x="645"/>
        <item x="642"/>
        <item x="914"/>
        <item x="917"/>
        <item x="906"/>
        <item x="697"/>
        <item x="763"/>
        <item x="698"/>
        <item x="639"/>
        <item x="237"/>
        <item x="637"/>
        <item x="635"/>
        <item x="638"/>
        <item x="634"/>
        <item x="644"/>
        <item x="909"/>
        <item x="912"/>
        <item x="916"/>
        <item x="636"/>
        <item x="918"/>
        <item x="640"/>
        <item x="104"/>
        <item x="643"/>
        <item x="109"/>
        <item x="112"/>
        <item x="913"/>
        <item x="103"/>
        <item x="108"/>
        <item x="110"/>
        <item x="107"/>
        <item x="101"/>
        <item x="105"/>
        <item x="113"/>
        <item x="238"/>
        <item x="111"/>
        <item x="236"/>
        <item x="234"/>
        <item x="106"/>
        <item x="102"/>
        <item x="235"/>
        <item x="233"/>
        <item x="172"/>
        <item x="66"/>
        <item x="173"/>
        <item x="0"/>
        <item x="71"/>
        <item x="73"/>
        <item x="74"/>
        <item x="76"/>
        <item x="77"/>
        <item x="268"/>
        <item x="130"/>
        <item x="39"/>
        <item x="43"/>
        <item x="72"/>
        <item x="41"/>
        <item x="223"/>
        <item x="45"/>
        <item x="37"/>
        <item x="132"/>
        <item x="269"/>
        <item x="225"/>
        <item x="40"/>
        <item x="270"/>
        <item x="222"/>
        <item x="205"/>
        <item x="134"/>
        <item x="224"/>
        <item x="229"/>
        <item x="232"/>
        <item x="58"/>
        <item x="231"/>
        <item x="230"/>
        <item x="46"/>
        <item x="42"/>
        <item x="226"/>
        <item x="212"/>
        <item x="272"/>
        <item x="47"/>
        <item x="278"/>
        <item x="210"/>
        <item x="221"/>
        <item x="209"/>
        <item x="48"/>
        <item x="228"/>
        <item x="279"/>
        <item x="277"/>
        <item x="44"/>
        <item x="271"/>
        <item x="133"/>
        <item x="75"/>
        <item x="140"/>
        <item x="213"/>
        <item x="131"/>
        <item x="273"/>
        <item x="198"/>
        <item x="280"/>
        <item x="276"/>
        <item x="274"/>
        <item x="207"/>
        <item x="208"/>
        <item x="6"/>
        <item x="51"/>
        <item x="49"/>
        <item x="216"/>
        <item x="227"/>
        <item x="57"/>
        <item x="53"/>
        <item x="55"/>
        <item x="215"/>
        <item x="201"/>
        <item x="214"/>
        <item x="211"/>
        <item x="275"/>
        <item x="56"/>
        <item x="146"/>
        <item x="7"/>
        <item x="218"/>
        <item x="5"/>
        <item x="4"/>
        <item x="217"/>
        <item x="161"/>
        <item x="3"/>
        <item x="8"/>
        <item x="1"/>
        <item x="2"/>
        <item x="139"/>
        <item x="147"/>
        <item x="148"/>
        <item x="145"/>
        <item x="151"/>
        <item x="150"/>
        <item x="144"/>
        <item x="156"/>
        <item x="135"/>
        <item x="138"/>
        <item x="149"/>
        <item x="152"/>
        <item x="162"/>
        <item x="153"/>
        <item x="164"/>
        <item x="165"/>
        <item x="136"/>
        <item x="154"/>
        <item x="163"/>
        <item x="166"/>
        <item x="155"/>
        <item x="142"/>
        <item x="160"/>
        <item x="141"/>
        <item x="167"/>
        <item x="137"/>
        <item x="169"/>
        <item x="159"/>
        <item x="168"/>
        <item x="61"/>
        <item x="70"/>
        <item x="69"/>
        <item x="170"/>
        <item x="158"/>
        <item x="157"/>
        <item x="68"/>
        <item x="67"/>
        <item x="62"/>
        <item x="63"/>
        <item x="239"/>
        <item x="60"/>
        <item x="171"/>
        <item x="65"/>
        <item x="64"/>
        <item x="54"/>
        <item x="59"/>
        <item x="240"/>
        <item x="243"/>
        <item x="244"/>
        <item x="242"/>
        <item x="249"/>
        <item x="247"/>
        <item x="250"/>
        <item x="251"/>
        <item x="248"/>
        <item x="241"/>
        <item x="245"/>
        <item x="252"/>
        <item x="246"/>
        <item t="default"/>
      </items>
    </pivotField>
    <pivotField dataField="1" showAll="0"/>
  </pivotFields>
  <rowFields count="1">
    <field x="0"/>
  </rowFields>
  <rowItems count="10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t="grand">
      <x/>
    </i>
  </rowItems>
  <colItems count="1">
    <i/>
  </colItems>
  <dataFields count="1">
    <dataField name="Sum of Quantity Sold"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CFD941E-DBE4-487F-9810-64835C72A20E}" name="PivotTable7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25:D26" firstHeaderRow="1" firstDataRow="1" firstDataCol="0"/>
  <pivotFields count="2">
    <pivotField dataField="1" showAll="0">
      <items count="1053">
        <item x="246"/>
        <item x="252"/>
        <item x="245"/>
        <item x="241"/>
        <item x="248"/>
        <item x="251"/>
        <item x="250"/>
        <item x="247"/>
        <item x="249"/>
        <item x="242"/>
        <item x="244"/>
        <item x="243"/>
        <item x="240"/>
        <item x="59"/>
        <item x="54"/>
        <item x="64"/>
        <item x="65"/>
        <item x="171"/>
        <item x="60"/>
        <item x="239"/>
        <item x="63"/>
        <item x="62"/>
        <item x="67"/>
        <item x="68"/>
        <item x="157"/>
        <item x="158"/>
        <item x="170"/>
        <item x="69"/>
        <item x="70"/>
        <item x="61"/>
        <item x="168"/>
        <item x="159"/>
        <item x="169"/>
        <item x="137"/>
        <item x="167"/>
        <item x="141"/>
        <item x="160"/>
        <item x="142"/>
        <item x="155"/>
        <item x="166"/>
        <item x="163"/>
        <item x="154"/>
        <item x="136"/>
        <item x="165"/>
        <item x="164"/>
        <item x="153"/>
        <item x="162"/>
        <item x="152"/>
        <item x="149"/>
        <item x="138"/>
        <item x="135"/>
        <item x="156"/>
        <item x="144"/>
        <item x="150"/>
        <item x="151"/>
        <item x="145"/>
        <item x="148"/>
        <item x="147"/>
        <item x="139"/>
        <item x="2"/>
        <item x="1"/>
        <item x="8"/>
        <item x="3"/>
        <item x="161"/>
        <item x="217"/>
        <item x="4"/>
        <item x="5"/>
        <item x="218"/>
        <item x="7"/>
        <item x="146"/>
        <item x="56"/>
        <item x="275"/>
        <item x="211"/>
        <item x="214"/>
        <item x="201"/>
        <item x="215"/>
        <item x="55"/>
        <item x="53"/>
        <item x="57"/>
        <item x="227"/>
        <item x="216"/>
        <item x="49"/>
        <item x="51"/>
        <item x="6"/>
        <item x="208"/>
        <item x="207"/>
        <item x="274"/>
        <item x="276"/>
        <item x="280"/>
        <item x="198"/>
        <item x="273"/>
        <item x="131"/>
        <item x="213"/>
        <item x="140"/>
        <item x="75"/>
        <item x="133"/>
        <item x="271"/>
        <item x="44"/>
        <item x="277"/>
        <item x="279"/>
        <item x="228"/>
        <item x="48"/>
        <item x="209"/>
        <item x="221"/>
        <item x="210"/>
        <item x="278"/>
        <item x="47"/>
        <item x="272"/>
        <item x="212"/>
        <item x="226"/>
        <item x="42"/>
        <item x="46"/>
        <item x="230"/>
        <item x="231"/>
        <item x="58"/>
        <item x="232"/>
        <item x="229"/>
        <item x="224"/>
        <item x="134"/>
        <item x="205"/>
        <item x="222"/>
        <item x="270"/>
        <item x="40"/>
        <item x="225"/>
        <item x="269"/>
        <item x="132"/>
        <item x="37"/>
        <item x="45"/>
        <item x="223"/>
        <item x="41"/>
        <item x="72"/>
        <item x="43"/>
        <item x="39"/>
        <item x="130"/>
        <item x="268"/>
        <item x="77"/>
        <item x="76"/>
        <item x="74"/>
        <item x="73"/>
        <item x="71"/>
        <item x="0"/>
        <item x="173"/>
        <item x="66"/>
        <item x="172"/>
        <item x="233"/>
        <item x="235"/>
        <item x="102"/>
        <item x="106"/>
        <item x="234"/>
        <item x="236"/>
        <item x="111"/>
        <item x="238"/>
        <item x="113"/>
        <item x="105"/>
        <item x="101"/>
        <item x="107"/>
        <item x="110"/>
        <item x="108"/>
        <item x="103"/>
        <item x="913"/>
        <item x="112"/>
        <item x="109"/>
        <item x="643"/>
        <item x="104"/>
        <item x="640"/>
        <item x="918"/>
        <item x="636"/>
        <item x="916"/>
        <item x="912"/>
        <item x="909"/>
        <item x="644"/>
        <item x="634"/>
        <item x="638"/>
        <item x="635"/>
        <item x="637"/>
        <item x="237"/>
        <item x="639"/>
        <item x="698"/>
        <item x="763"/>
        <item x="697"/>
        <item x="906"/>
        <item x="917"/>
        <item x="914"/>
        <item x="642"/>
        <item x="645"/>
        <item x="911"/>
        <item x="915"/>
        <item x="633"/>
        <item x="761"/>
        <item x="910"/>
        <item x="751"/>
        <item x="907"/>
        <item x="762"/>
        <item x="699"/>
        <item x="908"/>
        <item x="760"/>
        <item x="919"/>
        <item x="175"/>
        <item x="641"/>
        <item x="696"/>
        <item x="632"/>
        <item x="174"/>
        <item x="87"/>
        <item x="143"/>
        <item x="38"/>
        <item x="23"/>
        <item x="967"/>
        <item x="88"/>
        <item x="89"/>
        <item x="93"/>
        <item x="94"/>
        <item x="968"/>
        <item x="9"/>
        <item x="85"/>
        <item x="16"/>
        <item x="17"/>
        <item x="22"/>
        <item x="14"/>
        <item x="969"/>
        <item x="847"/>
        <item x="11"/>
        <item x="12"/>
        <item x="15"/>
        <item x="21"/>
        <item x="10"/>
        <item x="13"/>
        <item x="19"/>
        <item x="855"/>
        <item x="979"/>
        <item x="849"/>
        <item x="18"/>
        <item x="975"/>
        <item x="854"/>
        <item x="973"/>
        <item x="848"/>
        <item x="846"/>
        <item x="20"/>
        <item x="971"/>
        <item x="843"/>
        <item x="857"/>
        <item x="29"/>
        <item x="974"/>
        <item x="845"/>
        <item x="978"/>
        <item x="853"/>
        <item x="91"/>
        <item x="859"/>
        <item x="860"/>
        <item x="36"/>
        <item x="970"/>
        <item x="33"/>
        <item x="31"/>
        <item x="27"/>
        <item x="972"/>
        <item x="35"/>
        <item x="34"/>
        <item x="32"/>
        <item x="50"/>
        <item x="25"/>
        <item x="26"/>
        <item x="52"/>
        <item x="30"/>
        <item x="977"/>
        <item x="24"/>
        <item x="92"/>
        <item x="28"/>
        <item x="858"/>
        <item x="86"/>
        <item x="610"/>
        <item x="980"/>
        <item x="856"/>
        <item x="891"/>
        <item x="844"/>
        <item x="976"/>
        <item x="753"/>
        <item x="851"/>
        <item x="607"/>
        <item x="90"/>
        <item x="608"/>
        <item x="759"/>
        <item x="612"/>
        <item x="609"/>
        <item x="606"/>
        <item x="852"/>
        <item x="850"/>
        <item x="616"/>
        <item x="98"/>
        <item x="603"/>
        <item x="611"/>
        <item x="758"/>
        <item x="882"/>
        <item x="754"/>
        <item x="881"/>
        <item x="614"/>
        <item x="885"/>
        <item x="757"/>
        <item x="888"/>
        <item x="901"/>
        <item x="898"/>
        <item x="770"/>
        <item x="765"/>
        <item x="889"/>
        <item x="128"/>
        <item x="878"/>
        <item x="613"/>
        <item x="956"/>
        <item x="605"/>
        <item x="764"/>
        <item x="894"/>
        <item x="879"/>
        <item x="884"/>
        <item x="756"/>
        <item x="755"/>
        <item x="768"/>
        <item x="604"/>
        <item x="95"/>
        <item x="953"/>
        <item x="767"/>
        <item x="887"/>
        <item x="880"/>
        <item x="769"/>
        <item x="615"/>
        <item x="877"/>
        <item x="886"/>
        <item x="883"/>
        <item x="766"/>
        <item x="96"/>
        <item x="842"/>
        <item x="957"/>
        <item x="964"/>
        <item x="97"/>
        <item x="962"/>
        <item x="960"/>
        <item x="961"/>
        <item x="963"/>
        <item x="120"/>
        <item x="955"/>
        <item x="116"/>
        <item x="965"/>
        <item x="117"/>
        <item x="119"/>
        <item x="959"/>
        <item x="118"/>
        <item x="954"/>
        <item x="958"/>
        <item x="177"/>
        <item x="204"/>
        <item x="262"/>
        <item x="195"/>
        <item x="181"/>
        <item x="84"/>
        <item x="265"/>
        <item x="263"/>
        <item x="191"/>
        <item x="260"/>
        <item x="199"/>
        <item x="259"/>
        <item x="200"/>
        <item x="197"/>
        <item x="100"/>
        <item x="183"/>
        <item x="255"/>
        <item x="79"/>
        <item x="80"/>
        <item x="180"/>
        <item x="267"/>
        <item x="258"/>
        <item x="266"/>
        <item x="184"/>
        <item x="189"/>
        <item x="182"/>
        <item x="193"/>
        <item x="264"/>
        <item x="81"/>
        <item x="206"/>
        <item x="178"/>
        <item x="99"/>
        <item x="78"/>
        <item x="257"/>
        <item x="256"/>
        <item x="82"/>
        <item x="114"/>
        <item x="185"/>
        <item x="192"/>
        <item x="219"/>
        <item x="202"/>
        <item x="254"/>
        <item x="187"/>
        <item x="115"/>
        <item x="190"/>
        <item x="253"/>
        <item x="188"/>
        <item x="179"/>
        <item x="194"/>
        <item x="220"/>
        <item x="186"/>
        <item x="261"/>
        <item x="83"/>
        <item x="176"/>
        <item x="203"/>
        <item x="196"/>
        <item x="734"/>
        <item x="682"/>
        <item x="735"/>
        <item x="703"/>
        <item x="681"/>
        <item x="736"/>
        <item x="876"/>
        <item x="730"/>
        <item x="896"/>
        <item x="895"/>
        <item x="733"/>
        <item x="677"/>
        <item x="897"/>
        <item x="687"/>
        <item x="900"/>
        <item x="684"/>
        <item x="688"/>
        <item x="692"/>
        <item x="779"/>
        <item x="689"/>
        <item x="892"/>
        <item x="902"/>
        <item x="903"/>
        <item x="683"/>
        <item x="680"/>
        <item x="701"/>
        <item x="893"/>
        <item x="700"/>
        <item x="695"/>
        <item x="729"/>
        <item x="782"/>
        <item x="732"/>
        <item x="899"/>
        <item x="731"/>
        <item x="904"/>
        <item x="691"/>
        <item x="685"/>
        <item x="670"/>
        <item x="694"/>
        <item x="674"/>
        <item x="690"/>
        <item x="686"/>
        <item x="667"/>
        <item x="704"/>
        <item x="834"/>
        <item x="126"/>
        <item x="122"/>
        <item x="841"/>
        <item x="838"/>
        <item x="840"/>
        <item x="121"/>
        <item x="702"/>
        <item x="835"/>
        <item x="839"/>
        <item x="125"/>
        <item x="830"/>
        <item x="837"/>
        <item x="836"/>
        <item x="831"/>
        <item x="705"/>
        <item x="829"/>
        <item x="721"/>
        <item x="718"/>
        <item x="833"/>
        <item x="717"/>
        <item x="722"/>
        <item x="832"/>
        <item x="712"/>
        <item x="720"/>
        <item x="715"/>
        <item x="706"/>
        <item x="124"/>
        <item x="719"/>
        <item x="716"/>
        <item x="123"/>
        <item x="129"/>
        <item x="127"/>
        <item x="787"/>
        <item x="282"/>
        <item x="296"/>
        <item x="294"/>
        <item x="299"/>
        <item x="300"/>
        <item x="298"/>
        <item x="281"/>
        <item x="304"/>
        <item x="295"/>
        <item x="285"/>
        <item x="305"/>
        <item x="288"/>
        <item x="303"/>
        <item x="293"/>
        <item x="286"/>
        <item x="290"/>
        <item x="292"/>
        <item x="291"/>
        <item x="301"/>
        <item x="302"/>
        <item x="283"/>
        <item x="306"/>
        <item x="297"/>
        <item x="307"/>
        <item x="284"/>
        <item x="289"/>
        <item x="287"/>
        <item x="308"/>
        <item x="821"/>
        <item x="663"/>
        <item x="786"/>
        <item x="666"/>
        <item x="671"/>
        <item x="672"/>
        <item x="662"/>
        <item x="665"/>
        <item x="673"/>
        <item x="668"/>
        <item x="675"/>
        <item x="676"/>
        <item x="678"/>
        <item x="664"/>
        <item x="714"/>
        <item x="669"/>
        <item x="708"/>
        <item x="711"/>
        <item x="710"/>
        <item x="822"/>
        <item x="713"/>
        <item x="1004"/>
        <item x="823"/>
        <item x="1005"/>
        <item x="709"/>
        <item x="825"/>
        <item x="1003"/>
        <item x="1002"/>
        <item x="824"/>
        <item x="1006"/>
        <item x="325"/>
        <item x="318"/>
        <item x="322"/>
        <item x="324"/>
        <item x="319"/>
        <item x="316"/>
        <item x="321"/>
        <item x="323"/>
        <item x="311"/>
        <item x="317"/>
        <item x="320"/>
        <item x="313"/>
        <item x="312"/>
        <item x="314"/>
        <item x="414"/>
        <item x="409"/>
        <item x="418"/>
        <item x="424"/>
        <item x="419"/>
        <item x="412"/>
        <item x="423"/>
        <item x="407"/>
        <item x="416"/>
        <item x="451"/>
        <item x="455"/>
        <item x="417"/>
        <item x="413"/>
        <item x="415"/>
        <item x="519"/>
        <item x="408"/>
        <item x="453"/>
        <item x="428"/>
        <item x="518"/>
        <item x="410"/>
        <item x="427"/>
        <item x="549"/>
        <item x="516"/>
        <item x="462"/>
        <item x="502"/>
        <item x="499"/>
        <item x="411"/>
        <item x="426"/>
        <item x="429"/>
        <item x="503"/>
        <item x="509"/>
        <item x="452"/>
        <item x="421"/>
        <item x="504"/>
        <item x="514"/>
        <item x="456"/>
        <item x="511"/>
        <item x="512"/>
        <item x="501"/>
        <item x="513"/>
        <item x="522"/>
        <item x="498"/>
        <item x="508"/>
        <item x="454"/>
        <item x="425"/>
        <item x="524"/>
        <item x="500"/>
        <item x="548"/>
        <item x="497"/>
        <item x="315"/>
        <item x="520"/>
        <item x="515"/>
        <item x="523"/>
        <item x="461"/>
        <item x="495"/>
        <item x="546"/>
        <item x="517"/>
        <item x="492"/>
        <item x="547"/>
        <item x="449"/>
        <item x="458"/>
        <item x="496"/>
        <item x="460"/>
        <item x="432"/>
        <item x="521"/>
        <item x="510"/>
        <item x="450"/>
        <item x="431"/>
        <item x="422"/>
        <item x="457"/>
        <item x="541"/>
        <item x="545"/>
        <item x="554"/>
        <item x="550"/>
        <item x="488"/>
        <item x="542"/>
        <item x="494"/>
        <item x="459"/>
        <item x="544"/>
        <item x="481"/>
        <item x="553"/>
        <item x="506"/>
        <item x="543"/>
        <item x="551"/>
        <item x="430"/>
        <item x="552"/>
        <item x="798"/>
        <item x="505"/>
        <item x="594"/>
        <item x="595"/>
        <item x="591"/>
        <item x="596"/>
        <item x="346"/>
        <item x="590"/>
        <item x="592"/>
        <item x="600"/>
        <item x="791"/>
        <item x="593"/>
        <item x="599"/>
        <item x="355"/>
        <item x="788"/>
        <item x="348"/>
        <item x="353"/>
        <item x="356"/>
        <item x="792"/>
        <item x="349"/>
        <item x="799"/>
        <item x="354"/>
        <item x="347"/>
        <item x="350"/>
        <item x="793"/>
        <item x="597"/>
        <item x="598"/>
        <item x="789"/>
        <item x="589"/>
        <item x="570"/>
        <item x="352"/>
        <item x="351"/>
        <item x="371"/>
        <item x="794"/>
        <item x="571"/>
        <item x="366"/>
        <item x="370"/>
        <item x="369"/>
        <item x="372"/>
        <item x="365"/>
        <item x="342"/>
        <item x="478"/>
        <item x="368"/>
        <item x="486"/>
        <item x="484"/>
        <item x="367"/>
        <item x="588"/>
        <item x="489"/>
        <item x="487"/>
        <item x="485"/>
        <item x="480"/>
        <item x="575"/>
        <item x="490"/>
        <item x="584"/>
        <item x="482"/>
        <item x="576"/>
        <item x="483"/>
        <item x="582"/>
        <item x="574"/>
        <item x="577"/>
        <item x="573"/>
        <item x="583"/>
        <item x="491"/>
        <item x="618"/>
        <item x="578"/>
        <item x="795"/>
        <item x="569"/>
        <item x="572"/>
        <item x="629"/>
        <item x="564"/>
        <item x="617"/>
        <item x="601"/>
        <item x="587"/>
        <item x="563"/>
        <item x="602"/>
        <item x="579"/>
        <item x="586"/>
        <item x="565"/>
        <item x="585"/>
        <item x="568"/>
        <item x="627"/>
        <item x="580"/>
        <item x="625"/>
        <item x="621"/>
        <item x="628"/>
        <item x="790"/>
        <item x="796"/>
        <item x="581"/>
        <item x="567"/>
        <item x="559"/>
        <item x="626"/>
        <item x="620"/>
        <item x="566"/>
        <item x="622"/>
        <item x="562"/>
        <item x="561"/>
        <item x="624"/>
        <item x="623"/>
        <item x="619"/>
        <item x="560"/>
        <item x="826"/>
        <item x="820"/>
        <item x="797"/>
        <item x="310"/>
        <item x="309"/>
        <item x="556"/>
        <item x="659"/>
        <item x="661"/>
        <item x="630"/>
        <item x="654"/>
        <item x="651"/>
        <item x="656"/>
        <item x="648"/>
        <item x="631"/>
        <item x="647"/>
        <item x="657"/>
        <item x="652"/>
        <item x="557"/>
        <item x="649"/>
        <item x="650"/>
        <item x="658"/>
        <item x="655"/>
        <item x="653"/>
        <item x="646"/>
        <item x="660"/>
        <item x="345"/>
        <item x="819"/>
        <item x="558"/>
        <item x="817"/>
        <item x="818"/>
        <item x="815"/>
        <item x="555"/>
        <item x="341"/>
        <item x="827"/>
        <item x="338"/>
        <item x="339"/>
        <item x="987"/>
        <item x="1013"/>
        <item x="1015"/>
        <item x="1000"/>
        <item x="1008"/>
        <item x="679"/>
        <item x="996"/>
        <item x="990"/>
        <item x="1001"/>
        <item x="993"/>
        <item x="1012"/>
        <item x="999"/>
        <item x="985"/>
        <item x="1011"/>
        <item x="420"/>
        <item x="1007"/>
        <item x="1014"/>
        <item x="997"/>
        <item x="986"/>
        <item x="1009"/>
        <item x="991"/>
        <item x="989"/>
        <item x="983"/>
        <item x="992"/>
        <item x="994"/>
        <item x="988"/>
        <item x="998"/>
        <item x="984"/>
        <item x="995"/>
        <item x="816"/>
        <item x="1010"/>
        <item x="1016"/>
        <item x="344"/>
        <item x="343"/>
        <item x="337"/>
        <item x="463"/>
        <item x="358"/>
        <item x="340"/>
        <item x="357"/>
        <item x="723"/>
        <item x="725"/>
        <item x="737"/>
        <item x="727"/>
        <item x="739"/>
        <item x="814"/>
        <item x="744"/>
        <item x="724"/>
        <item x="750"/>
        <item x="748"/>
        <item x="747"/>
        <item x="746"/>
        <item x="740"/>
        <item x="726"/>
        <item x="741"/>
        <item x="749"/>
        <item x="728"/>
        <item x="743"/>
        <item x="707"/>
        <item x="361"/>
        <item x="493"/>
        <item x="738"/>
        <item x="745"/>
        <item x="693"/>
        <item x="401"/>
        <item x="444"/>
        <item x="771"/>
        <item x="742"/>
        <item x="443"/>
        <item x="441"/>
        <item x="374"/>
        <item x="448"/>
        <item x="404"/>
        <item x="438"/>
        <item x="391"/>
        <item x="381"/>
        <item x="362"/>
        <item x="394"/>
        <item x="389"/>
        <item x="433"/>
        <item x="396"/>
        <item x="434"/>
        <item x="398"/>
        <item x="395"/>
        <item x="436"/>
        <item x="435"/>
        <item x="440"/>
        <item x="406"/>
        <item x="393"/>
        <item x="386"/>
        <item x="390"/>
        <item x="445"/>
        <item x="405"/>
        <item x="437"/>
        <item x="383"/>
        <item x="464"/>
        <item x="360"/>
        <item x="359"/>
        <item x="465"/>
        <item x="400"/>
        <item x="376"/>
        <item x="378"/>
        <item x="397"/>
        <item x="363"/>
        <item x="373"/>
        <item x="375"/>
        <item x="403"/>
        <item x="399"/>
        <item x="447"/>
        <item x="469"/>
        <item x="387"/>
        <item x="439"/>
        <item x="466"/>
        <item x="392"/>
        <item x="382"/>
        <item x="385"/>
        <item x="379"/>
        <item x="467"/>
        <item x="446"/>
        <item x="384"/>
        <item x="377"/>
        <item x="364"/>
        <item x="388"/>
        <item x="752"/>
        <item x="468"/>
        <item x="380"/>
        <item x="402"/>
        <item x="442"/>
        <item x="470"/>
        <item x="471"/>
        <item x="472"/>
        <item x="473"/>
        <item x="330"/>
        <item x="474"/>
        <item x="813"/>
        <item x="329"/>
        <item x="476"/>
        <item x="475"/>
        <item x="809"/>
        <item x="533"/>
        <item x="780"/>
        <item x="785"/>
        <item x="801"/>
        <item x="781"/>
        <item x="777"/>
        <item x="773"/>
        <item x="800"/>
        <item x="810"/>
        <item x="535"/>
        <item x="772"/>
        <item x="783"/>
        <item x="778"/>
        <item x="528"/>
        <item x="534"/>
        <item x="540"/>
        <item x="807"/>
        <item x="776"/>
        <item x="774"/>
        <item x="784"/>
        <item x="525"/>
        <item x="539"/>
        <item x="812"/>
        <item x="532"/>
        <item x="527"/>
        <item x="775"/>
        <item x="530"/>
        <item x="477"/>
        <item x="536"/>
        <item x="806"/>
        <item x="803"/>
        <item x="808"/>
        <item x="537"/>
        <item x="905"/>
        <item x="930"/>
        <item x="947"/>
        <item x="938"/>
        <item x="802"/>
        <item x="529"/>
        <item x="869"/>
        <item x="507"/>
        <item x="946"/>
        <item x="950"/>
        <item x="862"/>
        <item x="861"/>
        <item x="526"/>
        <item x="871"/>
        <item x="924"/>
        <item x="890"/>
        <item x="934"/>
        <item x="929"/>
        <item x="935"/>
        <item x="864"/>
        <item x="873"/>
        <item x="931"/>
        <item x="942"/>
        <item x="921"/>
        <item x="479"/>
        <item x="874"/>
        <item x="926"/>
        <item x="531"/>
        <item x="951"/>
        <item x="936"/>
        <item x="811"/>
        <item x="943"/>
        <item x="805"/>
        <item x="870"/>
        <item x="952"/>
        <item x="866"/>
        <item x="922"/>
        <item x="872"/>
        <item x="538"/>
        <item x="949"/>
        <item x="941"/>
        <item x="940"/>
        <item x="865"/>
        <item x="966"/>
        <item x="928"/>
        <item x="920"/>
        <item x="925"/>
        <item x="933"/>
        <item x="948"/>
        <item x="981"/>
        <item x="875"/>
        <item x="982"/>
        <item x="868"/>
        <item x="867"/>
        <item x="945"/>
        <item x="828"/>
        <item x="939"/>
        <item x="937"/>
        <item x="944"/>
        <item x="932"/>
        <item x="804"/>
        <item x="927"/>
        <item x="923"/>
        <item x="863"/>
        <item x="326"/>
        <item x="336"/>
        <item x="327"/>
        <item x="328"/>
        <item x="335"/>
        <item x="1030"/>
        <item x="1024"/>
        <item x="1032"/>
        <item x="1029"/>
        <item x="1033"/>
        <item x="1034"/>
        <item x="1028"/>
        <item x="1025"/>
        <item x="1031"/>
        <item x="334"/>
        <item x="1037"/>
        <item x="333"/>
        <item x="1035"/>
        <item x="1036"/>
        <item x="1026"/>
        <item x="1039"/>
        <item x="1041"/>
        <item x="1027"/>
        <item x="1040"/>
        <item x="1038"/>
        <item x="331"/>
        <item x="1017"/>
        <item x="1018"/>
        <item x="1020"/>
        <item x="1043"/>
        <item x="1019"/>
        <item x="1022"/>
        <item x="332"/>
        <item x="1049"/>
        <item x="1021"/>
        <item x="1045"/>
        <item x="1047"/>
        <item x="1042"/>
        <item x="1046"/>
        <item x="1048"/>
        <item x="1044"/>
        <item x="1023"/>
        <item x="1050"/>
        <item x="1051"/>
        <item t="default"/>
      </items>
    </pivotField>
    <pivotField showAll="0"/>
  </pivotFields>
  <rowItems count="1">
    <i/>
  </rowItems>
  <colItems count="1">
    <i/>
  </colItems>
  <dataFields count="1">
    <dataField name="Sum of Daily Sales Price Per Unit"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4A14276-27CF-40B5-91E8-80E1A2D106AD}" name="PivotTable7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21:D22" firstHeaderRow="1" firstDataRow="1" firstDataCol="0"/>
  <pivotFields count="2">
    <pivotField showAll="0">
      <items count="1053">
        <item x="246"/>
        <item x="252"/>
        <item x="245"/>
        <item x="241"/>
        <item x="248"/>
        <item x="251"/>
        <item x="250"/>
        <item x="247"/>
        <item x="249"/>
        <item x="242"/>
        <item x="244"/>
        <item x="243"/>
        <item x="240"/>
        <item x="59"/>
        <item x="54"/>
        <item x="64"/>
        <item x="65"/>
        <item x="171"/>
        <item x="60"/>
        <item x="239"/>
        <item x="63"/>
        <item x="62"/>
        <item x="67"/>
        <item x="68"/>
        <item x="157"/>
        <item x="158"/>
        <item x="170"/>
        <item x="69"/>
        <item x="70"/>
        <item x="61"/>
        <item x="168"/>
        <item x="159"/>
        <item x="169"/>
        <item x="137"/>
        <item x="167"/>
        <item x="141"/>
        <item x="160"/>
        <item x="142"/>
        <item x="155"/>
        <item x="166"/>
        <item x="163"/>
        <item x="154"/>
        <item x="136"/>
        <item x="165"/>
        <item x="164"/>
        <item x="153"/>
        <item x="162"/>
        <item x="152"/>
        <item x="149"/>
        <item x="138"/>
        <item x="135"/>
        <item x="156"/>
        <item x="144"/>
        <item x="150"/>
        <item x="151"/>
        <item x="145"/>
        <item x="148"/>
        <item x="147"/>
        <item x="139"/>
        <item x="2"/>
        <item x="1"/>
        <item x="8"/>
        <item x="3"/>
        <item x="161"/>
        <item x="217"/>
        <item x="4"/>
        <item x="5"/>
        <item x="218"/>
        <item x="7"/>
        <item x="146"/>
        <item x="56"/>
        <item x="275"/>
        <item x="211"/>
        <item x="214"/>
        <item x="201"/>
        <item x="215"/>
        <item x="55"/>
        <item x="53"/>
        <item x="57"/>
        <item x="227"/>
        <item x="216"/>
        <item x="49"/>
        <item x="51"/>
        <item x="6"/>
        <item x="208"/>
        <item x="207"/>
        <item x="274"/>
        <item x="276"/>
        <item x="280"/>
        <item x="198"/>
        <item x="273"/>
        <item x="131"/>
        <item x="213"/>
        <item x="140"/>
        <item x="75"/>
        <item x="133"/>
        <item x="271"/>
        <item x="44"/>
        <item x="277"/>
        <item x="279"/>
        <item x="228"/>
        <item x="48"/>
        <item x="209"/>
        <item x="221"/>
        <item x="210"/>
        <item x="278"/>
        <item x="47"/>
        <item x="272"/>
        <item x="212"/>
        <item x="226"/>
        <item x="42"/>
        <item x="46"/>
        <item x="230"/>
        <item x="231"/>
        <item x="58"/>
        <item x="232"/>
        <item x="229"/>
        <item x="224"/>
        <item x="134"/>
        <item x="205"/>
        <item x="222"/>
        <item x="270"/>
        <item x="40"/>
        <item x="225"/>
        <item x="269"/>
        <item x="132"/>
        <item x="37"/>
        <item x="45"/>
        <item x="223"/>
        <item x="41"/>
        <item x="72"/>
        <item x="43"/>
        <item x="39"/>
        <item x="130"/>
        <item x="268"/>
        <item x="77"/>
        <item x="76"/>
        <item x="74"/>
        <item x="73"/>
        <item x="71"/>
        <item x="0"/>
        <item x="173"/>
        <item x="66"/>
        <item x="172"/>
        <item x="233"/>
        <item x="235"/>
        <item x="102"/>
        <item x="106"/>
        <item x="234"/>
        <item x="236"/>
        <item x="111"/>
        <item x="238"/>
        <item x="113"/>
        <item x="105"/>
        <item x="101"/>
        <item x="107"/>
        <item x="110"/>
        <item x="108"/>
        <item x="103"/>
        <item x="913"/>
        <item x="112"/>
        <item x="109"/>
        <item x="643"/>
        <item x="104"/>
        <item x="640"/>
        <item x="918"/>
        <item x="636"/>
        <item x="916"/>
        <item x="912"/>
        <item x="909"/>
        <item x="644"/>
        <item x="634"/>
        <item x="638"/>
        <item x="635"/>
        <item x="637"/>
        <item x="237"/>
        <item x="639"/>
        <item x="698"/>
        <item x="763"/>
        <item x="697"/>
        <item x="906"/>
        <item x="917"/>
        <item x="914"/>
        <item x="642"/>
        <item x="645"/>
        <item x="911"/>
        <item x="915"/>
        <item x="633"/>
        <item x="761"/>
        <item x="910"/>
        <item x="751"/>
        <item x="907"/>
        <item x="762"/>
        <item x="699"/>
        <item x="908"/>
        <item x="760"/>
        <item x="919"/>
        <item x="175"/>
        <item x="641"/>
        <item x="696"/>
        <item x="632"/>
        <item x="174"/>
        <item x="87"/>
        <item x="143"/>
        <item x="38"/>
        <item x="23"/>
        <item x="967"/>
        <item x="88"/>
        <item x="89"/>
        <item x="93"/>
        <item x="94"/>
        <item x="968"/>
        <item x="9"/>
        <item x="85"/>
        <item x="16"/>
        <item x="17"/>
        <item x="22"/>
        <item x="14"/>
        <item x="969"/>
        <item x="847"/>
        <item x="11"/>
        <item x="12"/>
        <item x="15"/>
        <item x="21"/>
        <item x="10"/>
        <item x="13"/>
        <item x="19"/>
        <item x="855"/>
        <item x="979"/>
        <item x="849"/>
        <item x="18"/>
        <item x="975"/>
        <item x="854"/>
        <item x="973"/>
        <item x="848"/>
        <item x="846"/>
        <item x="20"/>
        <item x="971"/>
        <item x="843"/>
        <item x="857"/>
        <item x="29"/>
        <item x="974"/>
        <item x="845"/>
        <item x="978"/>
        <item x="853"/>
        <item x="91"/>
        <item x="859"/>
        <item x="860"/>
        <item x="36"/>
        <item x="970"/>
        <item x="33"/>
        <item x="31"/>
        <item x="27"/>
        <item x="972"/>
        <item x="35"/>
        <item x="34"/>
        <item x="32"/>
        <item x="50"/>
        <item x="25"/>
        <item x="26"/>
        <item x="52"/>
        <item x="30"/>
        <item x="977"/>
        <item x="24"/>
        <item x="92"/>
        <item x="28"/>
        <item x="858"/>
        <item x="86"/>
        <item x="610"/>
        <item x="980"/>
        <item x="856"/>
        <item x="891"/>
        <item x="844"/>
        <item x="976"/>
        <item x="753"/>
        <item x="851"/>
        <item x="607"/>
        <item x="90"/>
        <item x="608"/>
        <item x="759"/>
        <item x="612"/>
        <item x="609"/>
        <item x="606"/>
        <item x="852"/>
        <item x="850"/>
        <item x="616"/>
        <item x="98"/>
        <item x="603"/>
        <item x="611"/>
        <item x="758"/>
        <item x="882"/>
        <item x="754"/>
        <item x="881"/>
        <item x="614"/>
        <item x="885"/>
        <item x="757"/>
        <item x="888"/>
        <item x="901"/>
        <item x="898"/>
        <item x="770"/>
        <item x="765"/>
        <item x="889"/>
        <item x="128"/>
        <item x="878"/>
        <item x="613"/>
        <item x="956"/>
        <item x="605"/>
        <item x="764"/>
        <item x="894"/>
        <item x="879"/>
        <item x="884"/>
        <item x="756"/>
        <item x="755"/>
        <item x="768"/>
        <item x="604"/>
        <item x="95"/>
        <item x="953"/>
        <item x="767"/>
        <item x="887"/>
        <item x="880"/>
        <item x="769"/>
        <item x="615"/>
        <item x="877"/>
        <item x="886"/>
        <item x="883"/>
        <item x="766"/>
        <item x="96"/>
        <item x="842"/>
        <item x="957"/>
        <item x="964"/>
        <item x="97"/>
        <item x="962"/>
        <item x="960"/>
        <item x="961"/>
        <item x="963"/>
        <item x="120"/>
        <item x="955"/>
        <item x="116"/>
        <item x="965"/>
        <item x="117"/>
        <item x="119"/>
        <item x="959"/>
        <item x="118"/>
        <item x="954"/>
        <item x="958"/>
        <item x="177"/>
        <item x="204"/>
        <item x="262"/>
        <item x="195"/>
        <item x="181"/>
        <item x="84"/>
        <item x="265"/>
        <item x="263"/>
        <item x="191"/>
        <item x="260"/>
        <item x="199"/>
        <item x="259"/>
        <item x="200"/>
        <item x="197"/>
        <item x="100"/>
        <item x="183"/>
        <item x="255"/>
        <item x="79"/>
        <item x="80"/>
        <item x="180"/>
        <item x="267"/>
        <item x="258"/>
        <item x="266"/>
        <item x="184"/>
        <item x="189"/>
        <item x="182"/>
        <item x="193"/>
        <item x="264"/>
        <item x="81"/>
        <item x="206"/>
        <item x="178"/>
        <item x="99"/>
        <item x="78"/>
        <item x="257"/>
        <item x="256"/>
        <item x="82"/>
        <item x="114"/>
        <item x="185"/>
        <item x="192"/>
        <item x="219"/>
        <item x="202"/>
        <item x="254"/>
        <item x="187"/>
        <item x="115"/>
        <item x="190"/>
        <item x="253"/>
        <item x="188"/>
        <item x="179"/>
        <item x="194"/>
        <item x="220"/>
        <item x="186"/>
        <item x="261"/>
        <item x="83"/>
        <item x="176"/>
        <item x="203"/>
        <item x="196"/>
        <item x="734"/>
        <item x="682"/>
        <item x="735"/>
        <item x="703"/>
        <item x="681"/>
        <item x="736"/>
        <item x="876"/>
        <item x="730"/>
        <item x="896"/>
        <item x="895"/>
        <item x="733"/>
        <item x="677"/>
        <item x="897"/>
        <item x="687"/>
        <item x="900"/>
        <item x="684"/>
        <item x="688"/>
        <item x="692"/>
        <item x="779"/>
        <item x="689"/>
        <item x="892"/>
        <item x="902"/>
        <item x="903"/>
        <item x="683"/>
        <item x="680"/>
        <item x="701"/>
        <item x="893"/>
        <item x="700"/>
        <item x="695"/>
        <item x="729"/>
        <item x="782"/>
        <item x="732"/>
        <item x="899"/>
        <item x="731"/>
        <item x="904"/>
        <item x="691"/>
        <item x="685"/>
        <item x="670"/>
        <item x="694"/>
        <item x="674"/>
        <item x="690"/>
        <item x="686"/>
        <item x="667"/>
        <item x="704"/>
        <item x="834"/>
        <item x="126"/>
        <item x="122"/>
        <item x="841"/>
        <item x="838"/>
        <item x="840"/>
        <item x="121"/>
        <item x="702"/>
        <item x="835"/>
        <item x="839"/>
        <item x="125"/>
        <item x="830"/>
        <item x="837"/>
        <item x="836"/>
        <item x="831"/>
        <item x="705"/>
        <item x="829"/>
        <item x="721"/>
        <item x="718"/>
        <item x="833"/>
        <item x="717"/>
        <item x="722"/>
        <item x="832"/>
        <item x="712"/>
        <item x="720"/>
        <item x="715"/>
        <item x="706"/>
        <item x="124"/>
        <item x="719"/>
        <item x="716"/>
        <item x="123"/>
        <item x="129"/>
        <item x="127"/>
        <item x="787"/>
        <item x="282"/>
        <item x="296"/>
        <item x="294"/>
        <item x="299"/>
        <item x="300"/>
        <item x="298"/>
        <item x="281"/>
        <item x="304"/>
        <item x="295"/>
        <item x="285"/>
        <item x="305"/>
        <item x="288"/>
        <item x="303"/>
        <item x="293"/>
        <item x="286"/>
        <item x="290"/>
        <item x="292"/>
        <item x="291"/>
        <item x="301"/>
        <item x="302"/>
        <item x="283"/>
        <item x="306"/>
        <item x="297"/>
        <item x="307"/>
        <item x="284"/>
        <item x="289"/>
        <item x="287"/>
        <item x="308"/>
        <item x="821"/>
        <item x="663"/>
        <item x="786"/>
        <item x="666"/>
        <item x="671"/>
        <item x="672"/>
        <item x="662"/>
        <item x="665"/>
        <item x="673"/>
        <item x="668"/>
        <item x="675"/>
        <item x="676"/>
        <item x="678"/>
        <item x="664"/>
        <item x="714"/>
        <item x="669"/>
        <item x="708"/>
        <item x="711"/>
        <item x="710"/>
        <item x="822"/>
        <item x="713"/>
        <item x="1004"/>
        <item x="823"/>
        <item x="1005"/>
        <item x="709"/>
        <item x="825"/>
        <item x="1003"/>
        <item x="1002"/>
        <item x="824"/>
        <item x="1006"/>
        <item x="325"/>
        <item x="318"/>
        <item x="322"/>
        <item x="324"/>
        <item x="319"/>
        <item x="316"/>
        <item x="321"/>
        <item x="323"/>
        <item x="311"/>
        <item x="317"/>
        <item x="320"/>
        <item x="313"/>
        <item x="312"/>
        <item x="314"/>
        <item x="414"/>
        <item x="409"/>
        <item x="418"/>
        <item x="424"/>
        <item x="419"/>
        <item x="412"/>
        <item x="423"/>
        <item x="407"/>
        <item x="416"/>
        <item x="451"/>
        <item x="455"/>
        <item x="417"/>
        <item x="413"/>
        <item x="415"/>
        <item x="519"/>
        <item x="408"/>
        <item x="453"/>
        <item x="428"/>
        <item x="518"/>
        <item x="410"/>
        <item x="427"/>
        <item x="549"/>
        <item x="516"/>
        <item x="462"/>
        <item x="502"/>
        <item x="499"/>
        <item x="411"/>
        <item x="426"/>
        <item x="429"/>
        <item x="503"/>
        <item x="509"/>
        <item x="452"/>
        <item x="421"/>
        <item x="504"/>
        <item x="514"/>
        <item x="456"/>
        <item x="511"/>
        <item x="512"/>
        <item x="501"/>
        <item x="513"/>
        <item x="522"/>
        <item x="498"/>
        <item x="508"/>
        <item x="454"/>
        <item x="425"/>
        <item x="524"/>
        <item x="500"/>
        <item x="548"/>
        <item x="497"/>
        <item x="315"/>
        <item x="520"/>
        <item x="515"/>
        <item x="523"/>
        <item x="461"/>
        <item x="495"/>
        <item x="546"/>
        <item x="517"/>
        <item x="492"/>
        <item x="547"/>
        <item x="449"/>
        <item x="458"/>
        <item x="496"/>
        <item x="460"/>
        <item x="432"/>
        <item x="521"/>
        <item x="510"/>
        <item x="450"/>
        <item x="431"/>
        <item x="422"/>
        <item x="457"/>
        <item x="541"/>
        <item x="545"/>
        <item x="554"/>
        <item x="550"/>
        <item x="488"/>
        <item x="542"/>
        <item x="494"/>
        <item x="459"/>
        <item x="544"/>
        <item x="481"/>
        <item x="553"/>
        <item x="506"/>
        <item x="543"/>
        <item x="551"/>
        <item x="430"/>
        <item x="552"/>
        <item x="798"/>
        <item x="505"/>
        <item x="594"/>
        <item x="595"/>
        <item x="591"/>
        <item x="596"/>
        <item x="346"/>
        <item x="590"/>
        <item x="592"/>
        <item x="600"/>
        <item x="791"/>
        <item x="593"/>
        <item x="599"/>
        <item x="355"/>
        <item x="788"/>
        <item x="348"/>
        <item x="353"/>
        <item x="356"/>
        <item x="792"/>
        <item x="349"/>
        <item x="799"/>
        <item x="354"/>
        <item x="347"/>
        <item x="350"/>
        <item x="793"/>
        <item x="597"/>
        <item x="598"/>
        <item x="789"/>
        <item x="589"/>
        <item x="570"/>
        <item x="352"/>
        <item x="351"/>
        <item x="371"/>
        <item x="794"/>
        <item x="571"/>
        <item x="366"/>
        <item x="370"/>
        <item x="369"/>
        <item x="372"/>
        <item x="365"/>
        <item x="342"/>
        <item x="478"/>
        <item x="368"/>
        <item x="486"/>
        <item x="484"/>
        <item x="367"/>
        <item x="588"/>
        <item x="489"/>
        <item x="487"/>
        <item x="485"/>
        <item x="480"/>
        <item x="575"/>
        <item x="490"/>
        <item x="584"/>
        <item x="482"/>
        <item x="576"/>
        <item x="483"/>
        <item x="582"/>
        <item x="574"/>
        <item x="577"/>
        <item x="573"/>
        <item x="583"/>
        <item x="491"/>
        <item x="618"/>
        <item x="578"/>
        <item x="795"/>
        <item x="569"/>
        <item x="572"/>
        <item x="629"/>
        <item x="564"/>
        <item x="617"/>
        <item x="601"/>
        <item x="587"/>
        <item x="563"/>
        <item x="602"/>
        <item x="579"/>
        <item x="586"/>
        <item x="565"/>
        <item x="585"/>
        <item x="568"/>
        <item x="627"/>
        <item x="580"/>
        <item x="625"/>
        <item x="621"/>
        <item x="628"/>
        <item x="790"/>
        <item x="796"/>
        <item x="581"/>
        <item x="567"/>
        <item x="559"/>
        <item x="626"/>
        <item x="620"/>
        <item x="566"/>
        <item x="622"/>
        <item x="562"/>
        <item x="561"/>
        <item x="624"/>
        <item x="623"/>
        <item x="619"/>
        <item x="560"/>
        <item x="826"/>
        <item x="820"/>
        <item x="797"/>
        <item x="310"/>
        <item x="309"/>
        <item x="556"/>
        <item x="659"/>
        <item x="661"/>
        <item x="630"/>
        <item x="654"/>
        <item x="651"/>
        <item x="656"/>
        <item x="648"/>
        <item x="631"/>
        <item x="647"/>
        <item x="657"/>
        <item x="652"/>
        <item x="557"/>
        <item x="649"/>
        <item x="650"/>
        <item x="658"/>
        <item x="655"/>
        <item x="653"/>
        <item x="646"/>
        <item x="660"/>
        <item x="345"/>
        <item x="819"/>
        <item x="558"/>
        <item x="817"/>
        <item x="818"/>
        <item x="815"/>
        <item x="555"/>
        <item x="341"/>
        <item x="827"/>
        <item x="338"/>
        <item x="339"/>
        <item x="987"/>
        <item x="1013"/>
        <item x="1015"/>
        <item x="1000"/>
        <item x="1008"/>
        <item x="679"/>
        <item x="996"/>
        <item x="990"/>
        <item x="1001"/>
        <item x="993"/>
        <item x="1012"/>
        <item x="999"/>
        <item x="985"/>
        <item x="1011"/>
        <item x="420"/>
        <item x="1007"/>
        <item x="1014"/>
        <item x="997"/>
        <item x="986"/>
        <item x="1009"/>
        <item x="991"/>
        <item x="989"/>
        <item x="983"/>
        <item x="992"/>
        <item x="994"/>
        <item x="988"/>
        <item x="998"/>
        <item x="984"/>
        <item x="995"/>
        <item x="816"/>
        <item x="1010"/>
        <item x="1016"/>
        <item x="344"/>
        <item x="343"/>
        <item x="337"/>
        <item x="463"/>
        <item x="358"/>
        <item x="340"/>
        <item x="357"/>
        <item x="723"/>
        <item x="725"/>
        <item x="737"/>
        <item x="727"/>
        <item x="739"/>
        <item x="814"/>
        <item x="744"/>
        <item x="724"/>
        <item x="750"/>
        <item x="748"/>
        <item x="747"/>
        <item x="746"/>
        <item x="740"/>
        <item x="726"/>
        <item x="741"/>
        <item x="749"/>
        <item x="728"/>
        <item x="743"/>
        <item x="707"/>
        <item x="361"/>
        <item x="493"/>
        <item x="738"/>
        <item x="745"/>
        <item x="693"/>
        <item x="401"/>
        <item x="444"/>
        <item x="771"/>
        <item x="742"/>
        <item x="443"/>
        <item x="441"/>
        <item x="374"/>
        <item x="448"/>
        <item x="404"/>
        <item x="438"/>
        <item x="391"/>
        <item x="381"/>
        <item x="362"/>
        <item x="394"/>
        <item x="389"/>
        <item x="433"/>
        <item x="396"/>
        <item x="434"/>
        <item x="398"/>
        <item x="395"/>
        <item x="436"/>
        <item x="435"/>
        <item x="440"/>
        <item x="406"/>
        <item x="393"/>
        <item x="386"/>
        <item x="390"/>
        <item x="445"/>
        <item x="405"/>
        <item x="437"/>
        <item x="383"/>
        <item x="464"/>
        <item x="360"/>
        <item x="359"/>
        <item x="465"/>
        <item x="400"/>
        <item x="376"/>
        <item x="378"/>
        <item x="397"/>
        <item x="363"/>
        <item x="373"/>
        <item x="375"/>
        <item x="403"/>
        <item x="399"/>
        <item x="447"/>
        <item x="469"/>
        <item x="387"/>
        <item x="439"/>
        <item x="466"/>
        <item x="392"/>
        <item x="382"/>
        <item x="385"/>
        <item x="379"/>
        <item x="467"/>
        <item x="446"/>
        <item x="384"/>
        <item x="377"/>
        <item x="364"/>
        <item x="388"/>
        <item x="752"/>
        <item x="468"/>
        <item x="380"/>
        <item x="402"/>
        <item x="442"/>
        <item x="470"/>
        <item x="471"/>
        <item x="472"/>
        <item x="473"/>
        <item x="330"/>
        <item x="474"/>
        <item x="813"/>
        <item x="329"/>
        <item x="476"/>
        <item x="475"/>
        <item x="809"/>
        <item x="533"/>
        <item x="780"/>
        <item x="785"/>
        <item x="801"/>
        <item x="781"/>
        <item x="777"/>
        <item x="773"/>
        <item x="800"/>
        <item x="810"/>
        <item x="535"/>
        <item x="772"/>
        <item x="783"/>
        <item x="778"/>
        <item x="528"/>
        <item x="534"/>
        <item x="540"/>
        <item x="807"/>
        <item x="776"/>
        <item x="774"/>
        <item x="784"/>
        <item x="525"/>
        <item x="539"/>
        <item x="812"/>
        <item x="532"/>
        <item x="527"/>
        <item x="775"/>
        <item x="530"/>
        <item x="477"/>
        <item x="536"/>
        <item x="806"/>
        <item x="803"/>
        <item x="808"/>
        <item x="537"/>
        <item x="905"/>
        <item x="930"/>
        <item x="947"/>
        <item x="938"/>
        <item x="802"/>
        <item x="529"/>
        <item x="869"/>
        <item x="507"/>
        <item x="946"/>
        <item x="950"/>
        <item x="862"/>
        <item x="861"/>
        <item x="526"/>
        <item x="871"/>
        <item x="924"/>
        <item x="890"/>
        <item x="934"/>
        <item x="929"/>
        <item x="935"/>
        <item x="864"/>
        <item x="873"/>
        <item x="931"/>
        <item x="942"/>
        <item x="921"/>
        <item x="479"/>
        <item x="874"/>
        <item x="926"/>
        <item x="531"/>
        <item x="951"/>
        <item x="936"/>
        <item x="811"/>
        <item x="943"/>
        <item x="805"/>
        <item x="870"/>
        <item x="952"/>
        <item x="866"/>
        <item x="922"/>
        <item x="872"/>
        <item x="538"/>
        <item x="949"/>
        <item x="941"/>
        <item x="940"/>
        <item x="865"/>
        <item x="966"/>
        <item x="928"/>
        <item x="920"/>
        <item x="925"/>
        <item x="933"/>
        <item x="948"/>
        <item x="981"/>
        <item x="875"/>
        <item x="982"/>
        <item x="868"/>
        <item x="867"/>
        <item x="945"/>
        <item x="828"/>
        <item x="939"/>
        <item x="937"/>
        <item x="944"/>
        <item x="932"/>
        <item x="804"/>
        <item x="927"/>
        <item x="923"/>
        <item x="863"/>
        <item x="326"/>
        <item x="336"/>
        <item x="327"/>
        <item x="328"/>
        <item x="335"/>
        <item x="1030"/>
        <item x="1024"/>
        <item x="1032"/>
        <item x="1029"/>
        <item x="1033"/>
        <item x="1034"/>
        <item x="1028"/>
        <item x="1025"/>
        <item x="1031"/>
        <item x="334"/>
        <item x="1037"/>
        <item x="333"/>
        <item x="1035"/>
        <item x="1036"/>
        <item x="1026"/>
        <item x="1039"/>
        <item x="1041"/>
        <item x="1027"/>
        <item x="1040"/>
        <item x="1038"/>
        <item x="331"/>
        <item x="1017"/>
        <item x="1018"/>
        <item x="1020"/>
        <item x="1043"/>
        <item x="1019"/>
        <item x="1022"/>
        <item x="332"/>
        <item x="1049"/>
        <item x="1021"/>
        <item x="1045"/>
        <item x="1047"/>
        <item x="1042"/>
        <item x="1046"/>
        <item x="1048"/>
        <item x="1044"/>
        <item x="1023"/>
        <item x="1050"/>
        <item x="1051"/>
        <item t="default"/>
      </items>
    </pivotField>
    <pivotField dataField="1" showAll="0"/>
  </pivotFields>
  <rowItems count="1">
    <i/>
  </rowItems>
  <colItems count="1">
    <i/>
  </colItems>
  <dataFields count="1">
    <dataField name="Average of Quantity Sold" fld="1"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Sales" xr10:uid="{80E8D647-71DC-41DC-9D33-BF25CF649250}" sourceName="Total Sales">
  <pivotTables>
    <pivotTable tabId="8" name="PivotTable79"/>
    <pivotTable tabId="8" name="PivotTable66"/>
    <pivotTable tabId="8" name="PivotTable67"/>
    <pivotTable tabId="8" name="PivotTable68"/>
    <pivotTable tabId="8" name="PivotTable69"/>
    <pivotTable tabId="8" name="PivotTable73"/>
    <pivotTable tabId="8" name="PivotTable77"/>
  </pivotTables>
  <data>
    <tabular pivotCacheId="2023622494">
      <items count="37">
        <i x="0" s="1"/>
        <i x="35" s="1"/>
        <i x="34" s="1"/>
        <i x="11" s="1"/>
        <i x="27" s="1"/>
        <i x="33" s="1"/>
        <i x="31" s="1"/>
        <i x="19" s="1"/>
        <i x="13" s="1"/>
        <i x="20" s="1"/>
        <i x="1" s="1"/>
        <i x="32" s="1"/>
        <i x="21" s="1"/>
        <i x="22" s="1"/>
        <i x="26" s="1"/>
        <i x="14" s="1"/>
        <i x="7" s="1"/>
        <i x="29" s="1"/>
        <i x="15" s="1"/>
        <i x="18" s="1"/>
        <i x="25" s="1"/>
        <i x="12" s="1"/>
        <i x="2" s="1"/>
        <i x="10" s="1"/>
        <i x="16" s="1"/>
        <i x="4" s="1"/>
        <i x="6" s="1"/>
        <i x="23" s="1"/>
        <i x="28" s="1"/>
        <i x="30" s="1"/>
        <i x="24" s="1"/>
        <i x="9" s="1"/>
        <i x="5" s="1"/>
        <i x="3" s="1"/>
        <i x="17" s="1"/>
        <i x="8" s="1"/>
        <i x="3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Cost_Of_Sales" xr10:uid="{D9C9DD82-B414-48DF-AB7F-0C18E47CB796}" sourceName="Total Cost Of Sales">
  <pivotTables>
    <pivotTable tabId="8" name="PivotTable79"/>
    <pivotTable tabId="8" name="PivotTable66"/>
    <pivotTable tabId="8" name="PivotTable67"/>
    <pivotTable tabId="8" name="PivotTable68"/>
    <pivotTable tabId="8" name="PivotTable69"/>
    <pivotTable tabId="8" name="PivotTable73"/>
    <pivotTable tabId="8" name="PivotTable77"/>
  </pivotTables>
  <data>
    <tabular pivotCacheId="2023622494">
      <items count="37">
        <i x="0" s="1"/>
        <i x="35" s="1"/>
        <i x="34" s="1"/>
        <i x="11" s="1"/>
        <i x="27" s="1"/>
        <i x="33" s="1"/>
        <i x="31" s="1"/>
        <i x="19" s="1"/>
        <i x="13" s="1"/>
        <i x="1" s="1"/>
        <i x="20" s="1"/>
        <i x="32" s="1"/>
        <i x="26" s="1"/>
        <i x="7" s="1"/>
        <i x="21" s="1"/>
        <i x="14" s="1"/>
        <i x="22" s="1"/>
        <i x="29" s="1"/>
        <i x="18" s="1"/>
        <i x="15" s="1"/>
        <i x="25" s="1"/>
        <i x="2" s="1"/>
        <i x="12" s="1"/>
        <i x="10" s="1"/>
        <i x="16" s="1"/>
        <i x="4" s="1"/>
        <i x="6" s="1"/>
        <i x="28" s="1"/>
        <i x="23" s="1"/>
        <i x="24" s="1"/>
        <i x="30" s="1"/>
        <i x="5" s="1"/>
        <i x="9" s="1"/>
        <i x="3" s="1"/>
        <i x="17" s="1"/>
        <i x="8" s="1"/>
        <i x="3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Quantity_Sold" xr10:uid="{3409194E-B70C-4766-9F2B-DD04B95753F7}" sourceName="Total Quantity Sold">
  <pivotTables>
    <pivotTable tabId="8" name="PivotTable79"/>
    <pivotTable tabId="8" name="PivotTable66"/>
    <pivotTable tabId="8" name="PivotTable67"/>
    <pivotTable tabId="8" name="PivotTable68"/>
    <pivotTable tabId="8" name="PivotTable69"/>
    <pivotTable tabId="8" name="PivotTable73"/>
    <pivotTable tabId="8" name="PivotTable77"/>
  </pivotTables>
  <data>
    <tabular pivotCacheId="2023622494">
      <items count="37">
        <i x="0" s="1"/>
        <i x="35" s="1"/>
        <i x="34" s="1"/>
        <i x="11" s="1"/>
        <i x="27" s="1"/>
        <i x="33" s="1"/>
        <i x="31" s="1"/>
        <i x="13" s="1"/>
        <i x="19" s="1"/>
        <i x="20" s="1"/>
        <i x="1" s="1"/>
        <i x="32" s="1"/>
        <i x="14" s="1"/>
        <i x="26" s="1"/>
        <i x="21" s="1"/>
        <i x="22" s="1"/>
        <i x="18" s="1"/>
        <i x="15" s="1"/>
        <i x="12" s="1"/>
        <i x="29" s="1"/>
        <i x="7" s="1"/>
        <i x="25" s="1"/>
        <i x="16" s="1"/>
        <i x="10" s="1"/>
        <i x="2" s="1"/>
        <i x="23" s="1"/>
        <i x="24" s="1"/>
        <i x="4" s="1"/>
        <i x="28" s="1"/>
        <i x="30" s="1"/>
        <i x="6" s="1"/>
        <i x="17" s="1"/>
        <i x="5" s="1"/>
        <i x="9" s="1"/>
        <i x="3" s="1"/>
        <i x="8" s="1"/>
        <i x="3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erage_Unit_Price" xr10:uid="{289066A3-56CA-42DE-9307-D48F1AAF27CA}" sourceName="Average Unit Price">
  <pivotTables>
    <pivotTable tabId="8" name="PivotTable79"/>
    <pivotTable tabId="8" name="PivotTable66"/>
    <pivotTable tabId="8" name="PivotTable67"/>
    <pivotTable tabId="8" name="PivotTable68"/>
    <pivotTable tabId="8" name="PivotTable69"/>
    <pivotTable tabId="8" name="PivotTable73"/>
    <pivotTable tabId="8" name="PivotTable77"/>
  </pivotTables>
  <data>
    <tabular pivotCacheId="2023622494">
      <items count="37">
        <i x="9" s="1"/>
        <i x="8" s="1"/>
        <i x="2" s="1"/>
        <i x="6" s="1"/>
        <i x="0" s="1"/>
        <i x="5" s="1"/>
        <i x="3" s="1"/>
        <i x="1" s="1"/>
        <i x="7" s="1"/>
        <i x="4" s="1"/>
        <i x="30" s="1"/>
        <i x="10" s="1"/>
        <i x="21" s="1"/>
        <i x="28" s="1"/>
        <i x="32" s="1"/>
        <i x="23" s="1"/>
        <i x="29" s="1"/>
        <i x="22" s="1"/>
        <i x="25" s="1"/>
        <i x="20" s="1"/>
        <i x="24" s="1"/>
        <i x="31" s="1"/>
        <i x="33" s="1"/>
        <i x="26" s="1"/>
        <i x="17" s="1"/>
        <i x="14" s="1"/>
        <i x="11" s="1"/>
        <i x="19" s="1"/>
        <i x="15" s="1"/>
        <i x="16" s="1"/>
        <i x="18" s="1"/>
        <i x="12" s="1"/>
        <i x="27" s="1"/>
        <i x="13" s="1"/>
        <i x="34" s="1"/>
        <i x="35" s="1"/>
        <i x="36"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ss_Profit" xr10:uid="{2A2A2AFE-3C25-4EC5-BC94-B991D2997BDB}" sourceName="Gross Profit">
  <pivotTables>
    <pivotTable tabId="8" name="PivotTable79"/>
    <pivotTable tabId="8" name="PivotTable66"/>
    <pivotTable tabId="8" name="PivotTable67"/>
    <pivotTable tabId="8" name="PivotTable68"/>
    <pivotTable tabId="8" name="PivotTable69"/>
    <pivotTable tabId="8" name="PivotTable73"/>
    <pivotTable tabId="8" name="PivotTable77"/>
  </pivotTables>
  <data>
    <tabular pivotCacheId="2023622494">
      <items count="37">
        <i x="23" s="1"/>
        <i x="17" s="1"/>
        <i x="9" s="1"/>
        <i x="8" s="1"/>
        <i x="28" s="1"/>
        <i x="30" s="1"/>
        <i x="21" s="1"/>
        <i x="22" s="1"/>
        <i x="24" s="1"/>
        <i x="15" s="1"/>
        <i x="16" s="1"/>
        <i x="5" s="1"/>
        <i x="12" s="1"/>
        <i x="20" s="1"/>
        <i x="25" s="1"/>
        <i x="14" s="1"/>
        <i x="6" s="1"/>
        <i x="18" s="1"/>
        <i x="29" s="1"/>
        <i x="13" s="1"/>
        <i x="19" s="1"/>
        <i x="32" s="1"/>
        <i x="3" s="1"/>
        <i x="2" s="1"/>
        <i x="10" s="1"/>
        <i x="7" s="1"/>
        <i x="4" s="1"/>
        <i x="0" s="1"/>
        <i x="26" s="1"/>
        <i x="1" s="1"/>
        <i x="27" s="1"/>
        <i x="33" s="1"/>
        <i x="31" s="1"/>
        <i x="11" s="1"/>
        <i x="35" s="1"/>
        <i x="34" s="1"/>
        <i x="36"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Month" xr10:uid="{30BAA44D-3155-4239-856A-F0BBF8A48B7D}" sourceName="Years (Month)">
  <pivotTables>
    <pivotTable tabId="8" name="PivotTable79"/>
    <pivotTable tabId="8" name="PivotTable66"/>
    <pivotTable tabId="8" name="PivotTable67"/>
    <pivotTable tabId="8" name="PivotTable68"/>
    <pivotTable tabId="8" name="PivotTable69"/>
    <pivotTable tabId="8" name="PivotTable73"/>
    <pivotTable tabId="8" name="PivotTable77"/>
  </pivotTables>
  <data>
    <tabular pivotCacheId="2023622494">
      <items count="6">
        <i x="1" s="1"/>
        <i x="2" s="1"/>
        <i x="3" s="1"/>
        <i x="4" s="1"/>
        <i x="0" s="1" nd="1"/>
        <i x="5"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E2724446-96D8-4243-923F-A924AFA5FDBA}" sourceName="Sales">
  <pivotTables>
    <pivotTable tabId="14" name="PivotTable85"/>
  </pivotTables>
  <data>
    <tabular pivotCacheId="206521032">
      <items count="1054">
        <i x="988" s="1"/>
        <i x="1017" s="1"/>
        <i x="597" s="1"/>
        <i x="598" s="1"/>
        <i x="329" s="1"/>
        <i x="864" s="1"/>
        <i x="626" s="1"/>
        <i x="950" s="1"/>
        <i x="625" s="1"/>
        <i x="331" s="1"/>
        <i x="927" s="1"/>
        <i x="987" s="1"/>
        <i x="952" s="1"/>
        <i x="1016" s="1"/>
        <i x="328" s="1"/>
        <i x="622" s="1"/>
        <i x="926" s="1"/>
        <i x="808" s="1"/>
        <i x="870" s="1"/>
        <i x="863" s="1"/>
        <i x="596" s="1"/>
        <i x="933" s="1"/>
        <i x="1015" s="1"/>
        <i x="176" s="1"/>
        <i x="925" s="1"/>
        <i x="804" s="1"/>
        <i x="801" s="1"/>
        <i x="1023" s="1"/>
        <i x="951" s="1"/>
        <i x="332" s="1"/>
        <i x="932" s="1"/>
        <i x="994" s="1"/>
        <i x="800" s="1"/>
        <i x="1024" s="1"/>
        <i x="869" s="1"/>
        <i x="871" s="1"/>
        <i x="591" s="1"/>
        <i x="923" s="1"/>
        <i x="905" s="1"/>
        <i x="1028" s="1"/>
        <i x="652" s="1"/>
        <i x="330" s="1"/>
        <i x="989" s="1"/>
        <i x="470" s="1"/>
        <i x="936" s="1"/>
        <i x="1022" s="1"/>
        <i x="629" s="1"/>
        <i x="996" s="1"/>
        <i x="807" s="1"/>
        <i x="659" s="1"/>
        <i x="653" s="1"/>
        <i x="862" s="1"/>
        <i x="868" s="1"/>
        <i x="937" s="1"/>
        <i x="444" s="1"/>
        <i x="982" s="1"/>
        <i x="966" s="1"/>
        <i x="938" s="1"/>
        <i x="630" s="1"/>
        <i x="569" s="1"/>
        <i x="590" s="1"/>
        <i x="805" s="1"/>
        <i x="930" s="1"/>
        <i x="924" s="1"/>
        <i x="402" s="1"/>
        <i x="947" s="1"/>
        <i x="993" s="1"/>
        <i x="631" s="1"/>
        <i x="333" s="1"/>
        <i x="327" s="1"/>
        <i x="437" s="1"/>
        <i x="812" s="1"/>
        <i x="361" s="1"/>
        <i x="619" s="1"/>
        <i x="946" s="1"/>
        <i x="324" s="1"/>
        <i x="443" s="1"/>
        <i x="985" s="1"/>
        <i x="317" s="1"/>
        <i x="195" s="1"/>
        <i x="992" s="1"/>
        <i x="472" s="1"/>
        <i x="995" s="1"/>
        <i x="29" s="1"/>
        <i x="442" s="1"/>
        <i x="981" s="1"/>
        <i x="1014" s="1"/>
        <i x="624" s="1"/>
        <i x="325" s="1"/>
        <i x="561" s="1"/>
        <i x="867" s="1"/>
        <i x="931" s="1"/>
        <i x="1013" s="1"/>
        <i x="940" s="1"/>
        <i x="986" s="1"/>
        <i x="623" s="1"/>
        <i x="576" s="1"/>
        <i x="654" s="1"/>
        <i x="1031" s="1"/>
        <i x="660" s="1"/>
        <i x="326" s="1"/>
        <i x="785" s="1"/>
        <i x="1027" s="1"/>
        <i x="828" s="1"/>
        <i x="811" s="1"/>
        <i x="339" s="1"/>
        <i x="318" s="1"/>
        <i x="577" s="1"/>
        <i x="658" s="1"/>
        <i x="806" s="1"/>
        <i x="50" s="1"/>
        <i x="178" s="1"/>
        <i x="661" s="1"/>
        <i x="177" s="1"/>
        <i x="316" s="1"/>
        <i x="204" s="1"/>
        <i x="477" s="1"/>
        <i x="601" s="1"/>
        <i x="575" s="1"/>
        <i x="1003" s="1"/>
        <i x="436" s="1"/>
        <i x="1021" s="1"/>
        <i x="476" s="1"/>
        <i x="1020" s="1"/>
        <i x="395" s="1"/>
        <i x="621" s="1"/>
        <i x="650" s="1"/>
        <i x="559" s="1"/>
        <i x="651" s="1"/>
        <i x="23" s="1"/>
        <i x="471" s="1"/>
        <i x="818" s="1"/>
        <i x="1002" s="1"/>
        <i x="1001" s="1"/>
        <i x="602" s="1"/>
        <i x="943" s="1"/>
        <i x="380" s="1"/>
        <i x="647" s="1"/>
        <i x="657" s="1"/>
        <i x="394" s="1"/>
        <i x="589" s="1"/>
        <i x="479" s="1"/>
        <i x="799" s="1"/>
        <i x="286" s="1"/>
        <i x="934" s="1"/>
        <i x="874" s="1"/>
        <i x="745" s="1"/>
        <i x="181" s="1"/>
        <i x="435" s="1"/>
        <i x="1030" s="1"/>
        <i x="323" s="1"/>
        <i x="475" s="1"/>
        <i x="387" s="1"/>
        <i x="560" s="1"/>
        <i x="646" s="1"/>
        <i x="24" s="1"/>
        <i x="773" s="1"/>
        <i x="821" s="1"/>
        <i x="595" s="1"/>
        <i x="31" s="1"/>
        <i x="379" s="1"/>
        <i x="540" s="1"/>
        <i x="944" s="1"/>
        <i x="813" s="1"/>
        <i x="861" s="1"/>
        <i x="388" s="1"/>
        <i x="570" s="1"/>
        <i x="447" s="1"/>
        <i x="752" s="1"/>
        <i x="440" s="1"/>
        <i x="1000" s="1"/>
        <i x="30" s="1"/>
        <i x="1034" s="1"/>
        <i x="744" s="1"/>
        <i x="939" s="1"/>
        <i x="627" s="1"/>
        <i x="189" s="1"/>
        <i x="528" s="1"/>
        <i x="628" s="1"/>
        <i x="363" s="1"/>
        <i x="875" s="1"/>
        <i x="262" s="1"/>
        <i x="1018" s="1"/>
        <i x="727" s="1"/>
        <i x="288" s="1"/>
        <i x="920" s="1"/>
        <i x="377" s="1"/>
        <i x="780" s="1"/>
        <i x="304" s="1"/>
        <i x="990" s="1"/>
        <i x="567" s="1"/>
        <i x="588" s="1"/>
        <i x="1035" s="1"/>
        <i x="188" s="1"/>
        <i x="83" s="1"/>
        <i x="1010" s="1"/>
        <i x="617" s="1"/>
        <i x="1029" s="1"/>
        <i x="890" s="1"/>
        <i x="282" s="1"/>
        <i x="750" s="1"/>
        <i x="945" s="1"/>
        <i x="556" s="1"/>
        <i x="255" s="1"/>
        <i x="594" s="1"/>
        <i x="527" s="1"/>
        <i x="949" s="1"/>
        <i x="1045" s="1"/>
        <i x="338" s="1"/>
        <i x="563" s="1"/>
        <i x="568" s="1"/>
        <i x="28" s="1"/>
        <i x="999" s="1"/>
        <i x="310" s="1"/>
        <i x="405" s="1"/>
        <i x="948" s="1"/>
        <i x="261" s="1"/>
        <i x="314" s="1"/>
        <i x="797" s="1"/>
        <i x="20" s="1"/>
        <i x="584" s="1"/>
        <i x="738" s="1"/>
        <i x="465" s="1"/>
        <i x="384" s="1"/>
        <i x="196" s="1"/>
        <i x="344" s="1"/>
        <i x="583" s="1"/>
        <i x="587" s="1"/>
        <i x="265" s="1"/>
        <i x="321" s="1"/>
        <i x="618" s="1"/>
        <i x="315" s="1"/>
        <i x="772" s="1"/>
        <i x="599" s="1"/>
        <i x="374" s="1"/>
        <i x="526" s="1"/>
        <i x="393" s="1"/>
        <i x="935" s="1"/>
        <i x="1051" s="1"/>
        <i x="983" s="1"/>
        <i x="778" s="1"/>
        <i x="566" s="1"/>
        <i x="582" s="1"/>
        <i x="340" s="1"/>
        <i x="802" s="1"/>
        <i x="391" s="1"/>
        <i x="281" s="1"/>
        <i x="809" s="1"/>
        <i x="922" s="1"/>
        <i x="254" s="1"/>
        <i x="535" s="1"/>
        <i x="1009" s="1"/>
        <i x="52" s="1"/>
        <i x="381" s="1"/>
        <i x="468" s="1"/>
        <i x="693" s="1"/>
        <i x="803" s="1"/>
        <i x="865" s="1"/>
        <i x="15" s="1"/>
        <i x="562" s="1"/>
        <i x="928" s="1"/>
        <i x="441" s="1"/>
        <i x="219" s="1"/>
        <i x="199" s="1"/>
        <i x="581" s="1"/>
        <i x="448" s="1"/>
        <i x="84" s="1"/>
        <i x="786" s="1"/>
        <i x="1044" s="1"/>
        <i x="573" s="1"/>
        <i x="191" s="1"/>
        <i x="827" s="1"/>
        <i x="303" s="1"/>
        <i x="866" s="1"/>
        <i x="401" s="1"/>
        <i x="726" s="1"/>
        <i x="27" s="1"/>
        <i x="469" s="1"/>
        <i x="373" s="1"/>
        <i x="260" s="1"/>
        <i x="21" s="1"/>
        <i x="531" s="1"/>
        <i x="555" s="1"/>
        <i x="771" s="1"/>
        <i x="507" s="1"/>
        <i x="378" s="1"/>
        <i x="820" s="1"/>
        <i x="814" s="1"/>
        <i x="17" s="1"/>
        <i x="984" s="1"/>
        <i x="202" s="1"/>
        <i x="784" s="1"/>
        <i x="819" s="1"/>
        <i x="403" s="1"/>
        <i x="592" s="1"/>
        <i x="620" s="1"/>
        <i x="539" s="1"/>
        <i x="322" s="1"/>
        <i x="258" s="1"/>
        <i x="420" s="1"/>
        <i x="203" s="1"/>
        <i x="2" s="1"/>
        <i x="287" s="1"/>
        <i x="574" s="1"/>
        <i x="311" s="1"/>
        <i x="921" s="1"/>
        <i x="1011" s="1"/>
        <i x="1049" s="1"/>
        <i x="776" s="1"/>
        <i x="580" s="1"/>
        <i x="337" s="1"/>
        <i x="334" s="1"/>
        <i x="534" s="1"/>
        <i x="538" s="1"/>
        <i x="302" s="1"/>
        <i x="22" s="1"/>
        <i x="343" s="1"/>
        <i x="385" s="1"/>
        <i x="707" s="1"/>
        <i x="293" s="1"/>
        <i x="825" s="1"/>
        <i x="741" s="1"/>
        <i x="266" s="1"/>
        <i x="798" s="1"/>
        <i x="128" s="1"/>
        <i x="392" s="1"/>
        <i x="1012" s="1"/>
        <i x="1019" s="1"/>
        <i x="79" s="1"/>
        <i x="748" s="1"/>
        <i x="810" s="1"/>
        <i x="125" s="1"/>
        <i x="185" s="1"/>
        <i x="941" s="1"/>
        <i x="182" s="1"/>
        <i x="679" s="1"/>
        <i x="78" s="1"/>
        <i x="290" s="1"/>
        <i x="929" s="1"/>
        <i x="942" s="1"/>
        <i x="13" s="1"/>
        <i x="421" s="1"/>
        <i x="1050" s="1"/>
        <i x="206" s="1"/>
        <i x="1025" s="1"/>
        <i x="129" s="1"/>
        <i x="1008" s="1"/>
        <i x="872" s="1"/>
        <i x="445" s="1"/>
        <i x="749" s="1"/>
        <i x="783" s="1"/>
        <i x="1038" s="1"/>
        <i x="297" s="1"/>
        <i x="1037" s="1"/>
        <i x="386" s="1"/>
        <i x="406" s="1"/>
        <i x="1048" s="1"/>
        <i x="186" s="1"/>
        <i x="115" s="1"/>
        <i x="737" s="1"/>
        <i x="16" s="1"/>
        <i x="296" s="1"/>
        <i x="309" s="1"/>
        <i x="194" s="1"/>
        <i x="873" s="1"/>
        <i x="743" s="1"/>
        <i x="954" s="1"/>
        <i x="991" s="1"/>
        <i x="533" s="1"/>
        <i x="1043" s="1"/>
        <i x="464" s="1"/>
        <i x="335" s="1"/>
        <i x="294" s="1"/>
        <i x="9" s="1"/>
        <i x="400" s="1"/>
        <i x="600" s="1"/>
        <i x="38" s="1"/>
        <i x="1032" s="1"/>
        <i x="220" s="1"/>
        <i x="283" s="1"/>
        <i x="295" s="1"/>
        <i x="473" s="1"/>
        <i x="192" s="1"/>
        <i x="342" s="1"/>
        <i x="832" s="1"/>
        <i x="184" s="1"/>
        <i x="336" s="1"/>
        <i x="1026" s="1"/>
        <i x="404" s="1"/>
        <i x="51" s="1"/>
        <i x="739" s="1"/>
        <i x="541" s="1"/>
        <i x="897" s="1"/>
        <i x="10" s="1"/>
        <i x="190" s="1"/>
        <i x="1041" s="1"/>
        <i x="114" s="1"/>
        <i x="525" s="1"/>
        <i x="267" s="1"/>
        <i x="362" s="1"/>
        <i x="197" s="1"/>
        <i x="655" s="1"/>
        <i x="126" s="1"/>
        <i x="694" s="1"/>
        <i x="656" s="1"/>
        <i x="732" s="1"/>
        <i x="675" s="1"/>
        <i x="961" s="1"/>
        <i x="367" s="1"/>
        <i x="1042" s="1"/>
        <i x="876" s="1"/>
        <i x="34" s="1"/>
        <i x="171" s="1"/>
        <i x="466" s="1"/>
        <i x="111" s="1"/>
        <i x="959" s="1"/>
        <i x="14" s="1"/>
        <i x="143" s="1"/>
        <i x="25" s="1"/>
        <i x="666" s="1"/>
        <i x="493" s="1"/>
        <i x="593" s="1"/>
        <i x="438" s="1"/>
        <i x="187" s="1"/>
        <i x="708" s="1"/>
        <i x="434" s="1"/>
        <i x="1006" s="1"/>
        <i x="664" s="1"/>
        <i x="99" s="1"/>
        <i x="668" s="1"/>
        <i x="97" s="1"/>
        <i x="564" s="1"/>
        <i x="127" s="1"/>
        <i x="87" s="1"/>
        <i x="649" s="1"/>
        <i x="259" s="1"/>
        <i x="585" s="1"/>
        <i x="967" s="1"/>
        <i x="376" s="1"/>
        <i x="291" s="1"/>
        <i x="446" s="1"/>
        <i x="742" s="1"/>
        <i x="433" s="1"/>
        <i x="960" s="1"/>
        <i x="253" s="1"/>
        <i x="957" s="1"/>
        <i x="834" s="1"/>
        <i x="904" s="1"/>
        <i x="665" s="1"/>
        <i x="777" s="1"/>
        <i x="375" s="1"/>
        <i x="119" s="1"/>
        <i x="835" s="1"/>
        <i x="200" s="1"/>
        <i x="100" s="1"/>
        <i x="118" s="1"/>
        <i x="1033" s="1"/>
        <i x="449" s="1"/>
        <i x="632" s="1"/>
        <i x="86" s="1"/>
        <i x="571" s="1"/>
        <i x="557" s="1"/>
        <i x="467" s="1"/>
        <i x="648" s="1"/>
        <i x="841" s="1"/>
        <i x="1036" s="1"/>
        <i x="965" s="1"/>
        <i x="300" s="1"/>
        <i x="565" s="1"/>
        <i x="794" s="1"/>
        <i x="896" s="1"/>
        <i x="36" s="1"/>
        <i x="85" s="1"/>
        <i x="289" s="1"/>
        <i x="822" s="1"/>
        <i x="833" s="1"/>
        <i x="680" s="1"/>
        <i x="124" s="1"/>
        <i x="826" s="1"/>
        <i x="179" s="1"/>
        <i x="120" s="1"/>
        <i x="586" s="1"/>
        <i x="98" s="1"/>
        <i x="478" s="1"/>
        <i x="474" s="1"/>
        <i x="728" s="1"/>
        <i x="56" s="1"/>
        <i x="710" s="1"/>
        <i x="364" s="1"/>
        <i x="725" s="1"/>
        <i x="48" s="1"/>
        <i x="973" s="1"/>
        <i x="193" s="1"/>
        <i x="678" s="1"/>
        <i x="902" s="1"/>
        <i x="396" s="1"/>
        <i x="740" s="1"/>
        <i x="174" s="1"/>
        <i x="790" s="1"/>
        <i x="41" s="1"/>
        <i x="18" s="1"/>
        <i x="43" s="1"/>
        <i x="461" s="1"/>
        <i x="554" s="1"/>
        <i x="94" s="1"/>
        <i x="419" s="1"/>
        <i x="964" s="1"/>
        <i x="263" s="1"/>
        <i x="360" s="1"/>
        <i x="32" s="1"/>
        <i x="505" s="1"/>
        <i x="285" s="1"/>
        <i x="45" s="1"/>
        <i x="175" s="1"/>
        <i x="895" s="1"/>
        <i x="55" s="1"/>
        <i x="409" s="1"/>
        <i x="572" s="1"/>
        <i x="407" s="1"/>
        <i x="892" s="1"/>
        <i x="860" s="1"/>
        <i x="414" s="1"/>
        <i x="312" s="1"/>
        <i x="682" s="1"/>
        <i x="709" s="1"/>
        <i x="536" s="1"/>
        <i x="795" s="1"/>
        <i x="558" s="1"/>
        <i x="1007" s="1"/>
        <i x="638" s="1"/>
        <i x="35" s="1"/>
        <i x="906" s="1"/>
        <i x="903" s="1"/>
        <i x="416" s="1"/>
        <i x="11" s="1"/>
        <i x="578" s="1"/>
        <i x="301" s="1"/>
        <i x="689" s="1"/>
        <i x="430" s="1"/>
        <i x="134" s="1"/>
        <i x="180" s="1"/>
        <i x="12" s="1"/>
        <i x="953" s="1"/>
        <i x="688" s="1"/>
        <i x="997" s="1"/>
        <i x="42" s="1"/>
        <i x="681" s="1"/>
        <i x="307" s="1"/>
        <i x="256" s="1"/>
        <i x="774" s="1"/>
        <i x="352" s="1"/>
        <i x="755" s="1"/>
        <i x="500" s="1"/>
        <i x="382" s="1"/>
        <i x="532" s="1"/>
        <i x="319" s="1"/>
        <i x="19" s="1"/>
        <i x="746" s="1"/>
        <i x="633" s="1"/>
        <i x="341" s="1"/>
        <i x="439" s="1"/>
        <i x="49" s="1"/>
        <i x="840" s="1"/>
        <i x="998" s="1"/>
        <i x="399" s="1"/>
        <i x="796" s="1"/>
        <i x="687" s="1"/>
        <i x="692" s="1"/>
        <i x="264" s="1"/>
        <i x="971" s="1"/>
        <i x="980" s="1"/>
        <i x="389" s="1"/>
        <i x="121" s="1"/>
        <i x="529" s="1"/>
        <i x="26" s="1"/>
        <i x="720" s="1"/>
        <i x="829" s="1"/>
        <i x="93" s="1"/>
        <i x="1004" s="1"/>
        <i x="198" s="1"/>
        <i x="552" s="1"/>
        <i x="423" s="1"/>
        <i x="346" s="1"/>
        <i x="390" s="1"/>
        <i x="779" s="1"/>
        <i x="667" s="1"/>
        <i x="751" s="1"/>
        <i x="972" s="1"/>
        <i x="232" s="1"/>
        <i x="313" s="1"/>
        <i x="1046" s="1"/>
        <i x="787" s="1"/>
        <i x="415" s="1"/>
        <i x="112" s="1"/>
        <i x="729" s="1"/>
        <i x="781" s="1"/>
        <i x="345" s="1"/>
        <i x="408" s="1"/>
        <i x="836" s="1"/>
        <i x="958" s="1"/>
        <i x="891" s="1"/>
        <i x="817" s="1"/>
        <i x="791" s="1"/>
        <i x="636" s="1"/>
        <i x="44" s="1"/>
        <i x="123" s="1"/>
        <i x="90" s="1"/>
        <i x="234" s="1"/>
        <i x="734" s="1"/>
        <i x="73" s="1"/>
        <i x="615" s="1"/>
        <i x="839" s="1"/>
        <i x="1047" s="1"/>
        <i x="546" s="1"/>
        <i x="205" s="1"/>
        <i x="351" s="1"/>
        <i x="506" s="1"/>
        <i x="104" s="1"/>
        <i x="842" s="1"/>
        <i x="499" s="1"/>
        <i x="139" s="1"/>
        <i x="496" s="1"/>
        <i x="305" s="1"/>
        <i x="843" s="1"/>
        <i x="66" s="1"/>
        <i x="1039" s="1"/>
        <i x="140" s="1"/>
        <i x="685" s="1"/>
        <i x="537" s="1"/>
        <i x="292" s="1"/>
        <i x="510" s="1"/>
        <i x="383" s="1"/>
        <i x="793" s="1"/>
        <i x="398" s="1"/>
        <i x="233" s="1"/>
        <i x="257" s="1"/>
        <i x="775" s="1"/>
        <i x="882" s="1"/>
        <i x="82" s="1"/>
        <i x="579" s="1"/>
        <i x="714" s="1"/>
        <i x="356" s="1"/>
        <i x="553" s="1"/>
        <i x="163" s="1"/>
        <i x="769" s="1"/>
        <i x="463" s="1"/>
        <i x="503" s="1"/>
        <i x="686" s="1"/>
        <i x="349" s="1"/>
        <i x="889" s="1"/>
        <i x="227" s="1"/>
        <i x="141" s="1"/>
        <i x="370" s="1"/>
        <i x="616" s="1"/>
        <i x="6" s="1"/>
        <i x="101" s="1"/>
        <i x="524" s="1"/>
        <i x="284" s="1"/>
        <i x="183" s="1"/>
        <i x="122" s="1"/>
        <i x="80" s="1"/>
        <i x="320" s="1"/>
        <i x="792" s="1"/>
        <i x="33" s="1"/>
        <i x="372" s="1"/>
        <i x="462" s="1"/>
        <i x="113" s="1"/>
        <i x="133" s="1"/>
        <i x="542" s="1"/>
        <i x="170" s="1"/>
        <i x="157" s="1"/>
        <i x="530" s="1"/>
        <i x="713" s="1"/>
        <i x="168" s="1"/>
        <i x="545" s="1"/>
        <i x="662" s="1"/>
        <i x="846" s="1"/>
        <i x="71" s="1"/>
        <i x="37" s="1"/>
        <i x="162" s="1"/>
        <i x="788" s="1"/>
        <i x="225" s="1"/>
        <i x="95" s="1"/>
        <i x="484" s="1"/>
        <i x="91" s="1"/>
        <i x="637" s="1"/>
        <i x="747" s="1"/>
        <i x="72" s="1"/>
        <i x="673" s="1"/>
        <i x="498" s="1"/>
        <i x="105" s="1"/>
        <i x="160" s="1"/>
        <i x="483" s="1"/>
        <i x="142" s="1"/>
        <i x="706" s="1"/>
        <i x="759" s="1"/>
        <i x="824" s="1"/>
        <i x="223" s="1"/>
        <i x="504" s="1"/>
        <i x="226" s="1"/>
        <i x="766" s="1"/>
        <i x="212" s="1"/>
        <i x="422" s="1"/>
        <i x="497" s="1"/>
        <i x="485" s="1"/>
        <i x="512" s="1"/>
        <i x="3" s="1"/>
        <i x="397" s="1"/>
        <i x="164" s="1"/>
        <i x="482" s="1"/>
        <i x="132" s="1"/>
        <i x="911" s="1"/>
        <i x="81" s="1"/>
        <i x="703" s="1"/>
        <i x="135" s="1"/>
        <i x="521" s="1"/>
        <i x="674" s="1"/>
        <i x="899" s="1"/>
        <i x="1040" s="1"/>
        <i x="608" s="1"/>
        <i x="353" s="1"/>
        <i x="643" s="1"/>
        <i x="172" s="1"/>
        <i x="173" s="1"/>
        <i x="412" s="1"/>
        <i x="919" s="1"/>
        <i x="881" s="1"/>
        <i x="357" s="1"/>
        <i x="757" s="1"/>
        <i x="308" s="1"/>
        <i x="888" s="1"/>
        <i x="150" s="1"/>
        <i x="1005" s="1"/>
        <i x="770" s="1"/>
        <i x="730" s="1"/>
        <i x="978" s="1"/>
        <i x="268" s="1"/>
        <i x="878" s="1"/>
        <i x="955" s="1"/>
        <i x="146" s="1"/>
        <i x="912" s="1"/>
        <i x="211" s="1"/>
        <i x="547" s="1"/>
        <i x="169" s="1"/>
        <i x="717" s="1"/>
        <i x="161" s="1"/>
        <i x="237" s="1"/>
        <i x="758" s="1"/>
        <i x="676" s="1"/>
        <i x="756" s="1"/>
        <i x="455" s="1"/>
        <i x="736" s="1"/>
        <i x="789" s="1"/>
        <i x="365" s="1"/>
        <i x="96" s="1"/>
        <i x="603" s="1"/>
        <i x="514" s="1"/>
        <i x="762" s="1"/>
        <i x="147" s="1"/>
        <i x="918" s="1"/>
        <i x="715" s="1"/>
        <i x="371" s="1"/>
        <i x="413" s="1"/>
        <i x="909" s="1"/>
        <i x="645" s="1"/>
        <i x="0" s="1"/>
        <i x="8" s="1"/>
        <i x="898" s="1"/>
        <i x="454" s="1"/>
        <i x="167" s="1"/>
        <i x="69" s="1"/>
        <i x="492" s="1"/>
        <i x="57" s="1"/>
        <i x="58" s="1"/>
        <i x="148" s="1"/>
        <i x="968" s="1"/>
        <i x="76" s="1"/>
        <i x="816" s="1"/>
        <i x="979" s="1"/>
        <i x="605" s="1"/>
        <i x="451" s="1"/>
        <i x="711" s="1"/>
        <i x="962" s="1"/>
        <i x="224" s="1"/>
        <i x="823" s="1"/>
        <i x="251" s="1"/>
        <i x="716" s="1"/>
        <i x="427" s="1"/>
        <i x="974" s="1"/>
        <i x="857" s="1"/>
        <i x="699" s="1"/>
        <i x="230" s="1"/>
        <i x="491" s="1"/>
        <i x="916" s="1"/>
        <i x="201" s="1"/>
        <i x="239" s="1"/>
        <i x="695" s="1"/>
        <i x="513" s="1"/>
        <i x="77" s="1"/>
        <i x="149" s="1"/>
        <i x="252" s="1"/>
        <i x="92" s="1"/>
        <i x="369" s="1"/>
        <i x="306" s="1"/>
        <i x="702" s="1"/>
        <i x="298" s="1"/>
        <i x="428" s="1"/>
        <i x="106" s="1"/>
        <i x="963" s="1"/>
        <i x="549" s="1"/>
        <i x="847" s="1"/>
        <i x="893" s="1"/>
        <i x="663" s="1"/>
        <i x="450" s="1"/>
        <i x="877" s="1"/>
        <i x="910" s="1"/>
        <i x="231" s="1"/>
        <i x="65" s="1"/>
        <i x="511" s="1"/>
        <i x="426" s="1"/>
        <i x="850" s="1"/>
        <i x="241" s="1"/>
        <i x="429" s="1"/>
        <i x="883" s="1"/>
        <i x="489" s="1"/>
        <i x="700" s="1"/>
        <i x="218" s="1"/>
        <i x="701" s="1"/>
        <i x="733" s="1"/>
        <i x="815" s="1"/>
        <i x="830" s="1"/>
        <i x="765" s="1"/>
        <i x="273" s="1"/>
        <i x="517" s="1"/>
        <i x="956" s="1"/>
        <i x="209" s="1"/>
        <i x="753" s="1"/>
        <i x="418" s="1"/>
        <i x="723" s="1"/>
        <i x="550" s="1"/>
        <i x="431" s="1"/>
        <i x="672" s="1"/>
        <i x="520" s="1"/>
        <i x="136" s="1"/>
        <i x="368" s="1"/>
        <i x="612" s="1"/>
        <i x="831" s="1"/>
        <i x="718" s="1"/>
        <i x="354" s="1"/>
        <i x="240" s="1"/>
        <i x="671" s="1"/>
        <i x="735" s="1"/>
        <i x="604" s="1"/>
        <i x="88" s="1"/>
        <i x="885" s="1"/>
        <i x="764" s="1"/>
        <i x="347" s="1"/>
        <i x="279" s="1"/>
        <i x="677" s="1"/>
        <i x="848" s="1"/>
        <i x="917" s="1"/>
        <i x="350" s="1"/>
        <i x="913" s="1"/>
        <i x="854" s="1"/>
        <i x="272" s="1"/>
        <i x="117" s="1"/>
        <i x="669" s="1"/>
        <i x="856" s="1"/>
        <i x="70" s="1"/>
        <i x="156" s="1"/>
        <i x="158" s="1"/>
        <i x="721" s="1"/>
        <i x="210" s="1"/>
        <i x="417" s="1"/>
        <i x="522" s="1"/>
        <i x="894" s="1"/>
        <i x="107" s="1"/>
        <i x="644" s="1"/>
        <i x="213" s="1"/>
        <i x="116" s="1"/>
        <i x="855" s="1"/>
        <i x="1" s="1"/>
        <i x="690" s="1"/>
        <i x="39" s="1"/>
        <i x="299" s="1"/>
        <i x="130" s="1"/>
        <i x="548" s="1"/>
        <i x="7" s="1"/>
        <i x="432" s="1"/>
        <i x="5" s="1"/>
        <i x="216" s="1"/>
        <i x="424" s="1"/>
        <i x="901" s="1"/>
        <i x="54" s="1"/>
        <i x="691" s="1"/>
        <i x="64" s="1"/>
        <i x="696" s="1"/>
        <i x="248" s="1"/>
        <i x="722" s="1"/>
        <i x="849" s="1"/>
        <i x="975" s="1"/>
        <i x="754" s="1"/>
        <i x="40" s="1"/>
        <i x="355" s="1"/>
        <i x="551" s="1"/>
        <i x="358" s="1"/>
        <i x="238" s="1"/>
        <i x="704" s="1"/>
        <i x="53" s="1"/>
        <i x="102" s="1"/>
        <i x="543" s="1"/>
        <i x="490" s="1"/>
        <i x="508" s="1"/>
        <i x="639" s="1"/>
        <i x="782" s="1"/>
        <i x="731" s="1"/>
        <i x="767" s="1"/>
        <i x="4" s="1"/>
        <i x="838" s="1"/>
        <i x="155" s="1"/>
        <i x="900" s="1"/>
        <i x="494" s="1"/>
        <i x="609" s="1"/>
        <i x="712" s="1"/>
        <i x="519" s="1"/>
        <i x="46" s="1"/>
        <i x="719" s="1"/>
        <i x="969" s="1"/>
        <i x="763" s="1"/>
        <i x="613" s="1"/>
        <i x="858" s="1"/>
        <i x="480" s="1"/>
        <i x="59" s="1"/>
        <i x="611" s="1"/>
        <i x="523" s="1"/>
        <i x="425" s="1"/>
        <i x="844" s="1"/>
        <i x="635" s="1"/>
        <i x="837" s="1"/>
        <i x="452" s="1"/>
        <i x="853" s="1"/>
        <i x="970" s="1"/>
        <i x="456" s="1"/>
        <i x="89" s="1"/>
        <i x="274" s="1"/>
        <i x="244" s="1"/>
        <i x="683" s="1"/>
        <i x="269" s="1"/>
        <i x="410" s="1"/>
        <i x="110" s="1"/>
        <i x="217" s="1"/>
        <i x="879" s="1"/>
        <i x="614" s="1"/>
        <i x="366" s="1"/>
        <i x="47" s="1"/>
        <i x="634" s="1"/>
        <i x="884" s="1"/>
        <i x="977" s="1"/>
        <i x="544" s="1"/>
        <i x="348" s="1"/>
        <i x="976" s="1"/>
        <i x="768" s="1"/>
        <i x="886" s="1"/>
        <i x="103" s="1"/>
        <i x="280" s="1"/>
        <i x="697" s="1"/>
        <i x="235" s="1"/>
        <i x="684" s="1"/>
        <i x="705" s="1"/>
        <i x="501" s="1"/>
        <i x="610" s="1"/>
        <i x="486" s="1"/>
        <i x="606" s="1"/>
        <i x="859" s="1"/>
        <i x="907" s="1"/>
        <i x="495" s="1"/>
        <i x="670" s="1"/>
        <i x="159" s="1"/>
        <i x="724" s="1"/>
        <i x="641" s="1"/>
        <i x="74" s="1"/>
        <i x="880" s="1"/>
        <i x="760" s="1"/>
        <i x="460" s="1"/>
        <i x="887" s="1"/>
        <i x="640" s="1"/>
        <i x="222" s="1"/>
        <i x="502" s="1"/>
        <i x="137" s="1"/>
        <i x="509" s="1"/>
        <i x="845" s="1"/>
        <i x="411" s="1"/>
        <i x="154" s="1"/>
        <i x="144" s="1"/>
        <i x="131" s="1"/>
        <i x="698" s="1"/>
        <i x="221" s="1"/>
        <i x="518" s="1"/>
        <i x="642" s="1"/>
        <i x="236" s="1"/>
        <i x="915" s="1"/>
        <i x="851" s="1"/>
        <i x="153" s="1"/>
        <i x="453" s="1"/>
        <i x="607" s="1"/>
        <i x="908" s="1"/>
        <i x="488" s="1"/>
        <i x="247" s="1"/>
        <i x="109" s="1"/>
        <i x="67" s="1"/>
        <i x="165" s="1"/>
        <i x="246" s="1"/>
        <i x="276" s="1"/>
        <i x="515" s="1"/>
        <i x="228" s="1"/>
        <i x="166" s="1"/>
        <i x="62" s="1"/>
        <i x="914" s="1"/>
        <i x="359" s="1"/>
        <i x="481" s="1"/>
        <i x="138" s="1"/>
        <i x="457" s="1"/>
        <i x="487" s="1"/>
        <i x="249" s="1"/>
        <i x="151" s="1"/>
        <i x="459" s="1"/>
        <i x="761" s="1"/>
        <i x="207" s="1"/>
        <i x="75" s="1"/>
        <i x="277" s="1"/>
        <i x="68" s="1"/>
        <i x="63" s="1"/>
        <i x="229" s="1"/>
        <i x="516" s="1"/>
        <i x="250" s="1"/>
        <i x="852" s="1"/>
        <i x="208" s="1"/>
        <i x="270" s="1"/>
        <i x="145" s="1"/>
        <i x="242" s="1"/>
        <i x="275" s="1"/>
        <i x="245" s="1"/>
        <i x="152" s="1"/>
        <i x="214" s="1"/>
        <i x="108" s="1"/>
        <i x="271" s="1"/>
        <i x="215" s="1"/>
        <i x="278" s="1"/>
        <i x="60" s="1"/>
        <i x="458" s="1"/>
        <i x="243" s="1"/>
        <i x="61" s="1"/>
        <i x="1053" s="1" nd="1"/>
        <i x="1052"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st_Of_Sales" xr10:uid="{CD2479ED-06AB-4440-BC3B-AEE3238EA1FC}" sourceName="Cost Of Sales">
  <pivotTables>
    <pivotTable tabId="14" name="PivotTable85"/>
  </pivotTables>
  <data>
    <tabular pivotCacheId="206521032">
      <items count="1054">
        <i x="989" s="1"/>
        <i x="1018" s="1"/>
        <i x="329" s="1"/>
        <i x="864" s="1"/>
        <i x="597" s="1"/>
        <i x="598" s="1"/>
        <i x="951" s="1"/>
        <i x="927" s="1"/>
        <i x="331" s="1"/>
        <i x="953" s="1"/>
        <i x="328" s="1"/>
        <i x="988" s="1"/>
        <i x="1017" s="1"/>
        <i x="626" s="1"/>
        <i x="926" s="1"/>
        <i x="625" s="1"/>
        <i x="870" s="1"/>
        <i x="934" s="1"/>
        <i x="863" s="1"/>
        <i x="622" s="1"/>
        <i x="925" s="1"/>
        <i x="1016" s="1"/>
        <i x="808" s="1"/>
        <i x="932" s="1"/>
        <i x="952" s="1"/>
        <i x="332" s="1"/>
        <i x="1024" s="1"/>
        <i x="869" s="1"/>
        <i x="995" s="1"/>
        <i x="923" s="1"/>
        <i x="871" s="1"/>
        <i x="905" s="1"/>
        <i x="804" s="1"/>
        <i x="937" s="1"/>
        <i x="1025" s="1"/>
        <i x="801" s="1"/>
        <i x="176" s="1"/>
        <i x="330" s="1"/>
        <i x="800" s="1"/>
        <i x="1029" s="1"/>
        <i x="990" s="1"/>
        <i x="933" s="1"/>
        <i x="596" s="1"/>
        <i x="938" s="1"/>
        <i x="862" s="1"/>
        <i x="868" s="1"/>
        <i x="1023" s="1"/>
        <i x="983" s="1"/>
        <i x="997" s="1"/>
        <i x="939" s="1"/>
        <i x="967" s="1"/>
        <i x="930" s="1"/>
        <i x="652" s="1"/>
        <i x="924" s="1"/>
        <i x="807" s="1"/>
        <i x="629" s="1"/>
        <i x="948" s="1"/>
        <i x="470" s="1"/>
        <i x="333" s="1"/>
        <i x="659" s="1"/>
        <i x="653" s="1"/>
        <i x="327" s="1"/>
        <i x="591" s="1"/>
        <i x="630" s="1"/>
        <i x="947" s="1"/>
        <i x="994" s="1"/>
        <i x="805" s="1"/>
        <i x="444" s="1"/>
        <i x="631" s="1"/>
        <i x="982" s="1"/>
        <i x="986" s="1"/>
        <i x="931" s="1"/>
        <i x="941" s="1"/>
        <i x="993" s="1"/>
        <i x="867" s="1"/>
        <i x="996" s="1"/>
        <i x="1015" s="1"/>
        <i x="812" s="1"/>
        <i x="619" s="1"/>
        <i x="569" s="1"/>
        <i x="1014" s="1"/>
        <i x="402" s="1"/>
        <i x="590" s="1"/>
        <i x="987" s="1"/>
        <i x="326" s="1"/>
        <i x="324" s="1"/>
        <i x="437" s="1"/>
        <i x="1032" s="1"/>
        <i x="317" s="1"/>
        <i x="443" s="1"/>
        <i x="195" s="1"/>
        <i x="624" s="1"/>
        <i x="472" s="1"/>
        <i x="361" s="1"/>
        <i x="785" s="1"/>
        <i x="623" s="1"/>
        <i x="29" s="1"/>
        <i x="1028" s="1"/>
        <i x="325" s="1"/>
        <i x="442" s="1"/>
        <i x="828" s="1"/>
        <i x="944" s="1"/>
        <i x="811" s="1"/>
        <i x="1022" s="1"/>
        <i x="654" s="1"/>
        <i x="660" s="1"/>
        <i x="806" s="1"/>
        <i x="935" s="1"/>
        <i x="561" s="1"/>
        <i x="1021" s="1"/>
        <i x="1002" s="1"/>
        <i x="658" s="1"/>
        <i x="50" s="1"/>
        <i x="874" s="1"/>
        <i x="178" s="1"/>
        <i x="177" s="1"/>
        <i x="318" s="1"/>
        <i x="661" s="1"/>
        <i x="621" s="1"/>
        <i x="339" s="1"/>
        <i x="316" s="1"/>
        <i x="477" s="1"/>
        <i x="1004" s="1"/>
        <i x="204" s="1"/>
        <i x="773" s="1"/>
        <i x="576" s="1"/>
        <i x="650" s="1"/>
        <i x="476" s="1"/>
        <i x="651" s="1"/>
        <i x="945" s="1"/>
        <i x="1031" s="1"/>
        <i x="436" s="1"/>
        <i x="471" s="1"/>
        <i x="577" s="1"/>
        <i x="23" s="1"/>
        <i x="1003" s="1"/>
        <i x="745" s="1"/>
        <i x="601" s="1"/>
        <i x="818" s="1"/>
        <i x="647" s="1"/>
        <i x="861" s="1"/>
        <i x="657" s="1"/>
        <i x="286" s="1"/>
        <i x="940" s="1"/>
        <i x="479" s="1"/>
        <i x="395" s="1"/>
        <i x="559" s="1"/>
        <i x="575" s="1"/>
        <i x="920" s="1"/>
        <i x="602" s="1"/>
        <i x="875" s="1"/>
        <i x="181" s="1"/>
        <i x="1001" s="1"/>
        <i x="946" s="1"/>
        <i x="380" s="1"/>
        <i x="890" s="1"/>
        <i x="323" s="1"/>
        <i x="394" s="1"/>
        <i x="475" s="1"/>
        <i x="1035" s="1"/>
        <i x="780" s="1"/>
        <i x="950" s="1"/>
        <i x="752" s="1"/>
        <i x="646" s="1"/>
        <i x="1011" s="1"/>
        <i x="813" s="1"/>
        <i x="1019" s="1"/>
        <i x="435" s="1"/>
        <i x="540" s="1"/>
        <i x="1036" s="1"/>
        <i x="799" s="1"/>
        <i x="589" s="1"/>
        <i x="991" s="1"/>
        <i x="744" s="1"/>
        <i x="24" s="1"/>
        <i x="949" s="1"/>
        <i x="1030" s="1"/>
        <i x="31" s="1"/>
        <i x="387" s="1"/>
        <i x="727" s="1"/>
        <i x="560" s="1"/>
        <i x="1000" s="1"/>
        <i x="627" s="1"/>
        <i x="628" s="1"/>
        <i x="750" s="1"/>
        <i x="379" s="1"/>
        <i x="936" s="1"/>
        <i x="288" s="1"/>
        <i x="772" s="1"/>
        <i x="30" s="1"/>
        <i x="528" s="1"/>
        <i x="617" s="1"/>
        <i x="447" s="1"/>
        <i x="440" s="1"/>
        <i x="189" s="1"/>
        <i x="83" s="1"/>
        <i x="282" s="1"/>
        <i x="922" s="1"/>
        <i x="595" s="1"/>
        <i x="1046" s="1"/>
        <i x="310" s="1"/>
        <i x="388" s="1"/>
        <i x="188" s="1"/>
        <i x="778" s="1"/>
        <i x="262" s="1"/>
        <i x="304" s="1"/>
        <i x="821" s="1"/>
        <i x="527" s="1"/>
        <i x="928" s="1"/>
        <i x="738" s="1"/>
        <i x="865" s="1"/>
        <i x="570" s="1"/>
        <i x="255" s="1"/>
        <i x="984" s="1"/>
        <i x="338" s="1"/>
        <i x="1010" s="1"/>
        <i x="363" s="1"/>
        <i x="377" s="1"/>
        <i x="567" s="1"/>
        <i x="28" s="1"/>
        <i x="866" s="1"/>
        <i x="1052" s="1"/>
        <i x="556" s="1"/>
        <i x="314" s="1"/>
        <i x="618" s="1"/>
        <i x="261" s="1"/>
        <i x="588" s="1"/>
        <i x="20" s="1"/>
        <i x="405" s="1"/>
        <i x="802" s="1"/>
        <i x="196" s="1"/>
        <i x="809" s="1"/>
        <i x="563" s="1"/>
        <i x="568" s="1"/>
        <i x="321" s="1"/>
        <i x="315" s="1"/>
        <i x="526" s="1"/>
        <i x="281" s="1"/>
        <i x="797" s="1"/>
        <i x="693" s="1"/>
        <i x="465" s="1"/>
        <i x="265" s="1"/>
        <i x="594" s="1"/>
        <i x="921" s="1"/>
        <i x="771" s="1"/>
        <i x="803" s="1"/>
        <i x="535" s="1"/>
        <i x="52" s="1"/>
        <i x="784" s="1"/>
        <i x="384" s="1"/>
        <i x="776" s="1"/>
        <i x="985" s="1"/>
        <i x="726" s="1"/>
        <i x="584" s="1"/>
        <i x="344" s="1"/>
        <i x="254" s="1"/>
        <i x="1045" s="1"/>
        <i x="1012" s="1"/>
        <i x="340" s="1"/>
        <i x="219" s="1"/>
        <i x="84" s="1"/>
        <i x="587" s="1"/>
        <i x="583" s="1"/>
        <i x="15" s="1"/>
        <i x="374" s="1"/>
        <i x="393" s="1"/>
        <i x="599" s="1"/>
        <i x="199" s="1"/>
        <i x="468" s="1"/>
        <i x="191" s="1"/>
        <i x="566" s="1"/>
        <i x="391" s="1"/>
        <i x="334" s="1"/>
        <i x="827" s="1"/>
        <i x="303" s="1"/>
        <i x="441" s="1"/>
        <i x="381" s="1"/>
        <i x="942" s="1"/>
        <i x="582" s="1"/>
        <i x="531" s="1"/>
        <i x="448" s="1"/>
        <i x="1013" s="1"/>
        <i x="814" s="1"/>
        <i x="620" s="1"/>
        <i x="27" s="1"/>
        <i x="929" s="1"/>
        <i x="562" s="1"/>
        <i x="786" s="1"/>
        <i x="260" s="1"/>
        <i x="507" s="1"/>
        <i x="21" s="1"/>
        <i x="943" s="1"/>
        <i x="287" s="1"/>
        <i x="539" s="1"/>
        <i x="469" s="1"/>
        <i x="202" s="1"/>
        <i x="1050" s="1"/>
        <i x="581" s="1"/>
        <i x="401" s="1"/>
        <i x="17" s="1"/>
        <i x="1020" s="1"/>
        <i x="872" s="1"/>
        <i x="707" s="1"/>
        <i x="741" s="1"/>
        <i x="322" s="1"/>
        <i x="311" s="1"/>
        <i x="555" s="1"/>
        <i x="820" s="1"/>
        <i x="203" s="1"/>
        <i x="373" s="1"/>
        <i x="258" s="1"/>
        <i x="819" s="1"/>
        <i x="573" s="1"/>
        <i x="1009" s="1"/>
        <i x="337" s="1"/>
        <i x="534" s="1"/>
        <i x="420" s="1"/>
        <i x="403" s="1"/>
        <i x="538" s="1"/>
        <i x="748" s="1"/>
        <i x="873" s="1"/>
        <i x="1038" s="1"/>
        <i x="783" s="1"/>
        <i x="378" s="1"/>
        <i x="1026" s="1"/>
        <i x="302" s="1"/>
        <i x="810" s="1"/>
        <i x="293" s="1"/>
        <i x="2" s="1"/>
        <i x="1051" s="1"/>
        <i x="79" s="1"/>
        <i x="22" s="1"/>
        <i x="1039" s="1"/>
        <i x="992" s="1"/>
        <i x="266" s="1"/>
        <i x="592" s="1"/>
        <i x="679" s="1"/>
        <i x="749" s="1"/>
        <i x="574" s="1"/>
        <i x="182" s="1"/>
        <i x="78" s="1"/>
        <i x="580" s="1"/>
        <i x="185" s="1"/>
        <i x="309" s="1"/>
        <i x="343" s="1"/>
        <i x="290" s="1"/>
        <i x="385" s="1"/>
        <i x="125" s="1"/>
        <i x="737" s="1"/>
        <i x="743" s="1"/>
        <i x="206" s="1"/>
        <i x="1033" s="1"/>
        <i x="1049" s="1"/>
        <i x="13" s="1"/>
        <i x="128" s="1"/>
        <i x="335" s="1"/>
        <i x="129" s="1"/>
        <i x="392" s="1"/>
        <i x="1044" s="1"/>
        <i x="297" s="1"/>
        <i x="798" s="1"/>
        <i x="186" s="1"/>
        <i x="825" s="1"/>
        <i x="1027" s="1"/>
        <i x="115" s="1"/>
        <i x="445" s="1"/>
        <i x="296" s="1"/>
        <i x="194" s="1"/>
        <i x="533" s="1"/>
        <i x="406" s="1"/>
        <i x="16" s="1"/>
        <i x="336" s="1"/>
        <i x="283" s="1"/>
        <i x="294" s="1"/>
        <i x="739" s="1"/>
        <i x="386" s="1"/>
        <i x="220" s="1"/>
        <i x="9" s="1"/>
        <i x="295" s="1"/>
        <i x="464" s="1"/>
        <i x="421" s="1"/>
        <i x="192" s="1"/>
        <i x="473" s="1"/>
        <i x="184" s="1"/>
        <i x="38" s="1"/>
        <i x="1042" s="1"/>
        <i x="400" s="1"/>
        <i x="955" s="1"/>
        <i x="600" s="1"/>
        <i x="10" s="1"/>
        <i x="190" s="1"/>
        <i x="404" s="1"/>
        <i x="1043" s="1"/>
        <i x="525" s="1"/>
        <i x="114" s="1"/>
        <i x="655" s="1"/>
        <i x="197" s="1"/>
        <i x="51" s="1"/>
        <i x="656" s="1"/>
        <i x="777" s="1"/>
        <i x="267" s="1"/>
        <i x="126" s="1"/>
        <i x="1037" s="1"/>
        <i x="897" s="1"/>
        <i x="34" s="1"/>
        <i x="342" s="1"/>
        <i x="14" s="1"/>
        <i x="362" s="1"/>
        <i x="742" s="1"/>
        <i x="1034" s="1"/>
        <i x="1007" s="1"/>
        <i x="541" s="1"/>
        <i x="832" s="1"/>
        <i x="466" s="1"/>
        <i x="187" s="1"/>
        <i x="25" s="1"/>
        <i x="143" s="1"/>
        <i x="99" s="1"/>
        <i x="127" s="1"/>
        <i x="493" s="1"/>
        <i x="649" s="1"/>
        <i x="675" s="1"/>
        <i x="438" s="1"/>
        <i x="97" s="1"/>
        <i x="434" s="1"/>
        <i x="291" s="1"/>
        <i x="111" s="1"/>
        <i x="962" s="1"/>
        <i x="876" s="1"/>
        <i x="259" s="1"/>
        <i x="87" s="1"/>
        <i x="171" s="1"/>
        <i x="960" s="1"/>
        <i x="253" s="1"/>
        <i x="446" s="1"/>
        <i x="100" s="1"/>
        <i x="433" s="1"/>
        <i x="732" s="1"/>
        <i x="694" s="1"/>
        <i x="200" s="1"/>
        <i x="708" s="1"/>
        <i x="367" s="1"/>
        <i x="666" s="1"/>
        <i x="86" s="1"/>
        <i x="593" s="1"/>
        <i x="119" s="1"/>
        <i x="648" s="1"/>
        <i x="564" s="1"/>
        <i x="664" s="1"/>
        <i x="118" s="1"/>
        <i x="376" s="1"/>
        <i x="728" s="1"/>
        <i x="585" s="1"/>
        <i x="668" s="1"/>
        <i x="725" s="1"/>
        <i x="289" s="1"/>
        <i x="300" s="1"/>
        <i x="740" s="1"/>
        <i x="467" s="1"/>
        <i x="375" s="1"/>
        <i x="1008" s="1"/>
        <i x="179" s="1"/>
        <i x="85" s="1"/>
        <i x="904" s="1"/>
        <i x="124" s="1"/>
        <i x="968" s="1"/>
        <i x="557" s="1"/>
        <i x="665" s="1"/>
        <i x="961" s="1"/>
        <i x="36" s="1"/>
        <i x="474" s="1"/>
        <i x="774" s="1"/>
        <i x="958" s="1"/>
        <i x="790" s="1"/>
        <i x="120" s="1"/>
        <i x="571" s="1"/>
        <i x="193" s="1"/>
        <i x="826" s="1"/>
        <i x="98" s="1"/>
        <i x="285" s="1"/>
        <i x="794" s="1"/>
        <i x="998" s="1"/>
        <i x="565" s="1"/>
        <i x="18" s="1"/>
        <i x="834" s="1"/>
        <i x="835" s="1"/>
        <i x="966" s="1"/>
        <i x="841" s="1"/>
        <i x="56" s="1"/>
        <i x="94" s="1"/>
        <i x="896" s="1"/>
        <i x="263" s="1"/>
        <i x="174" s="1"/>
        <i x="999" s="1"/>
        <i x="32" s="1"/>
        <i x="586" s="1"/>
        <i x="364" s="1"/>
        <i x="536" s="1"/>
        <i x="449" s="1"/>
        <i x="312" s="1"/>
        <i x="48" s="1"/>
        <i x="396" s="1"/>
        <i x="710" s="1"/>
        <i x="632" s="1"/>
        <i x="822" s="1"/>
        <i x="175" s="1"/>
        <i x="746" s="1"/>
        <i x="902" s="1"/>
        <i x="43" s="1"/>
        <i x="678" s="1"/>
        <i x="478" s="1"/>
        <i x="35" s="1"/>
        <i x="360" s="1"/>
        <i x="301" s="1"/>
        <i x="55" s="1"/>
        <i x="180" s="1"/>
        <i x="45" s="1"/>
        <i x="11" s="1"/>
        <i x="41" s="1"/>
        <i x="833" s="1"/>
        <i x="974" s="1"/>
        <i x="12" s="1"/>
        <i x="895" s="1"/>
        <i x="781" s="1"/>
        <i x="572" s="1"/>
        <i x="965" s="1"/>
        <i x="892" s="1"/>
        <i x="554" s="1"/>
        <i x="680" s="1"/>
        <i x="558" s="1"/>
        <i x="532" s="1"/>
        <i x="419" s="1"/>
        <i x="795" s="1"/>
        <i x="709" s="1"/>
        <i x="307" s="1"/>
        <i x="256" s="1"/>
        <i x="19" s="1"/>
        <i x="319" s="1"/>
        <i x="461" s="1"/>
        <i x="409" s="1"/>
        <i x="505" s="1"/>
        <i x="407" s="1"/>
        <i x="414" s="1"/>
        <i x="860" s="1"/>
        <i x="903" s="1"/>
        <i x="529" s="1"/>
        <i x="439" s="1"/>
        <i x="578" s="1"/>
        <i x="775" s="1"/>
        <i x="121" s="1"/>
        <i x="1005" s="1"/>
        <i x="264" s="1"/>
        <i x="382" s="1"/>
        <i x="1047" s="1"/>
        <i x="26" s="1"/>
        <i x="416" s="1"/>
        <i x="49" s="1"/>
        <i x="93" s="1"/>
        <i x="796" s="1"/>
        <i x="682" s="1"/>
        <i x="399" s="1"/>
        <i x="42" s="1"/>
        <i x="341" s="1"/>
        <i x="954" s="1"/>
        <i x="906" s="1"/>
        <i x="1048" s="1"/>
        <i x="1040" s="1"/>
        <i x="313" s="1"/>
        <i x="123" s="1"/>
        <i x="430" s="1"/>
        <i x="134" s="1"/>
        <i x="389" s="1"/>
        <i x="689" s="1"/>
        <i x="840" s="1"/>
        <i x="791" s="1"/>
        <i x="90" s="1"/>
        <i x="500" s="1"/>
        <i x="352" s="1"/>
        <i x="688" s="1"/>
        <i x="817" s="1"/>
        <i x="681" s="1"/>
        <i x="390" s="1"/>
        <i x="537" s="1"/>
        <i x="787" s="1"/>
        <i x="638" s="1"/>
        <i x="305" s="1"/>
        <i x="972" s="1"/>
        <i x="755" s="1"/>
        <i x="981" s="1"/>
        <i x="292" s="1"/>
        <i x="198" s="1"/>
        <i x="82" s="1"/>
        <i x="112" s="1"/>
        <i x="552" s="1"/>
        <i x="423" s="1"/>
        <i x="687" s="1"/>
        <i x="44" s="1"/>
        <i x="232" s="1"/>
        <i x="234" s="1"/>
        <i x="720" s="1"/>
        <i x="779" s="1"/>
        <i x="692" s="1"/>
        <i x="633" s="1"/>
        <i x="66" s="1"/>
        <i x="959" s="1"/>
        <i x="257" s="1"/>
        <i x="73" s="1"/>
        <i x="345" s="1"/>
        <i x="973" s="1"/>
        <i x="104" s="1"/>
        <i x="415" s="1"/>
        <i x="284" s="1"/>
        <i x="829" s="1"/>
        <i x="346" s="1"/>
        <i x="836" s="1"/>
        <i x="80" s="1"/>
        <i x="891" s="1"/>
        <i x="383" s="1"/>
        <i x="408" s="1"/>
        <i x="205" s="1"/>
        <i x="183" s="1"/>
        <i x="139" s="1"/>
        <i x="793" s="1"/>
        <i x="398" s="1"/>
        <i x="667" s="1"/>
        <i x="233" s="1"/>
        <i x="839" s="1"/>
        <i x="729" s="1"/>
        <i x="140" s="1"/>
        <i x="122" s="1"/>
        <i x="546" s="1"/>
        <i x="615" s="1"/>
        <i x="320" s="1"/>
        <i x="747" s="1"/>
        <i x="530" s="1"/>
        <i x="463" s="1"/>
        <i x="33" s="1"/>
        <i x="506" s="1"/>
        <i x="579" s="1"/>
        <i x="842" s="1"/>
        <i x="499" s="1"/>
        <i x="496" s="1"/>
        <i x="734" s="1"/>
        <i x="351" s="1"/>
        <i x="714" s="1"/>
        <i x="163" s="1"/>
        <i x="751" s="1"/>
        <i x="510" s="1"/>
        <i x="843" s="1"/>
        <i x="792" s="1"/>
        <i x="6" s="1"/>
        <i x="788" s="1"/>
        <i x="101" s="1"/>
        <i x="882" s="1"/>
        <i x="553" s="1"/>
        <i x="685" s="1"/>
        <i x="227" s="1"/>
        <i x="769" s="1"/>
        <i x="636" s="1"/>
        <i x="91" s="1"/>
        <i x="113" s="1"/>
        <i x="95" s="1"/>
        <i x="141" s="1"/>
        <i x="889" s="1"/>
        <i x="1041" s="1"/>
        <i x="356" s="1"/>
        <i x="503" s="1"/>
        <i x="713" s="1"/>
        <i x="71" s="1"/>
        <i x="81" s="1"/>
        <i x="170" s="1"/>
        <i x="349" s="1"/>
        <i x="616" s="1"/>
        <i x="662" s="1"/>
        <i x="157" s="1"/>
        <i x="168" s="1"/>
        <i x="524" s="1"/>
        <i x="686" s="1"/>
        <i x="370" s="1"/>
        <i x="37" s="1"/>
        <i x="162" s="1"/>
        <i x="542" s="1"/>
        <i x="545" s="1"/>
        <i x="72" s="1"/>
        <i x="372" s="1"/>
        <i x="225" s="1"/>
        <i x="133" s="1"/>
        <i x="105" s="1"/>
        <i x="462" s="1"/>
        <i x="484" s="1"/>
        <i x="673" s="1"/>
        <i x="160" s="1"/>
        <i x="308" s="1"/>
        <i x="1006" s="1"/>
        <i x="846" s="1"/>
        <i x="3" s="1"/>
        <i x="223" s="1"/>
        <i x="397" s="1"/>
        <i x="483" s="1"/>
        <i x="142" s="1"/>
        <i x="226" s="1"/>
        <i x="172" s="1"/>
        <i x="824" s="1"/>
        <i x="212" s="1"/>
        <i x="173" s="1"/>
        <i x="164" s="1"/>
        <i x="498" s="1"/>
        <i x="899" s="1"/>
        <i x="766" s="1"/>
        <i x="485" s="1"/>
        <i x="422" s="1"/>
        <i x="789" s="1"/>
        <i x="357" s="1"/>
        <i x="706" s="1"/>
        <i x="759" s="1"/>
        <i x="482" s="1"/>
        <i x="504" s="1"/>
        <i x="96" s="1"/>
        <i x="497" s="1"/>
        <i x="512" s="1"/>
        <i x="150" s="1"/>
        <i x="132" s="1"/>
        <i x="521" s="1"/>
        <i x="637" s="1"/>
        <i x="881" s="1"/>
        <i x="412" s="1"/>
        <i x="911" s="1"/>
        <i x="146" s="1"/>
        <i x="135" s="1"/>
        <i x="237" s="1"/>
        <i x="888" s="1"/>
        <i x="703" s="1"/>
        <i x="919" s="1"/>
        <i x="608" s="1"/>
        <i x="161" s="1"/>
        <i x="956" s="1"/>
        <i x="674" s="1"/>
        <i x="211" s="1"/>
        <i x="770" s="1"/>
        <i x="169" s="1"/>
        <i x="353" s="1"/>
        <i x="757" s="1"/>
        <i x="979" s="1"/>
        <i x="816" s="1"/>
        <i x="878" s="1"/>
        <i x="268" s="1"/>
        <i x="676" s="1"/>
        <i x="147" s="1"/>
        <i x="547" s="1"/>
        <i x="730" s="1"/>
        <i x="57" s="1"/>
        <i x="58" s="1"/>
        <i x="912" s="1"/>
        <i x="8" s="1"/>
        <i x="0" s="1"/>
        <i x="717" s="1"/>
        <i x="758" s="1"/>
        <i x="643" s="1"/>
        <i x="76" s="1"/>
        <i x="167" s="1"/>
        <i x="69" s="1"/>
        <i x="514" s="1"/>
        <i x="148" s="1"/>
        <i x="756" s="1"/>
        <i x="736" s="1"/>
        <i x="413" s="1"/>
        <i x="455" s="1"/>
        <i x="365" s="1"/>
        <i x="918" s="1"/>
        <i x="715" s="1"/>
        <i x="711" s="1"/>
        <i x="898" s="1"/>
        <i x="762" s="1"/>
        <i x="92" s="1"/>
        <i x="371" s="1"/>
        <i x="969" s="1"/>
        <i x="909" s="1"/>
        <i x="963" s="1"/>
        <i x="224" s="1"/>
        <i x="298" s="1"/>
        <i x="492" s="1"/>
        <i x="980" s="1"/>
        <i x="306" s="1"/>
        <i x="454" s="1"/>
        <i x="823" s="1"/>
        <i x="603" s="1"/>
        <i x="230" s="1"/>
        <i x="723" s="1"/>
        <i x="451" s="1"/>
        <i x="975" s="1"/>
        <i x="77" s="1"/>
        <i x="716" s="1"/>
        <i x="491" s="1"/>
        <i x="427" s="1"/>
        <i x="605" s="1"/>
        <i x="149" s="1"/>
        <i x="645" s="1"/>
        <i x="857" s="1"/>
        <i x="201" s="1"/>
        <i x="106" s="1"/>
        <i x="815" s="1"/>
        <i x="239" s="1"/>
        <i x="251" s="1"/>
        <i x="893" s="1"/>
        <i x="916" s="1"/>
        <i x="964" s="1"/>
        <i x="513" s="1"/>
        <i x="663" s="1"/>
        <i x="231" s="1"/>
        <i x="695" s="1"/>
        <i x="549" s="1"/>
        <i x="65" s="1"/>
        <i x="369" s="1"/>
        <i x="428" s="1"/>
        <i x="877" s="1"/>
        <i x="702" s="1"/>
        <i x="88" s="1"/>
        <i x="252" s="1"/>
        <i x="218" s="1"/>
        <i x="847" s="1"/>
        <i x="489" s="1"/>
        <i x="699" s="1"/>
        <i x="883" s="1"/>
        <i x="910" s="1"/>
        <i x="511" s="1"/>
        <i x="450" s="1"/>
        <i x="426" s="1"/>
        <i x="850" s="1"/>
        <i x="209" s="1"/>
        <i x="429" s="1"/>
        <i x="765" s="1"/>
        <i x="117" s="1"/>
        <i x="957" s="1"/>
        <i x="672" s="1"/>
        <i x="418" s="1"/>
        <i x="273" s="1"/>
        <i x="700" s="1"/>
        <i x="550" s="1"/>
        <i x="517" s="1"/>
        <i x="733" s="1"/>
        <i x="701" s="1"/>
        <i x="241" s="1"/>
        <i x="671" s="1"/>
        <i x="136" s="1"/>
        <i x="520" s="1"/>
        <i x="431" s="1"/>
        <i x="830" s="1"/>
        <i x="116" s="1"/>
        <i x="612" s="1"/>
        <i x="299" s="1"/>
        <i x="753" s="1"/>
        <i x="368" s="1"/>
        <i x="885" s="1"/>
        <i x="764" s="1"/>
        <i x="718" s="1"/>
        <i x="156" s="1"/>
        <i x="669" s="1"/>
        <i x="70" s="1"/>
        <i x="831" s="1"/>
        <i x="354" s="1"/>
        <i x="735" s="1"/>
        <i x="158" s="1"/>
        <i x="347" s="1"/>
        <i x="279" s="1"/>
        <i x="107" s="1"/>
        <i x="848" s="1"/>
        <i x="917" s="1"/>
        <i x="240" s="1"/>
        <i x="272" s="1"/>
        <i x="350" s="1"/>
        <i x="210" s="1"/>
        <i x="854" s="1"/>
        <i x="856" s="1"/>
        <i x="913" s="1"/>
        <i x="677" s="1"/>
        <i x="1" s="1"/>
        <i x="604" s="1"/>
        <i x="213" s="1"/>
        <i x="417" s="1"/>
        <i x="894" s="1"/>
        <i x="721" s="1"/>
        <i x="7" s="1"/>
        <i x="39" s="1"/>
        <i x="5" s="1"/>
        <i x="522" s="1"/>
        <i x="216" s="1"/>
        <i x="855" s="1"/>
        <i x="54" s="1"/>
        <i x="53" s="1"/>
        <i x="238" s="1"/>
        <i x="64" s="1"/>
        <i x="548" s="1"/>
        <i x="424" s="1"/>
        <i x="130" s="1"/>
        <i x="102" s="1"/>
        <i x="358" s="1"/>
        <i x="901" s="1"/>
        <i x="690" s="1"/>
        <i x="40" s="1"/>
        <i x="432" s="1"/>
        <i x="976" s="1"/>
        <i x="4" s="1"/>
        <i x="551" s="1"/>
        <i x="490" s="1"/>
        <i x="644" s="1"/>
        <i x="849" s="1"/>
        <i x="722" s="1"/>
        <i x="691" s="1"/>
        <i x="543" s="1"/>
        <i x="155" s="1"/>
        <i x="900" s="1"/>
        <i x="46" s="1"/>
        <i x="767" s="1"/>
        <i x="838" s="1"/>
        <i x="782" s="1"/>
        <i x="704" s="1"/>
        <i x="754" s="1"/>
        <i x="355" s="1"/>
        <i x="508" s="1"/>
        <i x="248" s="1"/>
        <i x="89" s="1"/>
        <i x="731" s="1"/>
        <i x="696" s="1"/>
        <i x="494" s="1"/>
        <i x="970" s="1"/>
        <i x="712" s="1"/>
        <i x="519" s="1"/>
        <i x="609" s="1"/>
        <i x="719" s="1"/>
        <i x="480" s="1"/>
        <i x="858" s="1"/>
        <i x="724" s="1"/>
        <i x="59" s="1"/>
        <i x="613" s="1"/>
        <i x="639" s="1"/>
        <i x="110" s="1"/>
        <i x="763" s="1"/>
        <i x="837" s="1"/>
        <i x="611" s="1"/>
        <i x="47" s="1"/>
        <i x="425" s="1"/>
        <i x="523" s="1"/>
        <i x="217" s="1"/>
        <i x="971" s="1"/>
        <i x="844" s="1"/>
        <i x="853" s="1"/>
        <i x="410" s="1"/>
        <i x="269" s="1"/>
        <i x="103" s="1"/>
        <i x="235" s="1"/>
        <i x="274" s="1"/>
        <i x="452" s="1"/>
        <i x="879" s="1"/>
        <i x="456" s="1"/>
        <i x="683" s="1"/>
        <i x="978" s="1"/>
        <i x="884" s="1"/>
        <i x="544" s="1"/>
        <i x="614" s="1"/>
        <i x="977" s="1"/>
        <i x="768" s="1"/>
        <i x="886" s="1"/>
        <i x="635" s="1"/>
        <i x="366" s="1"/>
        <i x="244" s="1"/>
        <i x="348" s="1"/>
        <i x="280" s="1"/>
        <i x="486" s="1"/>
        <i x="74" s="1"/>
        <i x="159" s="1"/>
        <i x="501" s="1"/>
        <i x="705" s="1"/>
        <i x="684" s="1"/>
        <i x="634" s="1"/>
        <i x="859" s="1"/>
        <i x="610" s="1"/>
        <i x="495" s="1"/>
        <i x="880" s="1"/>
        <i x="907" s="1"/>
        <i x="222" s="1"/>
        <i x="887" s="1"/>
        <i x="606" s="1"/>
        <i x="670" s="1"/>
        <i x="697" s="1"/>
        <i x="460" s="1"/>
        <i x="760" s="1"/>
        <i x="137" s="1"/>
        <i x="154" s="1"/>
        <i x="502" s="1"/>
        <i x="641" s="1"/>
        <i x="144" s="1"/>
        <i x="509" s="1"/>
        <i x="411" s="1"/>
        <i x="845" s="1"/>
        <i x="221" s="1"/>
        <i x="640" s="1"/>
        <i x="236" s="1"/>
        <i x="131" s="1"/>
        <i x="153" s="1"/>
        <i x="518" s="1"/>
        <i x="109" s="1"/>
        <i x="67" s="1"/>
        <i x="165" s="1"/>
        <i x="851" s="1"/>
        <i x="915" s="1"/>
        <i x="228" s="1"/>
        <i x="166" s="1"/>
        <i x="62" s="1"/>
        <i x="359" s="1"/>
        <i x="488" s="1"/>
        <i x="698" s="1"/>
        <i x="908" s="1"/>
        <i x="453" s="1"/>
        <i x="607" s="1"/>
        <i x="276" s="1"/>
        <i x="515" s="1"/>
        <i x="642" s="1"/>
        <i x="247" s="1"/>
        <i x="914" s="1"/>
        <i x="151" s="1"/>
        <i x="246" s="1"/>
        <i x="487" s="1"/>
        <i x="138" s="1"/>
        <i x="75" s="1"/>
        <i x="481" s="1"/>
        <i x="207" s="1"/>
        <i x="68" s="1"/>
        <i x="457" s="1"/>
        <i x="459" s="1"/>
        <i x="63" s="1"/>
        <i x="277" s="1"/>
        <i x="249" s="1"/>
        <i x="761" s="1"/>
        <i x="229" s="1"/>
        <i x="208" s="1"/>
        <i x="516" s="1"/>
        <i x="852" s="1"/>
        <i x="145" s="1"/>
        <i x="250" s="1"/>
        <i x="270" s="1"/>
        <i x="152" s="1"/>
        <i x="108" s="1"/>
        <i x="214" s="1"/>
        <i x="275" s="1"/>
        <i x="215" s="1"/>
        <i x="242" s="1"/>
        <i x="271" s="1"/>
        <i x="245" s="1"/>
        <i x="60" s="1"/>
        <i x="278" s="1"/>
        <i x="458" s="1"/>
        <i x="243" s="1"/>
        <i x="61" s="1"/>
        <i x="1053"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_Sold" xr10:uid="{99FC2728-4E50-4FFB-B6E2-BDA291807070}" sourceName="Quantity Sold">
  <pivotTables>
    <pivotTable tabId="14" name="PivotTable85"/>
  </pivotTables>
  <data>
    <tabular pivotCacheId="206521032">
      <items count="990">
        <i x="936" s="1"/>
        <i x="960" s="1"/>
        <i x="580" s="1"/>
        <i x="326" s="1"/>
        <i x="581" s="1"/>
        <i x="826" s="1"/>
        <i x="328" s="1"/>
        <i x="903" s="1"/>
        <i x="882" s="1"/>
        <i x="905" s="1"/>
        <i x="325" s="1"/>
        <i x="935" s="1"/>
        <i x="607" s="1"/>
        <i x="959" s="1"/>
        <i x="606" s="1"/>
        <i x="881" s="1"/>
        <i x="778" s="1"/>
        <i x="830" s="1"/>
        <i x="603" s="1"/>
        <i x="825" s="1"/>
        <i x="887" s="1"/>
        <i x="880" s="1"/>
        <i x="965" s="1"/>
        <i x="329" s="1"/>
        <i x="774" s="1"/>
        <i x="772" s="1"/>
        <i x="958" s="1"/>
        <i x="904" s="1"/>
        <i x="886" s="1"/>
        <i x="966" s="1"/>
        <i x="771" s="1"/>
        <i x="579" s="1"/>
        <i x="829" s="1"/>
        <i x="831" s="1"/>
        <i x="942" s="1"/>
        <i x="878" s="1"/>
        <i x="862" s="1"/>
        <i x="964" s="1"/>
        <i x="327" s="1"/>
        <i x="890" s="1"/>
        <i x="462" s="1"/>
        <i x="777" s="1"/>
        <i x="937" s="1"/>
        <i x="824" s="1"/>
        <i x="632" s="1"/>
        <i x="828" s="1"/>
        <i x="891" s="1"/>
        <i x="931" s="1"/>
        <i x="576" s="1"/>
        <i x="944" s="1"/>
        <i x="892" s="1"/>
        <i x="176" s="1"/>
        <i x="437" s="1"/>
        <i x="639" s="1"/>
        <i x="633" s="1"/>
        <i x="775" s="1"/>
        <i x="610" s="1"/>
        <i x="879" s="1"/>
        <i x="330" s="1"/>
        <i x="901" s="1"/>
        <i x="324" s="1"/>
        <i x="611" s="1"/>
        <i x="554" s="1"/>
        <i x="781" s="1"/>
        <i x="900" s="1"/>
        <i x="941" s="1"/>
        <i x="430" s="1"/>
        <i x="357" s="1"/>
        <i x="575" s="1"/>
        <i x="436" s="1"/>
        <i x="464" s="1"/>
        <i x="930" s="1"/>
        <i x="934" s="1"/>
        <i x="827" s="1"/>
        <i x="885" s="1"/>
        <i x="435" s="1"/>
        <i x="600" s="1"/>
        <i x="894" s="1"/>
        <i x="940" s="1"/>
        <i x="943" s="1"/>
        <i x="971" s="1"/>
        <i x="957" s="1"/>
        <i x="969" s="1"/>
        <i x="323" s="1"/>
        <i x="956" s="1"/>
        <i x="321" s="1"/>
        <i x="605" s="1"/>
        <i x="758" s="1"/>
        <i x="796" s="1"/>
        <i x="780" s="1"/>
        <i x="547" s="1"/>
        <i x="314" s="1"/>
        <i x="776" s="1"/>
        <i x="604" s="1"/>
        <i x="963" s="1"/>
        <i x="962" s="1"/>
        <i x="468" s="1"/>
        <i x="634" s="1"/>
        <i x="322" s="1"/>
        <i x="467" s="1"/>
        <i x="335" s="1"/>
        <i x="561" s="1"/>
        <i x="429" s="1"/>
        <i x="390" s="1"/>
        <i x="463" s="1"/>
        <i x="638" s="1"/>
        <i x="897" s="1"/>
        <i x="193" s="1"/>
        <i x="562" s="1"/>
        <i x="470" s="1"/>
        <i x="375" s="1"/>
        <i x="888" s="1"/>
        <i x="389" s="1"/>
        <i x="630" s="1"/>
        <i x="946" s="1"/>
        <i x="631" s="1"/>
        <i x="315" s="1"/>
        <i x="545" s="1"/>
        <i x="602" s="1"/>
        <i x="560" s="1"/>
        <i x="29" s="1"/>
        <i x="313" s="1"/>
        <i x="719" s="1"/>
        <i x="627" s="1"/>
        <i x="637" s="1"/>
        <i x="428" s="1"/>
        <i x="382" s="1"/>
        <i x="583" s="1"/>
        <i x="948" s="1"/>
        <i x="526" s="1"/>
        <i x="898" s="1"/>
        <i x="574" s="1"/>
        <i x="374" s="1"/>
        <i x="782" s="1"/>
        <i x="770" s="1"/>
        <i x="823" s="1"/>
        <i x="947" s="1"/>
        <i x="973" s="1"/>
        <i x="178" s="1"/>
        <i x="177" s="1"/>
        <i x="546" s="1"/>
        <i x="893" s="1"/>
        <i x="383" s="1"/>
        <i x="202" s="1"/>
        <i x="626" s="1"/>
        <i x="439" s="1"/>
        <i x="50" s="1"/>
        <i x="726" s="1"/>
        <i x="433" s="1"/>
        <i x="974" s="1"/>
        <i x="515" s="1"/>
        <i x="718" s="1"/>
        <i x="970" s="1"/>
        <i x="875" s="1"/>
        <i x="753" s="1"/>
        <i x="283" s="1"/>
        <i x="320" s="1"/>
        <i x="983" s="1"/>
        <i x="945" s="1"/>
        <i x="847" s="1"/>
        <i x="359" s="1"/>
        <i x="899" s="1"/>
        <i x="372" s="1"/>
        <i x="701" s="1"/>
        <i x="514" s="1"/>
        <i x="902" s="1"/>
        <i x="23" s="1"/>
        <i x="724" s="1"/>
        <i x="938" s="1"/>
        <i x="555" s="1"/>
        <i x="954" s="1"/>
        <i x="789" s="1"/>
        <i x="608" s="1"/>
        <i x="988" s="1"/>
        <i x="609" s="1"/>
        <i x="180" s="1"/>
        <i x="399" s="1"/>
        <i x="334" s="1"/>
        <i x="552" s="1"/>
        <i x="542" s="1"/>
        <i x="712" s="1"/>
        <i x="598" s="1"/>
        <i x="573" s="1"/>
        <i x="457" s="1"/>
        <i x="379" s="1"/>
        <i x="746" s="1"/>
        <i x="513" s="1"/>
        <i x="889" s="1"/>
        <i x="751" s="1"/>
        <i x="553" s="1"/>
        <i x="307" s="1"/>
        <i x="549" s="1"/>
        <i x="773" s="1"/>
        <i x="340" s="1"/>
        <i x="578" s="1"/>
        <i x="369" s="1"/>
        <i x="388" s="1"/>
        <i x="877" s="1"/>
        <i x="24" s="1"/>
        <i x="521" s="1"/>
        <i x="768" s="1"/>
        <i x="31" s="1"/>
        <i x="285" s="1"/>
        <i x="386" s="1"/>
        <i x="301" s="1"/>
        <i x="982" s="1"/>
        <i x="883" s="1"/>
        <i x="336" s="1"/>
        <i x="932" s="1"/>
        <i x="376" s="1"/>
        <i x="569" s="1"/>
        <i x="280" s="1"/>
        <i x="460" s="1"/>
        <i x="670" s="1"/>
        <i x="572" s="1"/>
        <i x="568" s="1"/>
        <i x="953" s="1"/>
        <i x="434" s="1"/>
        <i x="599" s="1"/>
        <i x="187" s="1"/>
        <i x="311" s="1"/>
        <i x="30" s="1"/>
        <i x="440" s="1"/>
        <i x="260" s="1"/>
        <i x="518" s="1"/>
        <i x="186" s="1"/>
        <i x="83" s="1"/>
        <i x="396" s="1"/>
        <i x="582" s="1"/>
        <i x="567" s="1"/>
        <i x="494" s="1"/>
        <i x="700" s="1"/>
        <i x="312" s="1"/>
        <i x="318" s="1"/>
        <i x="461" s="1"/>
        <i x="368" s="1"/>
        <i x="253" s="1"/>
        <i x="757" s="1"/>
        <i x="525" s="1"/>
        <i x="795" s="1"/>
        <i x="548" s="1"/>
        <i x="745" s="1"/>
        <i x="373" s="1"/>
        <i x="783" s="1"/>
        <i x="331" s="1"/>
        <i x="876" s="1"/>
        <i x="566" s="1"/>
        <i x="397" s="1"/>
        <i x="749" s="1"/>
        <i x="259" s="1"/>
        <i x="933" s="1"/>
        <i x="558" s="1"/>
        <i x="541" s="1"/>
        <i x="28" s="1"/>
        <i x="520" s="1"/>
        <i x="279" s="1"/>
        <i x="524" s="1"/>
        <i x="961" s="1"/>
        <i x="413" s="1"/>
        <i x="194" s="1"/>
        <i x="788" s="1"/>
        <i x="263" s="1"/>
        <i x="787" s="1"/>
        <i x="333" s="1"/>
        <i x="20" s="1"/>
        <i x="987" s="1"/>
        <i x="380" s="1"/>
        <i x="601" s="1"/>
        <i x="683" s="1"/>
        <i x="715" s="1"/>
        <i x="779" s="1"/>
        <i x="759" s="1"/>
        <i x="339" s="1"/>
        <i x="895" s="1"/>
        <i x="387" s="1"/>
        <i x="300" s="1"/>
        <i x="559" s="1"/>
        <i x="252" s="1"/>
        <i x="967" s="1"/>
        <i x="722" s="1"/>
        <i x="565" s="1"/>
        <i x="884" s="1"/>
        <i x="896" s="1"/>
        <i x="986" s="1"/>
        <i x="955" s="1"/>
        <i x="976" s="1"/>
        <i x="319" s="1"/>
        <i x="832" s="1"/>
        <i x="217" s="1"/>
        <i x="197" s="1"/>
        <i x="756" s="1"/>
        <i x="308" s="1"/>
        <i x="52" s="1"/>
        <i x="84" s="1"/>
        <i x="189" s="1"/>
        <i x="657" s="1"/>
        <i x="981" s="1"/>
        <i x="15" s="1"/>
        <i x="438" s="1"/>
        <i x="723" s="1"/>
        <i x="284" s="1"/>
        <i x="833" s="1"/>
        <i x="258" s="1"/>
        <i x="381" s="1"/>
        <i x="400" s="1"/>
        <i x="519" s="1"/>
        <i x="952" s="1"/>
        <i x="711" s="1"/>
        <i x="769" s="1"/>
        <i x="717" s="1"/>
        <i x="27" s="1"/>
        <i x="200" s="1"/>
        <i x="299" s="1"/>
        <i x="21" s="1"/>
        <i x="793" s="1"/>
        <i x="456" s="1"/>
        <i x="256" s="1"/>
        <i x="290" s="1"/>
        <i x="968" s="1"/>
        <i x="201" s="1"/>
        <i x="395" s="1"/>
        <i x="939" s="1"/>
        <i x="465" s="1"/>
        <i x="17" s="1"/>
        <i x="332" s="1"/>
        <i x="306" s="1"/>
        <i x="414" s="1"/>
        <i x="979" s="1"/>
        <i x="398" s="1"/>
        <i x="287" s="1"/>
        <i x="264" s="1"/>
        <i x="713" s="1"/>
        <i x="512" s="1"/>
        <i x="980" s="1"/>
        <i x="79" s="1"/>
        <i x="22" s="1"/>
        <i x="125" s="1"/>
        <i x="294" s="1"/>
        <i x="183" s="1"/>
        <i x="181" s="1"/>
        <i x="358" s="1"/>
        <i x="128" s="1"/>
        <i x="2" s="1"/>
        <i x="129" s="1"/>
        <i x="293" s="1"/>
        <i x="78" s="1"/>
        <i x="338" s="1"/>
        <i x="204" s="1"/>
        <i x="458" s="1"/>
        <i x="291" s="1"/>
        <i x="13" s="1"/>
        <i x="184" s="1"/>
        <i x="115" s="1"/>
        <i x="635" s="1"/>
        <i x="292" s="1"/>
        <i x="527" s="1"/>
        <i x="636" s="1"/>
        <i x="192" s="1"/>
        <i x="482" s="1"/>
        <i x="431" s="1"/>
        <i x="427" s="1"/>
        <i x="907" s="1"/>
        <i x="16" s="1"/>
        <i x="363" s="1"/>
        <i x="972" s="1"/>
        <i x="371" s="1"/>
        <i x="750" s="1"/>
        <i x="218" s="1"/>
        <i x="716" s="1"/>
        <i x="799" s="1"/>
        <i x="426" s="1"/>
        <i x="190" s="1"/>
        <i x="975" s="1"/>
        <i x="9" s="1"/>
        <i x="370" s="1"/>
        <i x="38" s="1"/>
        <i x="653" s="1"/>
        <i x="629" s="1"/>
        <i x="854" s="1"/>
        <i x="577" s="1"/>
        <i x="550" s="1"/>
        <i x="459" s="1"/>
        <i x="570" s="1"/>
        <i x="188" s="1"/>
        <i x="114" s="1"/>
        <i x="265" s="1"/>
        <i x="195" s="1"/>
        <i x="126" s="1"/>
        <i x="10" s="1"/>
        <i x="671" s="1"/>
        <i x="466" s="1"/>
        <i x="950" s="1"/>
        <i x="644" s="1"/>
        <i x="706" s="1"/>
        <i x="684" s="1"/>
        <i x="543" s="1"/>
        <i x="628" s="1"/>
        <i x="642" s="1"/>
        <i x="834" s="1"/>
        <i x="646" s="1"/>
        <i x="702" s="1"/>
        <i x="912" s="1"/>
        <i x="360" s="1"/>
        <i x="699" s="1"/>
        <i x="556" s="1"/>
        <i x="391" s="1"/>
        <i x="714" s="1"/>
        <i x="51" s="1"/>
        <i x="288" s="1"/>
        <i x="910" s="1"/>
        <i x="441" s="1"/>
        <i x="34" s="1"/>
        <i x="551" s="1"/>
        <i x="127" s="1"/>
        <i x="356" s="1"/>
        <i x="794" s="1"/>
        <i x="643" s="1"/>
        <i x="185" s="1"/>
        <i x="765" s="1"/>
        <i x="14" s="1"/>
        <i x="522" s="1"/>
        <i x="571" s="1"/>
        <i x="99" s="1"/>
        <i x="143" s="1"/>
        <i x="25" s="1"/>
        <i x="111" s="1"/>
        <i x="257" s="1"/>
        <i x="469" s="1"/>
        <i x="97" s="1"/>
        <i x="762" s="1"/>
        <i x="297" s="1"/>
        <i x="251" s="1"/>
        <i x="800" s="1"/>
        <i x="861" s="1"/>
        <i x="801" s="1"/>
        <i x="911" s="1"/>
        <i x="951" s="1"/>
        <i x="747" s="1"/>
        <i x="87" s="1"/>
        <i x="286" s="1"/>
        <i x="917" s="1"/>
        <i x="790" s="1"/>
        <i x="198" s="1"/>
        <i x="100" s="1"/>
        <i x="557" s="1"/>
        <i x="119" s="1"/>
        <i x="171" s="1"/>
        <i x="453" s="1"/>
        <i x="118" s="1"/>
        <i x="540" s="1"/>
        <i x="544" s="1"/>
        <i x="806" s="1"/>
        <i x="412" s="1"/>
        <i x="686" s="1"/>
        <i x="377" s="1"/>
        <i x="492" s="1"/>
        <i x="656" s="1"/>
        <i x="720" s="1"/>
        <i x="432" s="1"/>
        <i x="766" s="1"/>
        <i x="86" s="1"/>
        <i x="916" s="1"/>
        <i x="403" s="1"/>
        <i x="401" s="1"/>
        <i x="394" s="1"/>
        <i x="516" s="1"/>
        <i x="124" s="1"/>
        <i x="853" s="1"/>
        <i x="408" s="1"/>
        <i x="309" s="1"/>
        <i x="612" s="1"/>
        <i x="563" s="1"/>
        <i x="658" s="1"/>
        <i x="984" s="1"/>
        <i x="384" s="1"/>
        <i x="282" s="1"/>
        <i x="179" s="1"/>
        <i x="337" s="1"/>
        <i x="120" s="1"/>
        <i x="36" s="1"/>
        <i x="685" s="1"/>
        <i x="85" s="1"/>
        <i x="191" s="1"/>
        <i x="409" s="1"/>
        <i x="859" s="1"/>
        <i x="754" s="1"/>
        <i x="985" s="1"/>
        <i x="98" s="1"/>
        <i x="385" s="1"/>
        <i x="423" s="1"/>
        <i x="348" s="1"/>
        <i x="767" s="1"/>
        <i x="261" s="1"/>
        <i x="923" s="1"/>
        <i x="977" s="1"/>
        <i x="852" s="1"/>
        <i x="298" s="1"/>
        <i x="488" s="1"/>
        <i x="849" s="1"/>
        <i x="915" s="1"/>
        <i x="18" s="1"/>
        <i x="316" s="1"/>
        <i x="94" s="1"/>
        <i x="660" s="1"/>
        <i x="174" s="1"/>
        <i x="523" s="1"/>
        <i x="32" s="1"/>
        <i x="304" s="1"/>
        <i x="822" s="1"/>
        <i x="341" s="1"/>
        <i x="860" s="1"/>
        <i x="786" s="1"/>
        <i x="748" s="1"/>
        <i x="56" s="1"/>
        <i x="48" s="1"/>
        <i x="175" s="1"/>
        <i x="378" s="1"/>
        <i x="538" s="1"/>
        <i x="666" s="1"/>
        <i x="342" s="1"/>
        <i x="41" s="1"/>
        <i x="393" s="1"/>
        <i x="416" s="1"/>
        <i x="43" s="1"/>
        <i x="35" s="1"/>
        <i x="665" s="1"/>
        <i x="659" s="1"/>
        <i x="254" s="1"/>
        <i x="11" s="1"/>
        <i x="45" s="1"/>
        <i x="310" s="1"/>
        <i x="55" s="1"/>
        <i x="906" s="1"/>
        <i x="618" s="1"/>
        <i x="805" s="1"/>
        <i x="12" s="1"/>
        <i x="402" s="1"/>
        <i x="863" s="1"/>
        <i x="347" s="1"/>
        <i x="664" s="1"/>
        <i x="669" s="1"/>
        <i x="455" s="1"/>
        <i x="729" s="1"/>
        <i x="695" s="1"/>
        <i x="262" s="1"/>
        <i x="532" s="1"/>
        <i x="19" s="1"/>
        <i x="493" s="1"/>
        <i x="121" s="1"/>
        <i x="517" s="1"/>
        <i x="485" s="1"/>
        <i x="797" s="1"/>
        <i x="764" s="1"/>
        <i x="564" s="1"/>
        <i x="497" s="1"/>
        <i x="613" s="1"/>
        <i x="134" s="1"/>
        <i x="921" s="1"/>
        <i x="929" s="1"/>
        <i x="752" s="1"/>
        <i x="645" s="1"/>
        <i x="302" s="1"/>
        <i x="352" s="1"/>
        <i x="26" s="1"/>
        <i x="42" s="1"/>
        <i x="93" s="1"/>
        <i x="123" s="1"/>
        <i x="703" s="1"/>
        <i x="539" s="1"/>
        <i x="289" s="1"/>
        <i x="365" s="1"/>
        <i x="345" s="1"/>
        <i x="49" s="1"/>
        <i x="721" s="1"/>
        <i x="922" s="1"/>
        <i x="804" s="1"/>
        <i x="708" s="1"/>
        <i x="490" s="1"/>
        <i x="367" s="1"/>
        <i x="689" s="1"/>
        <i x="763" s="1"/>
        <i x="978" s="1"/>
        <i x="511" s="1"/>
        <i x="848" s="1"/>
        <i x="725" s="1"/>
        <i x="90" s="1"/>
        <i x="596" s="1"/>
        <i x="317" s="1"/>
        <i x="663" s="1"/>
        <i x="196" s="1"/>
        <i x="112" s="1"/>
        <i x="454" s="1"/>
        <i x="807" s="1"/>
        <i x="392" s="1"/>
        <i x="528" s="1"/>
        <i x="281" s="1"/>
        <i x="616" s="1"/>
        <i x="255" s="1"/>
        <i x="531" s="1"/>
        <i x="232" s="1"/>
        <i x="760" s="1"/>
        <i x="82" s="1"/>
        <i x="230" s="1"/>
        <i x="104" s="1"/>
        <i x="353" s="1"/>
        <i x="44" s="1"/>
        <i x="640" s="1"/>
        <i x="839" s="1"/>
        <i x="73" s="1"/>
        <i x="66" s="1"/>
        <i x="743" s="1"/>
        <i x="203" s="1"/>
        <i x="487" s="1"/>
        <i x="122" s="1"/>
        <i x="139" s="1"/>
        <i x="182" s="1"/>
        <i x="80" s="1"/>
        <i x="474" s="1"/>
        <i x="231" s="1"/>
        <i x="473" s="1"/>
        <i x="846" s="1"/>
        <i x="140" s="1"/>
        <i x="491" s="1"/>
        <i x="651" s="1"/>
        <i x="597" s="1"/>
        <i x="415" s="1"/>
        <i x="486" s="1"/>
        <i x="792" s="1"/>
        <i x="499" s="1"/>
        <i x="349" s="1"/>
        <i x="33" s="1"/>
        <i x="508" s="1"/>
        <i x="101" s="1"/>
        <i x="406" s="1"/>
        <i x="163" s="1"/>
        <i x="810" s="1"/>
        <i x="113" s="1"/>
        <i x="225" s="1"/>
        <i x="682" s="1"/>
        <i x="6" s="1"/>
        <i x="141" s="1"/>
        <i x="95" s="1"/>
        <i x="305" s="1"/>
        <i x="91" s="1"/>
        <i x="361" s="1"/>
        <i x="761" s="1"/>
        <i x="533" s="1"/>
        <i x="949" s="1"/>
        <i x="785" s="1"/>
        <i x="133" s="1"/>
        <i x="447" s="1"/>
        <i x="366" s="1"/>
        <i x="617" s="1"/>
        <i x="733" s="1"/>
        <i x="652" s="1"/>
        <i x="679" s="1"/>
        <i x="81" s="1"/>
        <i x="71" s="1"/>
        <i x="856" s="1"/>
        <i x="170" s="1"/>
        <i x="740" s="1"/>
        <i x="37" s="1"/>
        <i x="501" s="1"/>
        <i x="157" s="1"/>
        <i x="168" s="1"/>
        <i x="105" s="1"/>
        <i x="654" s="1"/>
        <i x="407" s="1"/>
        <i x="162" s="1"/>
        <i x="223" s="1"/>
        <i x="72" s="1"/>
        <i x="589" s="1"/>
        <i x="446" s="1"/>
        <i x="704" s="1"/>
        <i x="481" s="1"/>
        <i x="731" s="1"/>
        <i x="845" s="1"/>
        <i x="221" s="1"/>
        <i x="160" s="1"/>
        <i x="692" s="1"/>
        <i x="142" s="1"/>
        <i x="443" s="1"/>
        <i x="908" s="1"/>
        <i x="623" s="1"/>
        <i x="744" s="1"/>
        <i x="224" s="1"/>
        <i x="874" s="1"/>
        <i x="210" s="1"/>
        <i x="172" s="1"/>
        <i x="836" s="1"/>
        <i x="710" s="1"/>
        <i x="173" s="1"/>
        <i x="132" s="1"/>
        <i x="3" s="1"/>
        <i x="480" s="1"/>
        <i x="690" s="1"/>
        <i x="420" s="1"/>
        <i x="687" s="1"/>
        <i x="164" s="1"/>
        <i x="135" s="1"/>
        <i x="732" s="1"/>
        <i x="730" s="1"/>
        <i x="791" s="1"/>
        <i x="96" s="1"/>
        <i x="868" s="1"/>
        <i x="584" s="1"/>
        <i x="364" s="1"/>
        <i x="235" s="1"/>
        <i x="150" s="1"/>
        <i x="500" s="1"/>
        <i x="266" s="1"/>
        <i x="146" s="1"/>
        <i x="736" s="1"/>
        <i x="697" s="1"/>
        <i x="855" s="1"/>
        <i x="209" s="1"/>
        <i x="873" s="1"/>
        <i x="691" s="1"/>
        <i x="784" s="1"/>
        <i x="161" s="1"/>
        <i x="421" s="1"/>
        <i x="169" s="1"/>
        <i x="625" s="1"/>
        <i x="535" s="1"/>
        <i x="866" s="1"/>
        <i x="913" s="1"/>
        <i x="918" s="1"/>
        <i x="586" s="1"/>
        <i x="928" s="1"/>
        <i x="442" s="1"/>
        <i x="478" s="1"/>
        <i x="303" s="1"/>
        <i x="147" s="1"/>
        <i x="295" s="1"/>
        <i x="498" s="1"/>
        <i x="419" s="1"/>
        <i x="0" s="1"/>
        <i x="422" s="1"/>
        <i x="641" s="1"/>
        <i x="8" s="1"/>
        <i x="924" s="1"/>
        <i x="672" s="1"/>
        <i x="58" s="1"/>
        <i x="57" s="1"/>
        <i x="76" s="1"/>
        <i x="167" s="1"/>
        <i x="504" s="1"/>
        <i x="69" s="1"/>
        <i x="148" s="1"/>
        <i x="678" s="1"/>
        <i x="411" s="1"/>
        <i x="536" s="1"/>
        <i x="424" s="1"/>
        <i x="675" s="1"/>
        <i x="350" s="1"/>
        <i x="507" s="1"/>
        <i x="92" s="1"/>
        <i x="222" s="1"/>
        <i x="850" s="1"/>
        <i x="914" s="1"/>
        <i x="343" s="1"/>
        <i x="650" s="1"/>
        <i x="346" s="1"/>
        <i x="811" s="1"/>
        <i x="228" s="1"/>
        <i x="835" s="1"/>
        <i x="676" s="1"/>
        <i x="649" s="1"/>
        <i x="677" s="1"/>
        <i x="707" s="1"/>
        <i x="199" s="1"/>
        <i x="77" s="1"/>
        <i x="106" s="1"/>
        <i x="814" s="1"/>
        <i x="840" s="1"/>
        <i x="149" s="1"/>
        <i x="867" s="1"/>
        <i x="237" s="1"/>
        <i x="249" s="1"/>
        <i x="739" s="1"/>
        <i x="647" s="1"/>
        <i x="798" s="1"/>
        <i x="693" s="1"/>
        <i x="410" s="1"/>
        <i x="909" s="1"/>
        <i x="509" s="1"/>
        <i x="354" s="1"/>
        <i x="727" s="1"/>
        <i x="709" s="1"/>
        <i x="229" s="1"/>
        <i x="593" s="1"/>
        <i x="250" s="1"/>
        <i x="655" s="1"/>
        <i x="585" s="1"/>
        <i x="65" s="1"/>
        <i x="534" s="1"/>
        <i x="216" s="1"/>
        <i x="738" s="1"/>
        <i x="842" s="1"/>
        <i x="425" s="1"/>
        <i x="88" s="1"/>
        <i x="271" s="1"/>
        <i x="417" s="1"/>
        <i x="696" s="1"/>
        <i x="207" s="1"/>
        <i x="117" s="1"/>
        <i x="812" s="1"/>
        <i x="296" s="1"/>
        <i x="351" s="1"/>
        <i x="479" s="1"/>
        <i x="818" s="1"/>
        <i x="537" s="1"/>
        <i x="239" s="1"/>
        <i x="136" s="1"/>
        <i x="872" s="1"/>
        <i x="529" s="1"/>
        <i x="869" s="1"/>
        <i x="495" s="1"/>
        <i x="116" s="1"/>
        <i x="667" s="1"/>
        <i x="851" s="1"/>
        <i x="277" s="1"/>
        <i x="819" s="1"/>
        <i x="270" s="1"/>
        <i x="483" s="1"/>
        <i x="668" s="1"/>
        <i x="107" s="1"/>
        <i x="624" s="1"/>
        <i x="506" s="1"/>
        <i x="471" s="1"/>
        <i x="156" s="1"/>
        <i x="238" s="1"/>
        <i x="70" s="1"/>
        <i x="158" s="1"/>
        <i x="858" s="1"/>
        <i x="208" s="1"/>
        <i x="680" s="1"/>
        <i x="211" s="1"/>
        <i x="813" s="1"/>
        <i x="925" s="1"/>
        <i x="728" s="1"/>
        <i x="510" s="1"/>
        <i x="755" s="1"/>
        <i x="705" s="1"/>
        <i x="1" s="1"/>
        <i x="673" s="1"/>
        <i x="39" s="1"/>
        <i x="418" s="1"/>
        <i x="803" s="1"/>
        <i x="130" s="1"/>
        <i x="857" s="1"/>
        <i x="444" s="1"/>
        <i x="448" s="1"/>
        <i x="688" s="1"/>
        <i x="7" s="1"/>
        <i x="362" s="1"/>
        <i x="5" s="1"/>
        <i x="214" s="1"/>
        <i x="694" s="1"/>
        <i x="236" s="1"/>
        <i x="741" s="1"/>
        <i x="404" s="1"/>
        <i x="698" s="1"/>
        <i x="102" s="1"/>
        <i x="344" s="1"/>
        <i x="619" s="1"/>
        <i x="590" s="1"/>
        <i x="40" s="1"/>
        <i x="530" s="1"/>
        <i x="54" s="1"/>
        <i x="64" s="1"/>
        <i x="53" s="1"/>
        <i x="919" s="1"/>
        <i x="594" s="1"/>
        <i x="820" s="1"/>
        <i x="475" s="1"/>
        <i x="802" s="1"/>
        <i x="4" s="1"/>
        <i x="592" s="1"/>
        <i x="737" s="1"/>
        <i x="246" s="1"/>
        <i x="661" s="1"/>
        <i x="155" s="1"/>
        <i x="808" s="1"/>
        <i x="484" s="1"/>
        <i x="46" s="1"/>
        <i x="817" s="1"/>
        <i x="920" s="1"/>
        <i x="89" s="1"/>
        <i x="615" s="1"/>
        <i x="452" s="1"/>
        <i x="837" s="1"/>
        <i x="595" s="1"/>
        <i x="681" s="1"/>
        <i x="841" s="1"/>
        <i x="662" s="1"/>
        <i x="927" s="1"/>
        <i x="110" s="1"/>
        <i x="926" s="1"/>
        <i x="742" s="1"/>
        <i x="843" s="1"/>
        <i x="489" s="1"/>
        <i x="614" s="1"/>
        <i x="272" s="1"/>
        <i x="267" s="1"/>
        <i x="59" s="1"/>
        <i x="496" s="1"/>
        <i x="648" s="1"/>
        <i x="215" s="1"/>
        <i x="405" s="1"/>
        <i x="103" s="1"/>
        <i x="591" s="1"/>
        <i x="233" s="1"/>
        <i x="587" s="1"/>
        <i x="47" s="1"/>
        <i x="821" s="1"/>
        <i x="278" s="1"/>
        <i x="838" s="1"/>
        <i x="242" s="1"/>
        <i x="864" s="1"/>
        <i x="505" s="1"/>
        <i x="844" s="1"/>
        <i x="621" s="1"/>
        <i x="355" s="1"/>
        <i x="734" s="1"/>
        <i x="620" s="1"/>
        <i x="74" s="1"/>
        <i x="445" s="1"/>
        <i x="477" s="1"/>
        <i x="159" s="1"/>
        <i x="809" s="1"/>
        <i x="502" s="1"/>
        <i x="220" s="1"/>
        <i x="476" s="1"/>
        <i x="137" s="1"/>
        <i x="674" s="1"/>
        <i x="472" s="1"/>
        <i x="449" s="1"/>
        <i x="154" s="1"/>
        <i x="131" s="1"/>
        <i x="815" s="1"/>
        <i x="144" s="1"/>
        <i x="588" s="1"/>
        <i x="451" s="1"/>
        <i x="622" s="1"/>
        <i x="219" s="1"/>
        <i x="871" s="1"/>
        <i x="234" s="1"/>
        <i x="865" s="1"/>
        <i x="109" s="1"/>
        <i x="153" s="1"/>
        <i x="870" s="1"/>
        <i x="503" s="1"/>
        <i x="274" s="1"/>
        <i x="67" s="1"/>
        <i x="165" s="1"/>
        <i x="226" s="1"/>
        <i x="166" s="1"/>
        <i x="62" s="1"/>
        <i x="245" s="1"/>
        <i x="244" s="1"/>
        <i x="735" s="1"/>
        <i x="138" s="1"/>
        <i x="151" s="1"/>
        <i x="205" s="1"/>
        <i x="75" s="1"/>
        <i x="275" s="1"/>
        <i x="68" s="1"/>
        <i x="816" s="1"/>
        <i x="247" s="1"/>
        <i x="227" s="1"/>
        <i x="63" s="1"/>
        <i x="206" s="1"/>
        <i x="248" s="1"/>
        <i x="268" s="1"/>
        <i x="273" s="1"/>
        <i x="145" s="1"/>
        <i x="108" s="1"/>
        <i x="152" s="1"/>
        <i x="212" s="1"/>
        <i x="450" s="1"/>
        <i x="269" s="1"/>
        <i x="240" s="1"/>
        <i x="243" s="1"/>
        <i x="213" s="1"/>
        <i x="276" s="1"/>
        <i x="60" s="1"/>
        <i x="241" s="1"/>
        <i x="61" s="1"/>
        <i x="989"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E6D525AC-4947-4B78-BD6F-2038524CE193}" sourceName="Years (Date)">
  <pivotTables>
    <pivotTable tabId="14" name="PivotTable85"/>
  </pivotTables>
  <data>
    <tabular pivotCacheId="206521032">
      <items count="6">
        <i x="0"/>
        <i x="1" s="1"/>
        <i x="2" s="1"/>
        <i x="3" s="1"/>
        <i x="4"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tal Sales 1" xr10:uid="{D77F7138-684F-4851-8181-E460C0B1CD97}" cache="Slicer_Total_Sales" caption="Total Sales" rowHeight="234950"/>
  <slicer name="Total Cost Of Sales 1" xr10:uid="{FCFDFA89-0226-411A-8F35-3D0800435C61}" cache="Slicer_Total_Cost_Of_Sales" caption="Total Cost Of Sales" startItem="18" rowHeight="234950"/>
  <slicer name="Total Quantity Sold 1" xr10:uid="{4B1339D7-F4DE-4ABB-9D9F-700FBD20F5BB}" cache="Slicer_Total_Quantity_Sold" caption="Total Quantity Sold" rowHeight="234950"/>
  <slicer name="Average Unit Price 1" xr10:uid="{79693A71-75F5-4220-913F-929674AE62F9}" cache="Slicer_Average_Unit_Price" caption="Average Unit Price" rowHeight="234950"/>
  <slicer name="Gross Profit 1" xr10:uid="{F1181925-7FFB-42EC-B274-BDFFD3C1C1CD}" cache="Slicer_Gross_Profit" caption="Gross Profit" rowHeight="234950"/>
  <slicer name="Years (Month) 1" xr10:uid="{4DB7750C-1C1F-4177-9887-D528D569FA95}" cache="Slicer_Years__Month" caption="Years (Month)" rowHeight="234950"/>
  <slicer name="Sales 1" xr10:uid="{454E21EA-C481-4FBE-A1E7-A4B621AC04B2}" cache="Slicer_Sales" caption="Sales" startItem="30" rowHeight="234950"/>
  <slicer name="Cost Of Sales 1" xr10:uid="{D2B8AFC5-751E-4BB0-892E-9F02E44D33FB}" cache="Slicer_Cost_Of_Sales" caption="Cost Of Sales" startItem="9" rowHeight="234950"/>
  <slicer name="Quantity Sold 1" xr10:uid="{8BFCDDAE-4851-4A4F-873E-824D5381FD9B}" cache="Slicer_Quantity_Sold" caption="Quantity Sold" startItem="35" rowHeight="234950"/>
  <slicer name="Years (Date) 1" xr10:uid="{694A00A5-0922-4359-A69D-5FB22FB4148C}" cache="Slicer_Years__Date" caption="Years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tal Sales" xr10:uid="{D5F212EF-70FA-4B8A-80D1-31A3CF758BF3}" cache="Slicer_Total_Sales" caption="Total Sales" rowHeight="234950"/>
  <slicer name="Total Cost Of Sales" xr10:uid="{3AE27105-60A3-4A68-90E5-84F959A95FCF}" cache="Slicer_Total_Cost_Of_Sales" caption="Total Cost Of Sales" rowHeight="234950"/>
  <slicer name="Total Quantity Sold" xr10:uid="{734AB5B3-D811-4D00-9DB0-15FFAE83F61E}" cache="Slicer_Total_Quantity_Sold" caption="Total Quantity Sold" rowHeight="234950"/>
  <slicer name="Average Unit Price" xr10:uid="{F3DBF31C-92AA-48CB-B6AB-E0843DC13DA5}" cache="Slicer_Average_Unit_Price" caption="Average Unit Price" rowHeight="234950"/>
  <slicer name="Gross Profit" xr10:uid="{6D732D9F-289C-45A7-A406-076F18B794DA}" cache="Slicer_Gross_Profit" caption="Gross Profit" rowHeight="234950"/>
  <slicer name="Years (Month)" xr10:uid="{F20DE818-0ED7-4A6F-A7AA-8881737740AB}" cache="Slicer_Years__Month" caption="Years (Month)"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xr10:uid="{135EFC49-8BD9-48F6-8545-EB67ACC256C8}" cache="Slicer_Sales" caption="Sales" rowHeight="234950"/>
  <slicer name="Cost Of Sales" xr10:uid="{1D0362E1-62C5-4DF3-9C34-91F8C1E68FC9}" cache="Slicer_Cost_Of_Sales" caption="Cost Of Sales" rowHeight="234950"/>
  <slicer name="Quantity Sold" xr10:uid="{2F2EEDCF-ADDF-4D40-9574-07BED5418AE1}" cache="Slicer_Quantity_Sold" caption="Quantity Sold" rowHeight="234950"/>
  <slicer name="Years (Date)" xr10:uid="{3F29DE31-A820-4C74-861B-094A0FC85464}" cache="Slicer_Years__Date" caption="Years (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MasterTable" displayName="SalesMasterTable" ref="A1:E1055" totalsRowCount="1">
  <autoFilter ref="A1:E1054" xr:uid="{00000000-0009-0000-0100-000001000000}"/>
  <tableColumns count="5">
    <tableColumn id="1" xr3:uid="{00000000-0010-0000-0000-000001000000}" name="Date"/>
    <tableColumn id="2" xr3:uid="{00000000-0010-0000-0000-000002000000}" name="Sales" totalsRowFunction="sum" totalsRowDxfId="29"/>
    <tableColumn id="3" xr3:uid="{00000000-0010-0000-0000-000003000000}" name="Cost Of Sales" totalsRowFunction="sum" totalsRowDxfId="28"/>
    <tableColumn id="4" xr3:uid="{00000000-0010-0000-0000-000004000000}" name="Quantity Sold" totalsRowFunction="sum" totalsRowCellStyle="Comma"/>
    <tableColumn id="5" xr3:uid="{21BCAA96-3C19-48A9-8B86-5A315116774E}" name="Gross Profit" totalsRowFunction="sum" dataDxfId="27" totalsRowCellStyle="Comma">
      <calculatedColumnFormula>SalesMasterTable[[#This Row],[Sales]]-SalesMasterTable[[#This Row],[Cost Of 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D1CA6-D187-422C-8FF3-010632949421}">
  <dimension ref="A1:P68"/>
  <sheetViews>
    <sheetView showGridLines="0" tabSelected="1" zoomScale="65" zoomScaleNormal="65" workbookViewId="0">
      <selection activeCell="AB36" sqref="AB36"/>
    </sheetView>
  </sheetViews>
  <sheetFormatPr defaultRowHeight="14.4" x14ac:dyDescent="0.3"/>
  <sheetData>
    <row r="1" spans="1:16" ht="19.95" customHeight="1" x14ac:dyDescent="0.3">
      <c r="A1" s="39"/>
      <c r="B1" s="29" t="s">
        <v>62</v>
      </c>
      <c r="C1" s="30"/>
      <c r="D1" s="30"/>
      <c r="E1" s="30"/>
      <c r="F1" s="30"/>
      <c r="G1" s="30"/>
      <c r="H1" s="30"/>
      <c r="I1" s="30"/>
      <c r="J1" s="30"/>
      <c r="K1" s="30"/>
      <c r="L1" s="30"/>
      <c r="M1" s="30"/>
      <c r="N1" s="30"/>
      <c r="O1" s="30"/>
      <c r="P1" s="39"/>
    </row>
    <row r="2" spans="1:16" ht="19.95" customHeight="1" x14ac:dyDescent="0.3">
      <c r="A2" s="39"/>
      <c r="B2" s="30"/>
      <c r="C2" s="30"/>
      <c r="D2" s="30"/>
      <c r="E2" s="30"/>
      <c r="F2" s="30"/>
      <c r="G2" s="30"/>
      <c r="H2" s="30"/>
      <c r="I2" s="30"/>
      <c r="J2" s="30"/>
      <c r="K2" s="30"/>
      <c r="L2" s="30"/>
      <c r="M2" s="30"/>
      <c r="N2" s="30"/>
      <c r="O2" s="30"/>
      <c r="P2" s="39"/>
    </row>
    <row r="3" spans="1:16" ht="19.95" customHeight="1" x14ac:dyDescent="0.3">
      <c r="A3" s="39"/>
      <c r="B3" s="31" t="s">
        <v>13</v>
      </c>
      <c r="C3" s="30"/>
      <c r="D3" s="30"/>
      <c r="E3" s="30"/>
      <c r="F3" s="30"/>
      <c r="G3" s="30"/>
      <c r="H3" s="30"/>
      <c r="I3" s="30"/>
      <c r="J3" s="30"/>
      <c r="K3" s="30"/>
      <c r="L3" s="30"/>
      <c r="M3" s="30"/>
      <c r="N3" s="30"/>
      <c r="O3" s="30"/>
      <c r="P3" s="39"/>
    </row>
    <row r="4" spans="1:16" ht="19.95" customHeight="1" x14ac:dyDescent="0.3">
      <c r="A4" s="39"/>
      <c r="B4" s="9" t="s">
        <v>14</v>
      </c>
      <c r="E4" s="9" t="s">
        <v>15</v>
      </c>
      <c r="H4" s="9" t="s">
        <v>16</v>
      </c>
      <c r="K4" s="9" t="s">
        <v>17</v>
      </c>
      <c r="N4" s="9" t="s">
        <v>18</v>
      </c>
      <c r="P4" s="39"/>
    </row>
    <row r="5" spans="1:16" ht="19.95" customHeight="1" x14ac:dyDescent="0.3">
      <c r="A5" s="39"/>
      <c r="B5" s="32">
        <f>GETPIVOTDATA("Sales",pivot!$A$3)</f>
        <v>186909828.25648293</v>
      </c>
      <c r="C5" s="33"/>
      <c r="D5" s="33"/>
      <c r="E5" s="34">
        <f>GETPIVOTDATA("Quantity Sold",pivot!$A$7)</f>
        <v>5279872</v>
      </c>
      <c r="F5" s="33"/>
      <c r="G5" s="33"/>
      <c r="H5" s="35">
        <f>GETPIVOTDATA("Gross Profit",'Pivot Daily Analysis'!$A$3)</f>
        <v>-7116281.1900259992</v>
      </c>
      <c r="I5" s="30"/>
      <c r="J5" s="30"/>
      <c r="K5" s="36">
        <f>(SUM('Sales Master'!B2:B1054)-SUM('Sales Master'!C2:C1054))/SUM('Sales Master'!B2:B1054)</f>
        <v>-3.8073338659651172E-2</v>
      </c>
      <c r="L5" s="30"/>
      <c r="M5" s="30"/>
      <c r="N5" s="37">
        <f>'Sales Master'!D1058</f>
        <v>35.400446877591527</v>
      </c>
      <c r="O5" s="30"/>
      <c r="P5" s="39"/>
    </row>
    <row r="6" spans="1:16" ht="19.95" customHeight="1" x14ac:dyDescent="0.3">
      <c r="A6" s="39"/>
      <c r="B6" s="33"/>
      <c r="C6" s="33"/>
      <c r="D6" s="33"/>
      <c r="E6" s="33"/>
      <c r="F6" s="33"/>
      <c r="G6" s="33"/>
      <c r="H6" s="30"/>
      <c r="I6" s="30"/>
      <c r="J6" s="30"/>
      <c r="K6" s="30"/>
      <c r="L6" s="30"/>
      <c r="M6" s="30"/>
      <c r="N6" s="30"/>
      <c r="O6" s="30"/>
      <c r="P6" s="39"/>
    </row>
    <row r="7" spans="1:16" ht="19.95" customHeight="1" x14ac:dyDescent="0.3">
      <c r="A7" s="39"/>
      <c r="B7" s="33"/>
      <c r="C7" s="33"/>
      <c r="D7" s="33"/>
      <c r="E7" s="33"/>
      <c r="F7" s="33"/>
      <c r="G7" s="33"/>
      <c r="H7" s="30"/>
      <c r="I7" s="30"/>
      <c r="J7" s="30"/>
      <c r="K7" s="30"/>
      <c r="L7" s="30"/>
      <c r="M7" s="30"/>
      <c r="N7" s="30"/>
      <c r="O7" s="30"/>
      <c r="P7" s="39"/>
    </row>
    <row r="8" spans="1:16" x14ac:dyDescent="0.3">
      <c r="A8" s="39"/>
      <c r="P8" s="39"/>
    </row>
    <row r="9" spans="1:16" x14ac:dyDescent="0.3">
      <c r="A9" s="39"/>
      <c r="P9" s="39"/>
    </row>
    <row r="10" spans="1:16" x14ac:dyDescent="0.3">
      <c r="A10" s="39"/>
      <c r="P10" s="39"/>
    </row>
    <row r="11" spans="1:16" x14ac:dyDescent="0.3">
      <c r="A11" s="39"/>
      <c r="P11" s="39"/>
    </row>
    <row r="12" spans="1:16" x14ac:dyDescent="0.3">
      <c r="A12" s="39"/>
      <c r="P12" s="39"/>
    </row>
    <row r="13" spans="1:16" x14ac:dyDescent="0.3">
      <c r="A13" s="39"/>
      <c r="P13" s="39"/>
    </row>
    <row r="14" spans="1:16" x14ac:dyDescent="0.3">
      <c r="A14" s="39"/>
      <c r="P14" s="39"/>
    </row>
    <row r="15" spans="1:16" x14ac:dyDescent="0.3">
      <c r="A15" s="39"/>
      <c r="P15" s="39"/>
    </row>
    <row r="16" spans="1:16" x14ac:dyDescent="0.3">
      <c r="A16" s="39"/>
      <c r="P16" s="39"/>
    </row>
    <row r="17" spans="1:16" x14ac:dyDescent="0.3">
      <c r="A17" s="39"/>
      <c r="P17" s="39"/>
    </row>
    <row r="18" spans="1:16" x14ac:dyDescent="0.3">
      <c r="A18" s="39"/>
      <c r="P18" s="39"/>
    </row>
    <row r="19" spans="1:16" x14ac:dyDescent="0.3">
      <c r="A19" s="39"/>
      <c r="P19" s="39"/>
    </row>
    <row r="20" spans="1:16" x14ac:dyDescent="0.3">
      <c r="A20" s="39"/>
      <c r="P20" s="39"/>
    </row>
    <row r="21" spans="1:16" x14ac:dyDescent="0.3">
      <c r="A21" s="39"/>
      <c r="P21" s="39"/>
    </row>
    <row r="22" spans="1:16" x14ac:dyDescent="0.3">
      <c r="A22" s="39"/>
      <c r="P22" s="39"/>
    </row>
    <row r="23" spans="1:16" x14ac:dyDescent="0.3">
      <c r="A23" s="39"/>
      <c r="P23" s="39"/>
    </row>
    <row r="24" spans="1:16" x14ac:dyDescent="0.3">
      <c r="A24" s="39"/>
      <c r="P24" s="39"/>
    </row>
    <row r="25" spans="1:16" x14ac:dyDescent="0.3">
      <c r="A25" s="39"/>
      <c r="P25" s="39"/>
    </row>
    <row r="26" spans="1:16" x14ac:dyDescent="0.3">
      <c r="A26" s="39"/>
      <c r="P26" s="39"/>
    </row>
    <row r="27" spans="1:16" x14ac:dyDescent="0.3">
      <c r="A27" s="39"/>
      <c r="P27" s="39"/>
    </row>
    <row r="28" spans="1:16" x14ac:dyDescent="0.3">
      <c r="A28" s="39"/>
      <c r="P28" s="39"/>
    </row>
    <row r="29" spans="1:16" x14ac:dyDescent="0.3">
      <c r="A29" s="39"/>
      <c r="P29" s="39"/>
    </row>
    <row r="30" spans="1:16" x14ac:dyDescent="0.3">
      <c r="A30" s="39"/>
      <c r="P30" s="39"/>
    </row>
    <row r="31" spans="1:16" x14ac:dyDescent="0.3">
      <c r="A31" s="39"/>
      <c r="P31" s="39"/>
    </row>
    <row r="32" spans="1:16" x14ac:dyDescent="0.3">
      <c r="A32" s="39"/>
      <c r="P32" s="39"/>
    </row>
    <row r="33" spans="1:16" x14ac:dyDescent="0.3">
      <c r="A33" s="39"/>
      <c r="P33" s="39"/>
    </row>
    <row r="34" spans="1:16" x14ac:dyDescent="0.3">
      <c r="A34" s="39"/>
      <c r="P34" s="39"/>
    </row>
    <row r="35" spans="1:16" x14ac:dyDescent="0.3">
      <c r="A35" s="39"/>
      <c r="P35" s="39"/>
    </row>
    <row r="36" spans="1:16" x14ac:dyDescent="0.3">
      <c r="A36" s="39"/>
      <c r="P36" s="39"/>
    </row>
    <row r="37" spans="1:16" x14ac:dyDescent="0.3">
      <c r="A37" s="39"/>
      <c r="P37" s="39"/>
    </row>
    <row r="38" spans="1:16" x14ac:dyDescent="0.3">
      <c r="A38" s="39"/>
      <c r="P38" s="39"/>
    </row>
    <row r="39" spans="1:16" x14ac:dyDescent="0.3">
      <c r="A39" s="39"/>
      <c r="P39" s="39"/>
    </row>
    <row r="40" spans="1:16" x14ac:dyDescent="0.3">
      <c r="A40" s="39"/>
      <c r="P40" s="39"/>
    </row>
    <row r="41" spans="1:16" x14ac:dyDescent="0.3">
      <c r="A41" s="39"/>
      <c r="P41" s="39"/>
    </row>
    <row r="42" spans="1:16" x14ac:dyDescent="0.3">
      <c r="A42" s="39"/>
      <c r="P42" s="39"/>
    </row>
    <row r="43" spans="1:16" x14ac:dyDescent="0.3">
      <c r="A43" s="39"/>
      <c r="P43" s="39"/>
    </row>
    <row r="44" spans="1:16" x14ac:dyDescent="0.3">
      <c r="A44" s="39"/>
      <c r="P44" s="39"/>
    </row>
    <row r="45" spans="1:16" x14ac:dyDescent="0.3">
      <c r="A45" s="39"/>
      <c r="P45" s="39"/>
    </row>
    <row r="46" spans="1:16" x14ac:dyDescent="0.3">
      <c r="A46" s="39"/>
      <c r="P46" s="39"/>
    </row>
    <row r="47" spans="1:16" x14ac:dyDescent="0.3">
      <c r="A47" s="39"/>
      <c r="P47" s="39"/>
    </row>
    <row r="48" spans="1:16" x14ac:dyDescent="0.3">
      <c r="A48" s="39"/>
      <c r="P48" s="39"/>
    </row>
    <row r="49" spans="1:16" x14ac:dyDescent="0.3">
      <c r="A49" s="39"/>
      <c r="P49" s="39"/>
    </row>
    <row r="50" spans="1:16" x14ac:dyDescent="0.3">
      <c r="A50" s="39"/>
      <c r="P50" s="39"/>
    </row>
    <row r="51" spans="1:16" x14ac:dyDescent="0.3">
      <c r="A51" s="39"/>
      <c r="B51" s="39"/>
      <c r="C51" s="39"/>
      <c r="D51" s="39"/>
      <c r="E51" s="39"/>
      <c r="F51" s="39"/>
      <c r="G51" s="39"/>
      <c r="H51" s="39"/>
      <c r="I51" s="39"/>
      <c r="J51" s="39"/>
      <c r="K51" s="39"/>
      <c r="L51" s="39"/>
      <c r="M51" s="39"/>
      <c r="N51" s="39"/>
      <c r="O51" s="39"/>
      <c r="P51" s="39"/>
    </row>
    <row r="52" spans="1:16" x14ac:dyDescent="0.3">
      <c r="A52" s="39"/>
      <c r="B52" s="39"/>
      <c r="C52" s="39"/>
      <c r="D52" s="39"/>
      <c r="E52" s="39"/>
      <c r="F52" s="39"/>
      <c r="G52" s="39"/>
      <c r="H52" s="39"/>
      <c r="I52" s="39"/>
      <c r="J52" s="39"/>
      <c r="K52" s="39"/>
      <c r="L52" s="39"/>
      <c r="M52" s="39"/>
      <c r="N52" s="39"/>
      <c r="O52" s="39"/>
      <c r="P52" s="39"/>
    </row>
    <row r="53" spans="1:16" x14ac:dyDescent="0.3">
      <c r="B53" t="s">
        <v>64</v>
      </c>
    </row>
    <row r="54" spans="1:16" x14ac:dyDescent="0.3">
      <c r="B54" s="40" t="s">
        <v>65</v>
      </c>
      <c r="C54" s="40"/>
    </row>
    <row r="56" spans="1:16" x14ac:dyDescent="0.3">
      <c r="B56" t="s">
        <v>67</v>
      </c>
    </row>
    <row r="57" spans="1:16" x14ac:dyDescent="0.3">
      <c r="B57" t="s">
        <v>68</v>
      </c>
    </row>
    <row r="58" spans="1:16" x14ac:dyDescent="0.3">
      <c r="B58" t="s">
        <v>69</v>
      </c>
    </row>
    <row r="59" spans="1:16" x14ac:dyDescent="0.3">
      <c r="B59" t="s">
        <v>70</v>
      </c>
    </row>
    <row r="62" spans="1:16" x14ac:dyDescent="0.3">
      <c r="B62" s="40" t="s">
        <v>66</v>
      </c>
      <c r="C62" s="40"/>
      <c r="D62" s="40"/>
      <c r="E62" s="40"/>
    </row>
    <row r="64" spans="1:16" x14ac:dyDescent="0.3">
      <c r="B64" t="s">
        <v>71</v>
      </c>
    </row>
    <row r="65" spans="2:2" x14ac:dyDescent="0.3">
      <c r="B65" t="s">
        <v>72</v>
      </c>
    </row>
    <row r="66" spans="2:2" x14ac:dyDescent="0.3">
      <c r="B66" t="s">
        <v>73</v>
      </c>
    </row>
    <row r="67" spans="2:2" x14ac:dyDescent="0.3">
      <c r="B67" t="s">
        <v>74</v>
      </c>
    </row>
    <row r="68" spans="2:2" x14ac:dyDescent="0.3">
      <c r="B68" t="s">
        <v>75</v>
      </c>
    </row>
  </sheetData>
  <mergeCells count="7">
    <mergeCell ref="B1:O2"/>
    <mergeCell ref="B3:O3"/>
    <mergeCell ref="B5:D7"/>
    <mergeCell ref="E5:G7"/>
    <mergeCell ref="H5:J7"/>
    <mergeCell ref="K5:M7"/>
    <mergeCell ref="N5:O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A08CA-00EC-4765-AA45-C5CB04758495}">
  <dimension ref="A2:AL107"/>
  <sheetViews>
    <sheetView topLeftCell="I87" workbookViewId="0">
      <selection activeCell="X106" sqref="X106"/>
    </sheetView>
  </sheetViews>
  <sheetFormatPr defaultRowHeight="14.4" x14ac:dyDescent="0.3"/>
  <cols>
    <col min="1" max="1" width="23.21875" bestFit="1" customWidth="1"/>
    <col min="2" max="2" width="15.5546875" bestFit="1" customWidth="1"/>
    <col min="3" max="3" width="11" bestFit="1" customWidth="1"/>
    <col min="4" max="11" width="12" bestFit="1" customWidth="1"/>
    <col min="12" max="12" width="11" bestFit="1" customWidth="1"/>
    <col min="13" max="15" width="12" bestFit="1" customWidth="1"/>
    <col min="16" max="16" width="11" bestFit="1" customWidth="1"/>
    <col min="17" max="19" width="12" bestFit="1" customWidth="1"/>
    <col min="20" max="20" width="11" bestFit="1" customWidth="1"/>
    <col min="21" max="38" width="12" bestFit="1" customWidth="1"/>
    <col min="39" max="46" width="10.33203125" bestFit="1" customWidth="1"/>
    <col min="47" max="73" width="11.33203125" bestFit="1" customWidth="1"/>
    <col min="74" max="74" width="31.21875" bestFit="1" customWidth="1"/>
    <col min="75" max="75" width="31.88671875" bestFit="1" customWidth="1"/>
  </cols>
  <sheetData>
    <row r="2" spans="1:2" x14ac:dyDescent="0.3">
      <c r="A2" t="s">
        <v>45</v>
      </c>
    </row>
    <row r="3" spans="1:2" x14ac:dyDescent="0.3">
      <c r="A3" s="12" t="s">
        <v>25</v>
      </c>
      <c r="B3" t="s">
        <v>31</v>
      </c>
    </row>
    <row r="4" spans="1:2" x14ac:dyDescent="0.3">
      <c r="A4" s="14" t="s">
        <v>32</v>
      </c>
      <c r="B4" s="38">
        <v>13107462.50600652</v>
      </c>
    </row>
    <row r="5" spans="1:2" x14ac:dyDescent="0.3">
      <c r="A5" s="14" t="s">
        <v>33</v>
      </c>
      <c r="B5" s="38">
        <v>15573874.376606828</v>
      </c>
    </row>
    <row r="6" spans="1:2" x14ac:dyDescent="0.3">
      <c r="A6" s="14" t="s">
        <v>34</v>
      </c>
      <c r="B6" s="38">
        <v>16500726.334578801</v>
      </c>
    </row>
    <row r="7" spans="1:2" x14ac:dyDescent="0.3">
      <c r="A7" s="14" t="s">
        <v>35</v>
      </c>
      <c r="B7" s="38">
        <v>19056617.417783488</v>
      </c>
    </row>
    <row r="8" spans="1:2" x14ac:dyDescent="0.3">
      <c r="A8" s="14" t="s">
        <v>36</v>
      </c>
      <c r="B8" s="38">
        <v>21249505.249746002</v>
      </c>
    </row>
    <row r="9" spans="1:2" x14ac:dyDescent="0.3">
      <c r="A9" s="14" t="s">
        <v>37</v>
      </c>
      <c r="B9" s="38">
        <v>18560186.908274047</v>
      </c>
    </row>
    <row r="10" spans="1:2" x14ac:dyDescent="0.3">
      <c r="A10" s="14" t="s">
        <v>38</v>
      </c>
      <c r="B10" s="38">
        <v>11936228.626381317</v>
      </c>
    </row>
    <row r="11" spans="1:2" x14ac:dyDescent="0.3">
      <c r="A11" s="14" t="s">
        <v>39</v>
      </c>
      <c r="B11" s="38">
        <v>18288376.10964131</v>
      </c>
    </row>
    <row r="12" spans="1:2" x14ac:dyDescent="0.3">
      <c r="A12" s="14" t="s">
        <v>40</v>
      </c>
      <c r="B12" s="38">
        <v>15572895.046018081</v>
      </c>
    </row>
    <row r="13" spans="1:2" x14ac:dyDescent="0.3">
      <c r="A13" s="14" t="s">
        <v>41</v>
      </c>
      <c r="B13" s="38">
        <v>13082831.163434567</v>
      </c>
    </row>
    <row r="14" spans="1:2" x14ac:dyDescent="0.3">
      <c r="A14" s="14" t="s">
        <v>42</v>
      </c>
      <c r="B14" s="38">
        <v>11020532.089107718</v>
      </c>
    </row>
    <row r="15" spans="1:2" x14ac:dyDescent="0.3">
      <c r="A15" s="14" t="s">
        <v>43</v>
      </c>
      <c r="B15" s="38">
        <v>12960592.428904356</v>
      </c>
    </row>
    <row r="16" spans="1:2" x14ac:dyDescent="0.3">
      <c r="A16" s="14" t="s">
        <v>26</v>
      </c>
      <c r="B16" s="38">
        <v>186909828.25648305</v>
      </c>
    </row>
    <row r="19" spans="1:2" x14ac:dyDescent="0.3">
      <c r="A19" t="s">
        <v>46</v>
      </c>
    </row>
    <row r="20" spans="1:2" x14ac:dyDescent="0.3">
      <c r="A20" s="12" t="s">
        <v>25</v>
      </c>
      <c r="B20" t="s">
        <v>44</v>
      </c>
    </row>
    <row r="21" spans="1:2" x14ac:dyDescent="0.3">
      <c r="A21" s="14" t="s">
        <v>32</v>
      </c>
      <c r="B21" s="38">
        <v>362266</v>
      </c>
    </row>
    <row r="22" spans="1:2" x14ac:dyDescent="0.3">
      <c r="A22" s="14" t="s">
        <v>33</v>
      </c>
      <c r="B22" s="38">
        <v>438778</v>
      </c>
    </row>
    <row r="23" spans="1:2" x14ac:dyDescent="0.3">
      <c r="A23" s="14" t="s">
        <v>34</v>
      </c>
      <c r="B23" s="38">
        <v>463694</v>
      </c>
    </row>
    <row r="24" spans="1:2" x14ac:dyDescent="0.3">
      <c r="A24" s="14" t="s">
        <v>35</v>
      </c>
      <c r="B24" s="38">
        <v>534028</v>
      </c>
    </row>
    <row r="25" spans="1:2" x14ac:dyDescent="0.3">
      <c r="A25" s="14" t="s">
        <v>36</v>
      </c>
      <c r="B25" s="38">
        <v>602866</v>
      </c>
    </row>
    <row r="26" spans="1:2" x14ac:dyDescent="0.3">
      <c r="A26" s="14" t="s">
        <v>37</v>
      </c>
      <c r="B26" s="38">
        <v>532907</v>
      </c>
    </row>
    <row r="27" spans="1:2" x14ac:dyDescent="0.3">
      <c r="A27" s="14" t="s">
        <v>38</v>
      </c>
      <c r="B27" s="38">
        <v>333702</v>
      </c>
    </row>
    <row r="28" spans="1:2" x14ac:dyDescent="0.3">
      <c r="A28" s="14" t="s">
        <v>39</v>
      </c>
      <c r="B28" s="38">
        <v>543092</v>
      </c>
    </row>
    <row r="29" spans="1:2" x14ac:dyDescent="0.3">
      <c r="A29" s="14" t="s">
        <v>40</v>
      </c>
      <c r="B29" s="38">
        <v>461251</v>
      </c>
    </row>
    <row r="30" spans="1:2" x14ac:dyDescent="0.3">
      <c r="A30" s="14" t="s">
        <v>41</v>
      </c>
      <c r="B30" s="38">
        <v>363704</v>
      </c>
    </row>
    <row r="31" spans="1:2" x14ac:dyDescent="0.3">
      <c r="A31" s="14" t="s">
        <v>42</v>
      </c>
      <c r="B31" s="38">
        <v>297544</v>
      </c>
    </row>
    <row r="32" spans="1:2" x14ac:dyDescent="0.3">
      <c r="A32" s="14" t="s">
        <v>43</v>
      </c>
      <c r="B32" s="38">
        <v>346040</v>
      </c>
    </row>
    <row r="33" spans="1:2" x14ac:dyDescent="0.3">
      <c r="A33" s="14" t="s">
        <v>26</v>
      </c>
      <c r="B33" s="38">
        <v>5279872</v>
      </c>
    </row>
    <row r="37" spans="1:2" x14ac:dyDescent="0.3">
      <c r="A37" t="s">
        <v>47</v>
      </c>
    </row>
    <row r="38" spans="1:2" x14ac:dyDescent="0.3">
      <c r="A38" s="12" t="s">
        <v>25</v>
      </c>
      <c r="B38" t="s">
        <v>23</v>
      </c>
    </row>
    <row r="39" spans="1:2" x14ac:dyDescent="0.3">
      <c r="A39" s="14" t="s">
        <v>32</v>
      </c>
      <c r="B39" s="38">
        <v>-396860.51924322499</v>
      </c>
    </row>
    <row r="40" spans="1:2" x14ac:dyDescent="0.3">
      <c r="A40" s="14" t="s">
        <v>33</v>
      </c>
      <c r="B40" s="38">
        <v>-380664.09586390946</v>
      </c>
    </row>
    <row r="41" spans="1:2" x14ac:dyDescent="0.3">
      <c r="A41" s="14" t="s">
        <v>34</v>
      </c>
      <c r="B41" s="38">
        <v>-432359.89617142873</v>
      </c>
    </row>
    <row r="42" spans="1:2" x14ac:dyDescent="0.3">
      <c r="A42" s="14" t="s">
        <v>35</v>
      </c>
      <c r="B42" s="38">
        <v>-837431.77700101677</v>
      </c>
    </row>
    <row r="43" spans="1:2" x14ac:dyDescent="0.3">
      <c r="A43" s="14" t="s">
        <v>36</v>
      </c>
      <c r="B43" s="38">
        <v>-1079831.6981471414</v>
      </c>
    </row>
    <row r="44" spans="1:2" x14ac:dyDescent="0.3">
      <c r="A44" s="14" t="s">
        <v>37</v>
      </c>
      <c r="B44" s="38">
        <v>-774931.74889510311</v>
      </c>
    </row>
    <row r="45" spans="1:2" x14ac:dyDescent="0.3">
      <c r="A45" s="14" t="s">
        <v>38</v>
      </c>
      <c r="B45" s="38">
        <v>-166252.11315030558</v>
      </c>
    </row>
    <row r="46" spans="1:2" x14ac:dyDescent="0.3">
      <c r="A46" s="14" t="s">
        <v>39</v>
      </c>
      <c r="B46" s="38">
        <v>-926771.30498056114</v>
      </c>
    </row>
    <row r="47" spans="1:2" x14ac:dyDescent="0.3">
      <c r="A47" s="14" t="s">
        <v>40</v>
      </c>
      <c r="B47" s="38">
        <v>-855356.9756478481</v>
      </c>
    </row>
    <row r="48" spans="1:2" x14ac:dyDescent="0.3">
      <c r="A48" s="14" t="s">
        <v>41</v>
      </c>
      <c r="B48" s="38">
        <v>-240335.28915613471</v>
      </c>
    </row>
    <row r="49" spans="1:2" x14ac:dyDescent="0.3">
      <c r="A49" s="14" t="s">
        <v>42</v>
      </c>
      <c r="B49" s="38">
        <v>-359899.07934262347</v>
      </c>
    </row>
    <row r="50" spans="1:2" x14ac:dyDescent="0.3">
      <c r="A50" s="14" t="s">
        <v>43</v>
      </c>
      <c r="B50" s="38">
        <v>-665586.69242670608</v>
      </c>
    </row>
    <row r="51" spans="1:2" x14ac:dyDescent="0.3">
      <c r="A51" s="14" t="s">
        <v>26</v>
      </c>
      <c r="B51" s="38">
        <v>-7116281.1900260029</v>
      </c>
    </row>
    <row r="54" spans="1:2" x14ac:dyDescent="0.3">
      <c r="A54" t="s">
        <v>49</v>
      </c>
    </row>
    <row r="55" spans="1:2" x14ac:dyDescent="0.3">
      <c r="A55" s="12" t="s">
        <v>25</v>
      </c>
      <c r="B55" t="s">
        <v>53</v>
      </c>
    </row>
    <row r="56" spans="1:2" x14ac:dyDescent="0.3">
      <c r="A56" s="14" t="s">
        <v>32</v>
      </c>
      <c r="B56" s="38">
        <v>120755.33333333333</v>
      </c>
    </row>
    <row r="57" spans="1:2" x14ac:dyDescent="0.3">
      <c r="A57" s="14" t="s">
        <v>33</v>
      </c>
      <c r="B57" s="38">
        <v>146259.33333333334</v>
      </c>
    </row>
    <row r="58" spans="1:2" x14ac:dyDescent="0.3">
      <c r="A58" s="14" t="s">
        <v>34</v>
      </c>
      <c r="B58" s="38">
        <v>154564.66666666666</v>
      </c>
    </row>
    <row r="59" spans="1:2" x14ac:dyDescent="0.3">
      <c r="A59" s="14" t="s">
        <v>35</v>
      </c>
      <c r="B59" s="38">
        <v>178009.33333333334</v>
      </c>
    </row>
    <row r="60" spans="1:2" x14ac:dyDescent="0.3">
      <c r="A60" s="14" t="s">
        <v>36</v>
      </c>
      <c r="B60" s="38">
        <v>200955.33333333334</v>
      </c>
    </row>
    <row r="61" spans="1:2" x14ac:dyDescent="0.3">
      <c r="A61" s="14" t="s">
        <v>37</v>
      </c>
      <c r="B61" s="38">
        <v>177635.66666666666</v>
      </c>
    </row>
    <row r="62" spans="1:2" x14ac:dyDescent="0.3">
      <c r="A62" s="14" t="s">
        <v>38</v>
      </c>
      <c r="B62" s="38">
        <v>111234</v>
      </c>
    </row>
    <row r="63" spans="1:2" x14ac:dyDescent="0.3">
      <c r="A63" s="14" t="s">
        <v>39</v>
      </c>
      <c r="B63" s="38">
        <v>181030.66666666666</v>
      </c>
    </row>
    <row r="64" spans="1:2" x14ac:dyDescent="0.3">
      <c r="A64" s="14" t="s">
        <v>40</v>
      </c>
      <c r="B64" s="38">
        <v>153750.33333333334</v>
      </c>
    </row>
    <row r="65" spans="1:38" x14ac:dyDescent="0.3">
      <c r="A65" s="14" t="s">
        <v>41</v>
      </c>
      <c r="B65" s="38">
        <v>121234.66666666667</v>
      </c>
    </row>
    <row r="66" spans="1:38" x14ac:dyDescent="0.3">
      <c r="A66" s="14" t="s">
        <v>42</v>
      </c>
      <c r="B66" s="38">
        <v>99181.333333333328</v>
      </c>
    </row>
    <row r="67" spans="1:38" x14ac:dyDescent="0.3">
      <c r="A67" s="14" t="s">
        <v>43</v>
      </c>
      <c r="B67" s="38">
        <v>115346.66666666667</v>
      </c>
    </row>
    <row r="68" spans="1:38" x14ac:dyDescent="0.3">
      <c r="A68" s="14" t="s">
        <v>26</v>
      </c>
      <c r="B68" s="38">
        <v>146663.11111111112</v>
      </c>
    </row>
    <row r="71" spans="1:38" x14ac:dyDescent="0.3">
      <c r="A71" t="s">
        <v>49</v>
      </c>
    </row>
    <row r="72" spans="1:38" x14ac:dyDescent="0.3">
      <c r="A72" t="s">
        <v>51</v>
      </c>
    </row>
    <row r="73" spans="1:38" x14ac:dyDescent="0.3">
      <c r="A73" s="38">
        <v>36.09698477436153</v>
      </c>
    </row>
    <row r="76" spans="1:38" x14ac:dyDescent="0.3">
      <c r="A76" s="12" t="s">
        <v>48</v>
      </c>
      <c r="B76" s="12" t="s">
        <v>58</v>
      </c>
    </row>
    <row r="77" spans="1:38" x14ac:dyDescent="0.3">
      <c r="A77" s="12" t="s">
        <v>25</v>
      </c>
      <c r="B77">
        <v>32.150199315475987</v>
      </c>
      <c r="C77">
        <v>32.232069496792406</v>
      </c>
      <c r="D77">
        <v>32.468262843379257</v>
      </c>
      <c r="E77">
        <v>32.470285917198318</v>
      </c>
      <c r="F77">
        <v>32.574305836204545</v>
      </c>
      <c r="G77">
        <v>32.634158578467883</v>
      </c>
      <c r="H77">
        <v>32.746591371989972</v>
      </c>
      <c r="I77">
        <v>33.411249021299845</v>
      </c>
      <c r="J77">
        <v>33.460456162532253</v>
      </c>
      <c r="K77">
        <v>33.856117721804779</v>
      </c>
      <c r="L77">
        <v>34.289609702151743</v>
      </c>
      <c r="M77">
        <v>34.50420992005639</v>
      </c>
      <c r="N77">
        <v>34.633667751556885</v>
      </c>
      <c r="O77">
        <v>34.99293072339448</v>
      </c>
      <c r="P77">
        <v>35.134236204370616</v>
      </c>
      <c r="Q77">
        <v>35.176301909574214</v>
      </c>
      <c r="R77">
        <v>35.340413778044855</v>
      </c>
      <c r="S77">
        <v>35.683488114074187</v>
      </c>
      <c r="T77">
        <v>35.886388302798053</v>
      </c>
      <c r="U77">
        <v>36.131354815590591</v>
      </c>
      <c r="V77">
        <v>36.409440288934213</v>
      </c>
      <c r="W77">
        <v>36.67639715857144</v>
      </c>
      <c r="X77">
        <v>36.759546437900489</v>
      </c>
      <c r="Y77">
        <v>36.783835688066745</v>
      </c>
      <c r="Z77">
        <v>37.976977652147752</v>
      </c>
      <c r="AA77">
        <v>38.367043381602038</v>
      </c>
      <c r="AB77">
        <v>38.375262044256949</v>
      </c>
      <c r="AC77">
        <v>38.469585711884122</v>
      </c>
      <c r="AD77">
        <v>38.554455910768361</v>
      </c>
      <c r="AE77">
        <v>38.802318562952649</v>
      </c>
      <c r="AF77">
        <v>39.039898107083268</v>
      </c>
      <c r="AG77">
        <v>39.376905862225705</v>
      </c>
      <c r="AH77">
        <v>39.79046984913257</v>
      </c>
      <c r="AI77">
        <v>40.28985729135281</v>
      </c>
      <c r="AJ77">
        <v>41.102805914732933</v>
      </c>
      <c r="AK77">
        <v>42.940354528645557</v>
      </c>
      <c r="AL77" t="s">
        <v>26</v>
      </c>
    </row>
    <row r="78" spans="1:38" x14ac:dyDescent="0.3">
      <c r="A78" s="14" t="s">
        <v>54</v>
      </c>
      <c r="B78" s="38"/>
      <c r="C78" s="38"/>
      <c r="D78" s="38">
        <v>32.468262843379257</v>
      </c>
      <c r="E78" s="38"/>
      <c r="F78" s="38"/>
      <c r="G78" s="38"/>
      <c r="H78" s="38">
        <v>32.746591371989972</v>
      </c>
      <c r="I78" s="38">
        <v>33.411249021299845</v>
      </c>
      <c r="J78" s="38"/>
      <c r="K78" s="38"/>
      <c r="L78" s="38"/>
      <c r="M78" s="38"/>
      <c r="N78" s="38"/>
      <c r="O78" s="38"/>
      <c r="P78" s="38"/>
      <c r="Q78" s="38"/>
      <c r="R78" s="38"/>
      <c r="S78" s="38"/>
      <c r="T78" s="38">
        <v>35.886388302798053</v>
      </c>
      <c r="U78" s="38"/>
      <c r="V78" s="38"/>
      <c r="W78" s="38"/>
      <c r="X78" s="38"/>
      <c r="Y78" s="38">
        <v>36.783835688066745</v>
      </c>
      <c r="Z78" s="38"/>
      <c r="AA78" s="38">
        <v>38.367043381602038</v>
      </c>
      <c r="AB78" s="38"/>
      <c r="AC78" s="38"/>
      <c r="AD78" s="38">
        <v>38.554455910768361</v>
      </c>
      <c r="AE78" s="38"/>
      <c r="AF78" s="38"/>
      <c r="AG78" s="38"/>
      <c r="AH78" s="38">
        <v>39.79046984913257</v>
      </c>
      <c r="AI78" s="38">
        <v>40.28985729135281</v>
      </c>
      <c r="AJ78" s="38"/>
      <c r="AK78" s="38"/>
      <c r="AL78" s="38">
        <v>328.29815366038963</v>
      </c>
    </row>
    <row r="79" spans="1:38" x14ac:dyDescent="0.3">
      <c r="A79" s="14" t="s">
        <v>55</v>
      </c>
      <c r="B79" s="38"/>
      <c r="C79" s="38"/>
      <c r="D79" s="38"/>
      <c r="E79" s="38">
        <v>32.470285917198318</v>
      </c>
      <c r="F79" s="38"/>
      <c r="G79" s="38">
        <v>32.634158578467883</v>
      </c>
      <c r="H79" s="38"/>
      <c r="I79" s="38"/>
      <c r="J79" s="38"/>
      <c r="K79" s="38">
        <v>33.856117721804779</v>
      </c>
      <c r="L79" s="38">
        <v>34.289609702151743</v>
      </c>
      <c r="M79" s="38"/>
      <c r="N79" s="38"/>
      <c r="O79" s="38">
        <v>34.99293072339448</v>
      </c>
      <c r="P79" s="38"/>
      <c r="Q79" s="38"/>
      <c r="R79" s="38">
        <v>35.340413778044855</v>
      </c>
      <c r="S79" s="38"/>
      <c r="T79" s="38"/>
      <c r="U79" s="38"/>
      <c r="V79" s="38"/>
      <c r="W79" s="38"/>
      <c r="X79" s="38"/>
      <c r="Y79" s="38"/>
      <c r="Z79" s="38">
        <v>37.976977652147752</v>
      </c>
      <c r="AA79" s="38"/>
      <c r="AB79" s="38"/>
      <c r="AC79" s="38"/>
      <c r="AD79" s="38"/>
      <c r="AE79" s="38">
        <v>38.802318562952649</v>
      </c>
      <c r="AF79" s="38">
        <v>39.039898107083268</v>
      </c>
      <c r="AG79" s="38"/>
      <c r="AH79" s="38"/>
      <c r="AI79" s="38"/>
      <c r="AJ79" s="38"/>
      <c r="AK79" s="38"/>
      <c r="AL79" s="38">
        <v>319.40271074324573</v>
      </c>
    </row>
    <row r="80" spans="1:38" x14ac:dyDescent="0.3">
      <c r="A80" s="14" t="s">
        <v>56</v>
      </c>
      <c r="B80" s="38">
        <v>32.150199315475987</v>
      </c>
      <c r="C80" s="38">
        <v>32.232069496792406</v>
      </c>
      <c r="D80" s="38"/>
      <c r="E80" s="38"/>
      <c r="F80" s="38"/>
      <c r="G80" s="38"/>
      <c r="H80" s="38"/>
      <c r="I80" s="38"/>
      <c r="J80" s="38">
        <v>33.460456162532253</v>
      </c>
      <c r="K80" s="38"/>
      <c r="L80" s="38"/>
      <c r="M80" s="38"/>
      <c r="N80" s="38">
        <v>34.633667751556885</v>
      </c>
      <c r="O80" s="38"/>
      <c r="P80" s="38">
        <v>35.134236204370616</v>
      </c>
      <c r="Q80" s="38"/>
      <c r="R80" s="38"/>
      <c r="S80" s="38"/>
      <c r="T80" s="38"/>
      <c r="U80" s="38">
        <v>36.131354815590591</v>
      </c>
      <c r="V80" s="38"/>
      <c r="W80" s="38">
        <v>36.67639715857144</v>
      </c>
      <c r="X80" s="38">
        <v>36.759546437900489</v>
      </c>
      <c r="Y80" s="38"/>
      <c r="Z80" s="38"/>
      <c r="AA80" s="38"/>
      <c r="AB80" s="38"/>
      <c r="AC80" s="38">
        <v>38.469585711884122</v>
      </c>
      <c r="AD80" s="38"/>
      <c r="AE80" s="38"/>
      <c r="AF80" s="38"/>
      <c r="AG80" s="38"/>
      <c r="AH80" s="38"/>
      <c r="AI80" s="38"/>
      <c r="AJ80" s="38"/>
      <c r="AK80" s="38"/>
      <c r="AL80" s="38">
        <v>315.64751305467473</v>
      </c>
    </row>
    <row r="81" spans="1:38" x14ac:dyDescent="0.3">
      <c r="A81" s="14" t="s">
        <v>57</v>
      </c>
      <c r="B81" s="38"/>
      <c r="C81" s="38"/>
      <c r="D81" s="38"/>
      <c r="E81" s="38"/>
      <c r="F81" s="38">
        <v>32.574305836204545</v>
      </c>
      <c r="G81" s="38"/>
      <c r="H81" s="38"/>
      <c r="I81" s="38"/>
      <c r="J81" s="38"/>
      <c r="K81" s="38"/>
      <c r="L81" s="38"/>
      <c r="M81" s="38">
        <v>34.50420992005639</v>
      </c>
      <c r="N81" s="38"/>
      <c r="O81" s="38"/>
      <c r="P81" s="38"/>
      <c r="Q81" s="38">
        <v>35.176301909574214</v>
      </c>
      <c r="R81" s="38"/>
      <c r="S81" s="38">
        <v>35.683488114074187</v>
      </c>
      <c r="T81" s="38"/>
      <c r="U81" s="38"/>
      <c r="V81" s="38">
        <v>36.409440288934213</v>
      </c>
      <c r="W81" s="38"/>
      <c r="X81" s="38"/>
      <c r="Y81" s="38"/>
      <c r="Z81" s="38"/>
      <c r="AA81" s="38"/>
      <c r="AB81" s="38">
        <v>38.375262044256949</v>
      </c>
      <c r="AC81" s="38"/>
      <c r="AD81" s="38"/>
      <c r="AE81" s="38"/>
      <c r="AF81" s="38"/>
      <c r="AG81" s="38">
        <v>39.376905862225705</v>
      </c>
      <c r="AH81" s="38"/>
      <c r="AI81" s="38"/>
      <c r="AJ81" s="38">
        <v>41.102805914732933</v>
      </c>
      <c r="AK81" s="38">
        <v>42.940354528645557</v>
      </c>
      <c r="AL81" s="38">
        <v>336.14307441870471</v>
      </c>
    </row>
    <row r="82" spans="1:38" x14ac:dyDescent="0.3">
      <c r="A82" s="14" t="s">
        <v>26</v>
      </c>
      <c r="B82" s="38">
        <v>32.150199315475987</v>
      </c>
      <c r="C82" s="38">
        <v>32.232069496792406</v>
      </c>
      <c r="D82" s="38">
        <v>32.468262843379257</v>
      </c>
      <c r="E82" s="38">
        <v>32.470285917198318</v>
      </c>
      <c r="F82" s="38">
        <v>32.574305836204545</v>
      </c>
      <c r="G82" s="38">
        <v>32.634158578467883</v>
      </c>
      <c r="H82" s="38">
        <v>32.746591371989972</v>
      </c>
      <c r="I82" s="38">
        <v>33.411249021299845</v>
      </c>
      <c r="J82" s="38">
        <v>33.460456162532253</v>
      </c>
      <c r="K82" s="38">
        <v>33.856117721804779</v>
      </c>
      <c r="L82" s="38">
        <v>34.289609702151743</v>
      </c>
      <c r="M82" s="38">
        <v>34.50420992005639</v>
      </c>
      <c r="N82" s="38">
        <v>34.633667751556885</v>
      </c>
      <c r="O82" s="38">
        <v>34.99293072339448</v>
      </c>
      <c r="P82" s="38">
        <v>35.134236204370616</v>
      </c>
      <c r="Q82" s="38">
        <v>35.176301909574214</v>
      </c>
      <c r="R82" s="38">
        <v>35.340413778044855</v>
      </c>
      <c r="S82" s="38">
        <v>35.683488114074187</v>
      </c>
      <c r="T82" s="38">
        <v>35.886388302798053</v>
      </c>
      <c r="U82" s="38">
        <v>36.131354815590591</v>
      </c>
      <c r="V82" s="38">
        <v>36.409440288934213</v>
      </c>
      <c r="W82" s="38">
        <v>36.67639715857144</v>
      </c>
      <c r="X82" s="38">
        <v>36.759546437900489</v>
      </c>
      <c r="Y82" s="38">
        <v>36.783835688066745</v>
      </c>
      <c r="Z82" s="38">
        <v>37.976977652147752</v>
      </c>
      <c r="AA82" s="38">
        <v>38.367043381602038</v>
      </c>
      <c r="AB82" s="38">
        <v>38.375262044256949</v>
      </c>
      <c r="AC82" s="38">
        <v>38.469585711884122</v>
      </c>
      <c r="AD82" s="38">
        <v>38.554455910768361</v>
      </c>
      <c r="AE82" s="38">
        <v>38.802318562952649</v>
      </c>
      <c r="AF82" s="38">
        <v>39.039898107083268</v>
      </c>
      <c r="AG82" s="38">
        <v>39.376905862225705</v>
      </c>
      <c r="AH82" s="38">
        <v>39.79046984913257</v>
      </c>
      <c r="AI82" s="38">
        <v>40.28985729135281</v>
      </c>
      <c r="AJ82" s="38">
        <v>41.102805914732933</v>
      </c>
      <c r="AK82" s="38">
        <v>42.940354528645557</v>
      </c>
      <c r="AL82" s="38">
        <v>1299.4914518770147</v>
      </c>
    </row>
    <row r="85" spans="1:38" x14ac:dyDescent="0.3">
      <c r="A85" s="12" t="s">
        <v>11</v>
      </c>
      <c r="B85" t="s">
        <v>60</v>
      </c>
    </row>
    <row r="87" spans="1:38" x14ac:dyDescent="0.3">
      <c r="A87" s="12" t="s">
        <v>25</v>
      </c>
      <c r="B87" t="s">
        <v>51</v>
      </c>
    </row>
    <row r="88" spans="1:38" x14ac:dyDescent="0.3">
      <c r="A88" s="14" t="s">
        <v>63</v>
      </c>
      <c r="B88" s="11"/>
    </row>
    <row r="89" spans="1:38" x14ac:dyDescent="0.3">
      <c r="A89" s="14" t="s">
        <v>27</v>
      </c>
      <c r="B89" s="11">
        <v>32.574305836204545</v>
      </c>
    </row>
    <row r="90" spans="1:38" x14ac:dyDescent="0.3">
      <c r="A90" s="14" t="s">
        <v>28</v>
      </c>
      <c r="B90" s="11">
        <v>33.973814021289975</v>
      </c>
    </row>
    <row r="91" spans="1:38" x14ac:dyDescent="0.3">
      <c r="A91" s="14" t="s">
        <v>29</v>
      </c>
      <c r="B91" s="11">
        <v>37.461199124793424</v>
      </c>
    </row>
    <row r="92" spans="1:38" x14ac:dyDescent="0.3">
      <c r="A92" s="14" t="s">
        <v>30</v>
      </c>
      <c r="B92" s="11">
        <v>37.245180753437225</v>
      </c>
    </row>
    <row r="93" spans="1:38" x14ac:dyDescent="0.3">
      <c r="A93" s="14" t="s">
        <v>26</v>
      </c>
      <c r="B93" s="11">
        <v>36.09698477436153</v>
      </c>
    </row>
    <row r="102" spans="1:2" x14ac:dyDescent="0.3">
      <c r="A102" s="10"/>
      <c r="B102" s="10"/>
    </row>
    <row r="103" spans="1:2" x14ac:dyDescent="0.3">
      <c r="A103" s="14"/>
      <c r="B103" s="11"/>
    </row>
    <row r="104" spans="1:2" x14ac:dyDescent="0.3">
      <c r="A104" s="14"/>
      <c r="B104" s="11"/>
    </row>
    <row r="105" spans="1:2" x14ac:dyDescent="0.3">
      <c r="A105" s="14"/>
      <c r="B105" s="11"/>
    </row>
    <row r="106" spans="1:2" x14ac:dyDescent="0.3">
      <c r="A106" s="14"/>
      <c r="B106" s="11"/>
    </row>
    <row r="107" spans="1:2" x14ac:dyDescent="0.3">
      <c r="A107" s="27"/>
      <c r="B107" s="41"/>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B3172-12B2-47DE-9B89-0F96FD27531C}">
  <dimension ref="A2:A8"/>
  <sheetViews>
    <sheetView workbookViewId="0">
      <selection activeCell="E13" sqref="E13"/>
    </sheetView>
  </sheetViews>
  <sheetFormatPr defaultRowHeight="14.4" x14ac:dyDescent="0.3"/>
  <cols>
    <col min="1" max="2" width="18.44140625" bestFit="1" customWidth="1"/>
  </cols>
  <sheetData>
    <row r="2" spans="1:1" x14ac:dyDescent="0.3">
      <c r="A2" t="s">
        <v>9</v>
      </c>
    </row>
    <row r="3" spans="1:1" x14ac:dyDescent="0.3">
      <c r="A3" t="s">
        <v>19</v>
      </c>
    </row>
    <row r="4" spans="1:1" x14ac:dyDescent="0.3">
      <c r="A4" s="11">
        <v>186909828.25648293</v>
      </c>
    </row>
    <row r="6" spans="1:1" x14ac:dyDescent="0.3">
      <c r="A6" t="s">
        <v>21</v>
      </c>
    </row>
    <row r="7" spans="1:1" x14ac:dyDescent="0.3">
      <c r="A7" t="s">
        <v>20</v>
      </c>
    </row>
    <row r="8" spans="1:1" x14ac:dyDescent="0.3">
      <c r="A8" s="13">
        <v>5279872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6447B-8104-471A-9213-329198418F59}">
  <dimension ref="A3:B4"/>
  <sheetViews>
    <sheetView workbookViewId="0">
      <selection activeCell="A3" sqref="A3"/>
    </sheetView>
  </sheetViews>
  <sheetFormatPr defaultRowHeight="14.4" x14ac:dyDescent="0.3"/>
  <cols>
    <col min="1" max="1" width="11.6640625" bestFit="1" customWidth="1"/>
    <col min="2" max="2" width="19.77734375" bestFit="1" customWidth="1"/>
  </cols>
  <sheetData>
    <row r="3" spans="1:2" x14ac:dyDescent="0.3">
      <c r="A3" t="s">
        <v>19</v>
      </c>
      <c r="B3" t="s">
        <v>59</v>
      </c>
    </row>
    <row r="4" spans="1:2" x14ac:dyDescent="0.3">
      <c r="A4">
        <v>747639313.02593172</v>
      </c>
      <c r="B4">
        <v>1058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61"/>
  <sheetViews>
    <sheetView workbookViewId="0">
      <pane ySplit="1" topLeftCell="A20" activePane="bottomLeft" state="frozen"/>
      <selection pane="bottomLeft" activeCell="G16" sqref="G16"/>
    </sheetView>
  </sheetViews>
  <sheetFormatPr defaultRowHeight="14.4" x14ac:dyDescent="0.3"/>
  <cols>
    <col min="1" max="1" width="15" customWidth="1"/>
    <col min="2" max="2" width="16" customWidth="1"/>
    <col min="3" max="3" width="18" customWidth="1"/>
    <col min="4" max="4" width="16" customWidth="1"/>
    <col min="5" max="5" width="16.6640625" customWidth="1"/>
  </cols>
  <sheetData>
    <row r="1" spans="1:5" x14ac:dyDescent="0.3">
      <c r="A1" s="1" t="s">
        <v>0</v>
      </c>
      <c r="B1" s="1" t="s">
        <v>1</v>
      </c>
      <c r="C1" s="1" t="s">
        <v>2</v>
      </c>
      <c r="D1" s="1" t="s">
        <v>3</v>
      </c>
      <c r="E1" t="s">
        <v>5</v>
      </c>
    </row>
    <row r="2" spans="1:5" x14ac:dyDescent="0.3">
      <c r="A2" s="2">
        <v>41638</v>
      </c>
      <c r="B2" s="3">
        <v>223937.9678697265</v>
      </c>
      <c r="C2" s="3">
        <v>230079.62101244801</v>
      </c>
      <c r="D2" s="3">
        <v>6827</v>
      </c>
      <c r="E2" s="3">
        <f>SalesMasterTable[[#This Row],[Sales]]-SalesMasterTable[[#This Row],[Cost Of Sales]]</f>
        <v>-6141.6531427215086</v>
      </c>
    </row>
    <row r="3" spans="1:5" x14ac:dyDescent="0.3">
      <c r="A3" s="2">
        <v>41639</v>
      </c>
      <c r="B3" s="3">
        <v>300345.48456398572</v>
      </c>
      <c r="C3" s="3">
        <v>306986.12048428319</v>
      </c>
      <c r="D3" s="3">
        <v>9268</v>
      </c>
      <c r="E3" s="3">
        <f>SalesMasterTable[[#This Row],[Sales]]-SalesMasterTable[[#This Row],[Cost Of Sales]]</f>
        <v>-6640.6359202974709</v>
      </c>
    </row>
    <row r="4" spans="1:5" x14ac:dyDescent="0.3">
      <c r="A4" s="2">
        <v>41640</v>
      </c>
      <c r="B4" s="3">
        <v>86782.467727417796</v>
      </c>
      <c r="C4" s="3">
        <v>87986.318214449886</v>
      </c>
      <c r="D4" s="3">
        <v>2678</v>
      </c>
      <c r="E4" s="3">
        <f>SalesMasterTable[[#This Row],[Sales]]-SalesMasterTable[[#This Row],[Cost Of Sales]]</f>
        <v>-1203.8504870320903</v>
      </c>
    </row>
    <row r="5" spans="1:5" x14ac:dyDescent="0.3">
      <c r="A5" s="2">
        <v>41641</v>
      </c>
      <c r="B5" s="3">
        <v>200173.11675267719</v>
      </c>
      <c r="C5" s="3">
        <v>202881.17770623259</v>
      </c>
      <c r="D5" s="3">
        <v>6175</v>
      </c>
      <c r="E5" s="3">
        <f>SalesMasterTable[[#This Row],[Sales]]-SalesMasterTable[[#This Row],[Cost Of Sales]]</f>
        <v>-2708.0609535553958</v>
      </c>
    </row>
    <row r="6" spans="1:5" x14ac:dyDescent="0.3">
      <c r="A6" s="2">
        <v>41642</v>
      </c>
      <c r="B6" s="3">
        <v>326906.07417633059</v>
      </c>
      <c r="C6" s="3">
        <v>333806.29187335481</v>
      </c>
      <c r="D6" s="3">
        <v>10084</v>
      </c>
      <c r="E6" s="3">
        <f>SalesMasterTable[[#This Row],[Sales]]-SalesMasterTable[[#This Row],[Cost Of Sales]]</f>
        <v>-6900.217697024229</v>
      </c>
    </row>
    <row r="7" spans="1:5" x14ac:dyDescent="0.3">
      <c r="A7" s="2">
        <v>41643</v>
      </c>
      <c r="B7" s="3">
        <v>307043.93542216189</v>
      </c>
      <c r="C7" s="3">
        <v>313652.34827236348</v>
      </c>
      <c r="D7" s="3">
        <v>9470</v>
      </c>
      <c r="E7" s="3">
        <f>SalesMasterTable[[#This Row],[Sales]]-SalesMasterTable[[#This Row],[Cost Of Sales]]</f>
        <v>-6608.4128502015956</v>
      </c>
    </row>
    <row r="8" spans="1:5" x14ac:dyDescent="0.3">
      <c r="A8" s="2">
        <v>41644</v>
      </c>
      <c r="B8" s="3">
        <v>179188.8844878097</v>
      </c>
      <c r="C8" s="3">
        <v>183083.28498402701</v>
      </c>
      <c r="D8" s="3">
        <v>5524</v>
      </c>
      <c r="E8" s="3">
        <f>SalesMasterTable[[#This Row],[Sales]]-SalesMasterTable[[#This Row],[Cost Of Sales]]</f>
        <v>-3894.4004962173058</v>
      </c>
    </row>
    <row r="9" spans="1:5" x14ac:dyDescent="0.3">
      <c r="A9" s="2">
        <v>41645</v>
      </c>
      <c r="B9" s="3">
        <v>306351.95085899188</v>
      </c>
      <c r="C9" s="3">
        <v>313446.06814884301</v>
      </c>
      <c r="D9" s="3">
        <v>9448</v>
      </c>
      <c r="E9" s="3">
        <f>SalesMasterTable[[#This Row],[Sales]]-SalesMasterTable[[#This Row],[Cost Of Sales]]</f>
        <v>-7094.1172898511286</v>
      </c>
    </row>
    <row r="10" spans="1:5" x14ac:dyDescent="0.3">
      <c r="A10" s="2">
        <v>41646</v>
      </c>
      <c r="B10" s="3">
        <v>224020.40996847831</v>
      </c>
      <c r="C10" s="3">
        <v>229533.9737283797</v>
      </c>
      <c r="D10" s="3">
        <v>6911</v>
      </c>
      <c r="E10" s="3">
        <f>SalesMasterTable[[#This Row],[Sales]]-SalesMasterTable[[#This Row],[Cost Of Sales]]</f>
        <v>-5513.5637599013862</v>
      </c>
    </row>
    <row r="11" spans="1:5" x14ac:dyDescent="0.3">
      <c r="A11" s="2">
        <v>41647</v>
      </c>
      <c r="B11" s="3">
        <v>101836.4022362371</v>
      </c>
      <c r="C11" s="3">
        <v>99381.967517224926</v>
      </c>
      <c r="D11" s="3">
        <v>2990</v>
      </c>
      <c r="E11" s="3">
        <f>SalesMasterTable[[#This Row],[Sales]]-SalesMasterTable[[#This Row],[Cost Of Sales]]</f>
        <v>2454.4347190121771</v>
      </c>
    </row>
    <row r="12" spans="1:5" x14ac:dyDescent="0.3">
      <c r="A12" s="2">
        <v>41648</v>
      </c>
      <c r="B12" s="3">
        <v>107804.30494723171</v>
      </c>
      <c r="C12" s="3">
        <v>104816.45851255261</v>
      </c>
      <c r="D12" s="3">
        <v>3159</v>
      </c>
      <c r="E12" s="3">
        <f>SalesMasterTable[[#This Row],[Sales]]-SalesMasterTable[[#This Row],[Cost Of Sales]]</f>
        <v>2987.8464346791006</v>
      </c>
    </row>
    <row r="13" spans="1:5" x14ac:dyDescent="0.3">
      <c r="A13" s="2">
        <v>41649</v>
      </c>
      <c r="B13" s="3">
        <v>144829.9567239302</v>
      </c>
      <c r="C13" s="3">
        <v>141333.99628349251</v>
      </c>
      <c r="D13" s="3">
        <v>4246</v>
      </c>
      <c r="E13" s="3">
        <f>SalesMasterTable[[#This Row],[Sales]]-SalesMasterTable[[#This Row],[Cost Of Sales]]</f>
        <v>3495.9604404376878</v>
      </c>
    </row>
    <row r="14" spans="1:5" x14ac:dyDescent="0.3">
      <c r="A14" s="2">
        <v>41650</v>
      </c>
      <c r="B14" s="3">
        <v>146571.48235324019</v>
      </c>
      <c r="C14" s="3">
        <v>143179.66998839291</v>
      </c>
      <c r="D14" s="3">
        <v>4297</v>
      </c>
      <c r="E14" s="3">
        <f>SalesMasterTable[[#This Row],[Sales]]-SalesMasterTable[[#This Row],[Cost Of Sales]]</f>
        <v>3391.8123648472829</v>
      </c>
    </row>
    <row r="15" spans="1:5" x14ac:dyDescent="0.3">
      <c r="A15" s="2">
        <v>41651</v>
      </c>
      <c r="B15" s="3">
        <v>95422.3729783171</v>
      </c>
      <c r="C15" s="3">
        <v>93126.147238344056</v>
      </c>
      <c r="D15" s="3">
        <v>2796</v>
      </c>
      <c r="E15" s="3">
        <f>SalesMasterTable[[#This Row],[Sales]]-SalesMasterTable[[#This Row],[Cost Of Sales]]</f>
        <v>2296.2257399730443</v>
      </c>
    </row>
    <row r="16" spans="1:5" x14ac:dyDescent="0.3">
      <c r="A16" s="2">
        <v>41652</v>
      </c>
      <c r="B16" s="3">
        <v>114883.17379115619</v>
      </c>
      <c r="C16" s="3">
        <v>112186.3086630527</v>
      </c>
      <c r="D16" s="3">
        <v>3369</v>
      </c>
      <c r="E16" s="3">
        <f>SalesMasterTable[[#This Row],[Sales]]-SalesMasterTable[[#This Row],[Cost Of Sales]]</f>
        <v>2696.8651281034981</v>
      </c>
    </row>
    <row r="17" spans="1:5" x14ac:dyDescent="0.3">
      <c r="A17" s="2">
        <v>41653</v>
      </c>
      <c r="B17" s="3">
        <v>80090.80007989271</v>
      </c>
      <c r="C17" s="3">
        <v>78096.76018225115</v>
      </c>
      <c r="D17" s="3">
        <v>2348</v>
      </c>
      <c r="E17" s="3">
        <f>SalesMasterTable[[#This Row],[Sales]]-SalesMasterTable[[#This Row],[Cost Of Sales]]</f>
        <v>1994.0398976415599</v>
      </c>
    </row>
    <row r="18" spans="1:5" x14ac:dyDescent="0.3">
      <c r="A18" s="2">
        <v>41654</v>
      </c>
      <c r="B18" s="3">
        <v>98945.371159077826</v>
      </c>
      <c r="C18" s="3">
        <v>97159.002586869974</v>
      </c>
      <c r="D18" s="3">
        <v>2903</v>
      </c>
      <c r="E18" s="3">
        <f>SalesMasterTable[[#This Row],[Sales]]-SalesMasterTable[[#This Row],[Cost Of Sales]]</f>
        <v>1786.3685722078517</v>
      </c>
    </row>
    <row r="19" spans="1:5" x14ac:dyDescent="0.3">
      <c r="A19" s="2">
        <v>41655</v>
      </c>
      <c r="B19" s="3">
        <v>84904.901714107822</v>
      </c>
      <c r="C19" s="3">
        <v>83350.433158824555</v>
      </c>
      <c r="D19" s="3">
        <v>2491</v>
      </c>
      <c r="E19" s="3">
        <f>SalesMasterTable[[#This Row],[Sales]]-SalesMasterTable[[#This Row],[Cost Of Sales]]</f>
        <v>1554.4685552832671</v>
      </c>
    </row>
    <row r="20" spans="1:5" x14ac:dyDescent="0.3">
      <c r="A20" s="2">
        <v>41656</v>
      </c>
      <c r="B20" s="3">
        <v>135460.6197039852</v>
      </c>
      <c r="C20" s="3">
        <v>132703.3354197717</v>
      </c>
      <c r="D20" s="3">
        <v>3968</v>
      </c>
      <c r="E20" s="3">
        <f>SalesMasterTable[[#This Row],[Sales]]-SalesMasterTable[[#This Row],[Cost Of Sales]]</f>
        <v>2757.2842842134996</v>
      </c>
    </row>
    <row r="21" spans="1:5" x14ac:dyDescent="0.3">
      <c r="A21" s="2">
        <v>41657</v>
      </c>
      <c r="B21" s="3">
        <v>149925.74968577511</v>
      </c>
      <c r="C21" s="3">
        <v>146928.41178089229</v>
      </c>
      <c r="D21" s="3">
        <v>4393</v>
      </c>
      <c r="E21" s="3">
        <f>SalesMasterTable[[#This Row],[Sales]]-SalesMasterTable[[#This Row],[Cost Of Sales]]</f>
        <v>2997.337904882821</v>
      </c>
    </row>
    <row r="22" spans="1:5" x14ac:dyDescent="0.3">
      <c r="A22" s="2">
        <v>41658</v>
      </c>
      <c r="B22" s="3">
        <v>74297.307184182937</v>
      </c>
      <c r="C22" s="3">
        <v>72782.284321402927</v>
      </c>
      <c r="D22" s="3">
        <v>2176</v>
      </c>
      <c r="E22" s="3">
        <f>SalesMasterTable[[#This Row],[Sales]]-SalesMasterTable[[#This Row],[Cost Of Sales]]</f>
        <v>1515.0228627800097</v>
      </c>
    </row>
    <row r="23" spans="1:5" x14ac:dyDescent="0.3">
      <c r="A23" s="2">
        <v>41659</v>
      </c>
      <c r="B23" s="3">
        <v>83356.424561202701</v>
      </c>
      <c r="C23" s="3">
        <v>81789.136122352749</v>
      </c>
      <c r="D23" s="3">
        <v>2443</v>
      </c>
      <c r="E23" s="3">
        <f>SalesMasterTable[[#This Row],[Sales]]-SalesMasterTable[[#This Row],[Cost Of Sales]]</f>
        <v>1567.2884388499515</v>
      </c>
    </row>
    <row r="24" spans="1:5" x14ac:dyDescent="0.3">
      <c r="A24" s="2">
        <v>41660</v>
      </c>
      <c r="B24" s="3">
        <v>89922.014286172576</v>
      </c>
      <c r="C24" s="3">
        <v>88388.916069159721</v>
      </c>
      <c r="D24" s="3">
        <v>2638</v>
      </c>
      <c r="E24" s="3">
        <f>SalesMasterTable[[#This Row],[Sales]]-SalesMasterTable[[#This Row],[Cost Of Sales]]</f>
        <v>1533.0982170128555</v>
      </c>
    </row>
    <row r="25" spans="1:5" x14ac:dyDescent="0.3">
      <c r="A25" s="2">
        <v>41661</v>
      </c>
      <c r="B25" s="3">
        <v>57806.302780099039</v>
      </c>
      <c r="C25" s="3">
        <v>57157.282544092297</v>
      </c>
      <c r="D25" s="3">
        <v>1704</v>
      </c>
      <c r="E25" s="3">
        <f>SalesMasterTable[[#This Row],[Sales]]-SalesMasterTable[[#This Row],[Cost Of Sales]]</f>
        <v>649.02023600674147</v>
      </c>
    </row>
    <row r="26" spans="1:5" x14ac:dyDescent="0.3">
      <c r="A26" s="2">
        <v>41662</v>
      </c>
      <c r="B26" s="3">
        <v>63977.750348923553</v>
      </c>
      <c r="C26" s="3">
        <v>62863.98723906299</v>
      </c>
      <c r="D26" s="3">
        <v>1872</v>
      </c>
      <c r="E26" s="3">
        <f>SalesMasterTable[[#This Row],[Sales]]-SalesMasterTable[[#This Row],[Cost Of Sales]]</f>
        <v>1113.7631098605634</v>
      </c>
    </row>
    <row r="27" spans="1:5" x14ac:dyDescent="0.3">
      <c r="A27" s="2">
        <v>41663</v>
      </c>
      <c r="B27" s="3">
        <v>116958.799847952</v>
      </c>
      <c r="C27" s="3">
        <v>114823.7952238127</v>
      </c>
      <c r="D27" s="3">
        <v>3423</v>
      </c>
      <c r="E27" s="3">
        <f>SalesMasterTable[[#This Row],[Sales]]-SalesMasterTable[[#This Row],[Cost Of Sales]]</f>
        <v>2135.0046241392993</v>
      </c>
    </row>
    <row r="28" spans="1:5" x14ac:dyDescent="0.3">
      <c r="A28" s="2">
        <v>41664</v>
      </c>
      <c r="B28" s="3">
        <v>155272.8248054802</v>
      </c>
      <c r="C28" s="3">
        <v>152636.27656236591</v>
      </c>
      <c r="D28" s="3">
        <v>4544</v>
      </c>
      <c r="E28" s="3">
        <f>SalesMasterTable[[#This Row],[Sales]]-SalesMasterTable[[#This Row],[Cost Of Sales]]</f>
        <v>2636.5482431142882</v>
      </c>
    </row>
    <row r="29" spans="1:5" x14ac:dyDescent="0.3">
      <c r="A29" s="2">
        <v>41665</v>
      </c>
      <c r="B29" s="3">
        <v>82885.215909762715</v>
      </c>
      <c r="C29" s="3">
        <v>81583.166949853185</v>
      </c>
      <c r="D29" s="3">
        <v>2426</v>
      </c>
      <c r="E29" s="3">
        <f>SalesMasterTable[[#This Row],[Sales]]-SalesMasterTable[[#This Row],[Cost Of Sales]]</f>
        <v>1302.0489599095308</v>
      </c>
    </row>
    <row r="30" spans="1:5" x14ac:dyDescent="0.3">
      <c r="A30" s="2">
        <v>41666</v>
      </c>
      <c r="B30" s="3">
        <v>72353.425882453303</v>
      </c>
      <c r="C30" s="3">
        <v>71377.156455436343</v>
      </c>
      <c r="D30" s="3">
        <v>2117</v>
      </c>
      <c r="E30" s="3">
        <f>SalesMasterTable[[#This Row],[Sales]]-SalesMasterTable[[#This Row],[Cost Of Sales]]</f>
        <v>976.26942701695953</v>
      </c>
    </row>
    <row r="31" spans="1:5" x14ac:dyDescent="0.3">
      <c r="A31" s="2">
        <v>41667</v>
      </c>
      <c r="B31" s="3">
        <v>50415.903762389164</v>
      </c>
      <c r="C31" s="3">
        <v>49769.098243003224</v>
      </c>
      <c r="D31" s="3">
        <v>1476</v>
      </c>
      <c r="E31" s="3">
        <f>SalesMasterTable[[#This Row],[Sales]]-SalesMasterTable[[#This Row],[Cost Of Sales]]</f>
        <v>646.80551938593999</v>
      </c>
    </row>
    <row r="32" spans="1:5" x14ac:dyDescent="0.3">
      <c r="A32" s="2">
        <v>41668</v>
      </c>
      <c r="B32" s="3">
        <v>67458.30189127379</v>
      </c>
      <c r="C32" s="3">
        <v>66529.441996531445</v>
      </c>
      <c r="D32" s="3">
        <v>1974</v>
      </c>
      <c r="E32" s="3">
        <f>SalesMasterTable[[#This Row],[Sales]]-SalesMasterTable[[#This Row],[Cost Of Sales]]</f>
        <v>928.8598947423452</v>
      </c>
    </row>
    <row r="33" spans="1:5" x14ac:dyDescent="0.3">
      <c r="A33" s="2">
        <v>41669</v>
      </c>
      <c r="B33" s="3">
        <v>64640.369313193798</v>
      </c>
      <c r="C33" s="3">
        <v>63757.83986845208</v>
      </c>
      <c r="D33" s="3">
        <v>1892</v>
      </c>
      <c r="E33" s="3">
        <f>SalesMasterTable[[#This Row],[Sales]]-SalesMasterTable[[#This Row],[Cost Of Sales]]</f>
        <v>882.52944474171818</v>
      </c>
    </row>
    <row r="34" spans="1:5" x14ac:dyDescent="0.3">
      <c r="A34" s="2">
        <v>41670</v>
      </c>
      <c r="B34" s="3">
        <v>137693.87350033139</v>
      </c>
      <c r="C34" s="3">
        <v>135609.5075820497</v>
      </c>
      <c r="D34" s="3">
        <v>4030</v>
      </c>
      <c r="E34" s="3">
        <f>SalesMasterTable[[#This Row],[Sales]]-SalesMasterTable[[#This Row],[Cost Of Sales]]</f>
        <v>2084.3659182816918</v>
      </c>
    </row>
    <row r="35" spans="1:5" x14ac:dyDescent="0.3">
      <c r="A35" s="2">
        <v>41671</v>
      </c>
      <c r="B35" s="3">
        <v>181209.1284812126</v>
      </c>
      <c r="C35" s="3">
        <v>178435.71534579591</v>
      </c>
      <c r="D35" s="3">
        <v>5304</v>
      </c>
      <c r="E35" s="3">
        <f>SalesMasterTable[[#This Row],[Sales]]-SalesMasterTable[[#This Row],[Cost Of Sales]]</f>
        <v>2773.4131354166893</v>
      </c>
    </row>
    <row r="36" spans="1:5" x14ac:dyDescent="0.3">
      <c r="A36" s="2">
        <v>41672</v>
      </c>
      <c r="B36" s="3">
        <v>113433.581045457</v>
      </c>
      <c r="C36" s="3">
        <v>111466.5168475372</v>
      </c>
      <c r="D36" s="3">
        <v>3320</v>
      </c>
      <c r="E36" s="3">
        <f>SalesMasterTable[[#This Row],[Sales]]-SalesMasterTable[[#This Row],[Cost Of Sales]]</f>
        <v>1967.0641979197972</v>
      </c>
    </row>
    <row r="37" spans="1:5" x14ac:dyDescent="0.3">
      <c r="A37" s="2">
        <v>41673</v>
      </c>
      <c r="B37" s="3">
        <v>143192.5333561764</v>
      </c>
      <c r="C37" s="3">
        <v>140505.6347230032</v>
      </c>
      <c r="D37" s="3">
        <v>4191</v>
      </c>
      <c r="E37" s="3">
        <f>SalesMasterTable[[#This Row],[Sales]]-SalesMasterTable[[#This Row],[Cost Of Sales]]</f>
        <v>2686.8986331732012</v>
      </c>
    </row>
    <row r="38" spans="1:5" x14ac:dyDescent="0.3">
      <c r="A38" s="2">
        <v>41674</v>
      </c>
      <c r="B38" s="3">
        <v>130126.6498928814</v>
      </c>
      <c r="C38" s="3">
        <v>128496.2877011727</v>
      </c>
      <c r="D38" s="3">
        <v>3809</v>
      </c>
      <c r="E38" s="3">
        <f>SalesMasterTable[[#This Row],[Sales]]-SalesMasterTable[[#This Row],[Cost Of Sales]]</f>
        <v>1630.3621917087003</v>
      </c>
    </row>
    <row r="39" spans="1:5" x14ac:dyDescent="0.3">
      <c r="A39" s="2">
        <v>41675</v>
      </c>
      <c r="B39" s="3">
        <v>187155.86854573971</v>
      </c>
      <c r="C39" s="3">
        <v>195078.6033309428</v>
      </c>
      <c r="D39" s="3">
        <v>5764</v>
      </c>
      <c r="E39" s="3">
        <f>SalesMasterTable[[#This Row],[Sales]]-SalesMasterTable[[#This Row],[Cost Of Sales]]</f>
        <v>-7922.7347852030944</v>
      </c>
    </row>
    <row r="40" spans="1:5" x14ac:dyDescent="0.3">
      <c r="A40" s="2">
        <v>41676</v>
      </c>
      <c r="B40" s="3">
        <v>102314.70959650401</v>
      </c>
      <c r="C40" s="3">
        <v>101977.98995528861</v>
      </c>
      <c r="D40" s="3">
        <v>3028</v>
      </c>
      <c r="E40" s="3">
        <f>SalesMasterTable[[#This Row],[Sales]]-SalesMasterTable[[#This Row],[Cost Of Sales]]</f>
        <v>336.71964121540077</v>
      </c>
    </row>
    <row r="41" spans="1:5" x14ac:dyDescent="0.3">
      <c r="A41" s="2">
        <v>41677</v>
      </c>
      <c r="B41" s="3">
        <v>301553.84255508689</v>
      </c>
      <c r="C41" s="3">
        <v>313529.18774871569</v>
      </c>
      <c r="D41" s="3">
        <v>9284</v>
      </c>
      <c r="E41" s="3">
        <f>SalesMasterTable[[#This Row],[Sales]]-SalesMasterTable[[#This Row],[Cost Of Sales]]</f>
        <v>-11975.345193628804</v>
      </c>
    </row>
    <row r="42" spans="1:5" x14ac:dyDescent="0.3">
      <c r="A42" s="2">
        <v>41678</v>
      </c>
      <c r="B42" s="3">
        <v>316073.17754939431</v>
      </c>
      <c r="C42" s="3">
        <v>329754.77946358221</v>
      </c>
      <c r="D42" s="3">
        <v>9737</v>
      </c>
      <c r="E42" s="3">
        <f>SalesMasterTable[[#This Row],[Sales]]-SalesMasterTable[[#This Row],[Cost Of Sales]]</f>
        <v>-13681.601914187893</v>
      </c>
    </row>
    <row r="43" spans="1:5" x14ac:dyDescent="0.3">
      <c r="A43" s="2">
        <v>41679</v>
      </c>
      <c r="B43" s="3">
        <v>135178.04255458229</v>
      </c>
      <c r="C43" s="3">
        <v>141530.7086832913</v>
      </c>
      <c r="D43" s="3">
        <v>4163</v>
      </c>
      <c r="E43" s="3">
        <f>SalesMasterTable[[#This Row],[Sales]]-SalesMasterTable[[#This Row],[Cost Of Sales]]</f>
        <v>-6352.6661287090101</v>
      </c>
    </row>
    <row r="44" spans="1:5" x14ac:dyDescent="0.3">
      <c r="A44" s="2">
        <v>41680</v>
      </c>
      <c r="B44" s="3">
        <v>147727.5161863135</v>
      </c>
      <c r="C44" s="3">
        <v>154828.68457507671</v>
      </c>
      <c r="D44" s="3">
        <v>4552</v>
      </c>
      <c r="E44" s="3">
        <f>SalesMasterTable[[#This Row],[Sales]]-SalesMasterTable[[#This Row],[Cost Of Sales]]</f>
        <v>-7101.1683887632098</v>
      </c>
    </row>
    <row r="45" spans="1:5" x14ac:dyDescent="0.3">
      <c r="A45" s="2">
        <v>41681</v>
      </c>
      <c r="B45" s="3">
        <v>135498.74644438611</v>
      </c>
      <c r="C45" s="3">
        <v>139824.1616410127</v>
      </c>
      <c r="D45" s="3">
        <v>4172</v>
      </c>
      <c r="E45" s="3">
        <f>SalesMasterTable[[#This Row],[Sales]]-SalesMasterTable[[#This Row],[Cost Of Sales]]</f>
        <v>-4325.4151966265927</v>
      </c>
    </row>
    <row r="46" spans="1:5" x14ac:dyDescent="0.3">
      <c r="A46" s="2">
        <v>41682</v>
      </c>
      <c r="B46" s="3">
        <v>163432.8452052823</v>
      </c>
      <c r="C46" s="3">
        <v>166893.36891900509</v>
      </c>
      <c r="D46" s="3">
        <v>5037</v>
      </c>
      <c r="E46" s="3">
        <f>SalesMasterTable[[#This Row],[Sales]]-SalesMasterTable[[#This Row],[Cost Of Sales]]</f>
        <v>-3460.5237137227959</v>
      </c>
    </row>
    <row r="47" spans="1:5" x14ac:dyDescent="0.3">
      <c r="A47" s="2">
        <v>41683</v>
      </c>
      <c r="B47" s="3">
        <v>138291.63332158609</v>
      </c>
      <c r="C47" s="3">
        <v>141027.4344556813</v>
      </c>
      <c r="D47" s="3">
        <v>4259</v>
      </c>
      <c r="E47" s="3">
        <f>SalesMasterTable[[#This Row],[Sales]]-SalesMasterTable[[#This Row],[Cost Of Sales]]</f>
        <v>-2735.8011340952071</v>
      </c>
    </row>
    <row r="48" spans="1:5" x14ac:dyDescent="0.3">
      <c r="A48" s="2">
        <v>41684</v>
      </c>
      <c r="B48" s="3">
        <v>336901.37170009938</v>
      </c>
      <c r="C48" s="3">
        <v>343519.87554694671</v>
      </c>
      <c r="D48" s="3">
        <v>10381</v>
      </c>
      <c r="E48" s="3">
        <f>SalesMasterTable[[#This Row],[Sales]]-SalesMasterTable[[#This Row],[Cost Of Sales]]</f>
        <v>-6618.5038468473358</v>
      </c>
    </row>
    <row r="49" spans="1:5" x14ac:dyDescent="0.3">
      <c r="A49" s="2">
        <v>41685</v>
      </c>
      <c r="B49" s="3">
        <v>367729.26821441198</v>
      </c>
      <c r="C49" s="3">
        <v>373973.59333485219</v>
      </c>
      <c r="D49" s="3">
        <v>11332</v>
      </c>
      <c r="E49" s="3">
        <f>SalesMasterTable[[#This Row],[Sales]]-SalesMasterTable[[#This Row],[Cost Of Sales]]</f>
        <v>-6244.3251204402186</v>
      </c>
    </row>
    <row r="50" spans="1:5" x14ac:dyDescent="0.3">
      <c r="A50" s="2">
        <v>41686</v>
      </c>
      <c r="B50" s="3">
        <v>133913.84138739109</v>
      </c>
      <c r="C50" s="3">
        <v>136797.07737015281</v>
      </c>
      <c r="D50" s="3">
        <v>4127</v>
      </c>
      <c r="E50" s="3">
        <f>SalesMasterTable[[#This Row],[Sales]]-SalesMasterTable[[#This Row],[Cost Of Sales]]</f>
        <v>-2883.2359827617183</v>
      </c>
    </row>
    <row r="51" spans="1:5" x14ac:dyDescent="0.3">
      <c r="A51" s="2">
        <v>41687</v>
      </c>
      <c r="B51" s="3">
        <v>150800.3470166623</v>
      </c>
      <c r="C51" s="3">
        <v>152887.1063994804</v>
      </c>
      <c r="D51" s="3">
        <v>4649</v>
      </c>
      <c r="E51" s="3">
        <f>SalesMasterTable[[#This Row],[Sales]]-SalesMasterTable[[#This Row],[Cost Of Sales]]</f>
        <v>-2086.7593828180979</v>
      </c>
    </row>
    <row r="52" spans="1:5" x14ac:dyDescent="0.3">
      <c r="A52" s="2">
        <v>41688</v>
      </c>
      <c r="B52" s="3">
        <v>55591.930335773912</v>
      </c>
      <c r="C52" s="3">
        <v>53463.244211993297</v>
      </c>
      <c r="D52" s="3">
        <v>1627</v>
      </c>
      <c r="E52" s="3">
        <f>SalesMasterTable[[#This Row],[Sales]]-SalesMasterTable[[#This Row],[Cost Of Sales]]</f>
        <v>2128.6861237806152</v>
      </c>
    </row>
    <row r="53" spans="1:5" x14ac:dyDescent="0.3">
      <c r="A53" s="2">
        <v>41689</v>
      </c>
      <c r="B53" s="3">
        <v>106427.191838824</v>
      </c>
      <c r="C53" s="3">
        <v>107736.4440759586</v>
      </c>
      <c r="D53" s="3">
        <v>3281</v>
      </c>
      <c r="E53" s="3">
        <f>SalesMasterTable[[#This Row],[Sales]]-SalesMasterTable[[#This Row],[Cost Of Sales]]</f>
        <v>-1309.2522371345985</v>
      </c>
    </row>
    <row r="54" spans="1:5" x14ac:dyDescent="0.3">
      <c r="A54" s="2">
        <v>41690</v>
      </c>
      <c r="B54" s="3">
        <v>78940.554424797941</v>
      </c>
      <c r="C54" s="3">
        <v>75934.394822039583</v>
      </c>
      <c r="D54" s="3">
        <v>2310</v>
      </c>
      <c r="E54" s="3">
        <f>SalesMasterTable[[#This Row],[Sales]]-SalesMasterTable[[#This Row],[Cost Of Sales]]</f>
        <v>3006.1596027583582</v>
      </c>
    </row>
    <row r="55" spans="1:5" x14ac:dyDescent="0.3">
      <c r="A55" s="2">
        <v>41691</v>
      </c>
      <c r="B55" s="3">
        <v>317916.31785853428</v>
      </c>
      <c r="C55" s="3">
        <v>322089.78895544191</v>
      </c>
      <c r="D55" s="3">
        <v>9802</v>
      </c>
      <c r="E55" s="3">
        <f>SalesMasterTable[[#This Row],[Sales]]-SalesMasterTable[[#This Row],[Cost Of Sales]]</f>
        <v>-4173.4710969076259</v>
      </c>
    </row>
    <row r="56" spans="1:5" x14ac:dyDescent="0.3">
      <c r="A56" s="2">
        <v>41692</v>
      </c>
      <c r="B56" s="3">
        <v>309217.87556252623</v>
      </c>
      <c r="C56" s="3">
        <v>320116.92432327801</v>
      </c>
      <c r="D56" s="3">
        <v>9772</v>
      </c>
      <c r="E56" s="3">
        <f>SalesMasterTable[[#This Row],[Sales]]-SalesMasterTable[[#This Row],[Cost Of Sales]]</f>
        <v>-10899.048760751786</v>
      </c>
    </row>
    <row r="57" spans="1:5" x14ac:dyDescent="0.3">
      <c r="A57" s="2">
        <v>41693</v>
      </c>
      <c r="B57" s="3">
        <v>138491.5499504623</v>
      </c>
      <c r="C57" s="3">
        <v>140752.60159166719</v>
      </c>
      <c r="D57" s="3">
        <v>4270</v>
      </c>
      <c r="E57" s="3">
        <f>SalesMasterTable[[#This Row],[Sales]]-SalesMasterTable[[#This Row],[Cost Of Sales]]</f>
        <v>-2261.0516412048892</v>
      </c>
    </row>
    <row r="58" spans="1:5" x14ac:dyDescent="0.3">
      <c r="A58" s="2">
        <v>41694</v>
      </c>
      <c r="B58" s="3">
        <v>133146.22220523609</v>
      </c>
      <c r="C58" s="3">
        <v>134505.40422379479</v>
      </c>
      <c r="D58" s="3">
        <v>4106</v>
      </c>
      <c r="E58" s="3">
        <f>SalesMasterTable[[#This Row],[Sales]]-SalesMasterTable[[#This Row],[Cost Of Sales]]</f>
        <v>-1359.1820185586985</v>
      </c>
    </row>
    <row r="59" spans="1:5" x14ac:dyDescent="0.3">
      <c r="A59" s="2">
        <v>41695</v>
      </c>
      <c r="B59" s="3">
        <v>224994.65618289221</v>
      </c>
      <c r="C59" s="3">
        <v>227546.44655960059</v>
      </c>
      <c r="D59" s="3">
        <v>6937</v>
      </c>
      <c r="E59" s="3">
        <f>SalesMasterTable[[#This Row],[Sales]]-SalesMasterTable[[#This Row],[Cost Of Sales]]</f>
        <v>-2551.7903767083772</v>
      </c>
    </row>
    <row r="60" spans="1:5" x14ac:dyDescent="0.3">
      <c r="A60" s="2">
        <v>41696</v>
      </c>
      <c r="B60" s="3">
        <v>225051.59146803219</v>
      </c>
      <c r="C60" s="3">
        <v>228214.1421194314</v>
      </c>
      <c r="D60" s="3">
        <v>6934</v>
      </c>
      <c r="E60" s="3">
        <f>SalesMasterTable[[#This Row],[Sales]]-SalesMasterTable[[#This Row],[Cost Of Sales]]</f>
        <v>-3162.550651399215</v>
      </c>
    </row>
    <row r="61" spans="1:5" x14ac:dyDescent="0.3">
      <c r="A61" s="2">
        <v>41697</v>
      </c>
      <c r="B61" s="3">
        <v>344299.68244112999</v>
      </c>
      <c r="C61" s="3">
        <v>365935.6529559262</v>
      </c>
      <c r="D61" s="3">
        <v>11082</v>
      </c>
      <c r="E61" s="3">
        <f>SalesMasterTable[[#This Row],[Sales]]-SalesMasterTable[[#This Row],[Cost Of Sales]]</f>
        <v>-21635.970514796209</v>
      </c>
    </row>
    <row r="62" spans="1:5" x14ac:dyDescent="0.3">
      <c r="A62" s="2">
        <v>41698</v>
      </c>
      <c r="B62" s="3">
        <v>661876.49999964947</v>
      </c>
      <c r="C62" s="3">
        <v>686656.79099217081</v>
      </c>
      <c r="D62" s="3">
        <v>20805</v>
      </c>
      <c r="E62" s="3">
        <f>SalesMasterTable[[#This Row],[Sales]]-SalesMasterTable[[#This Row],[Cost Of Sales]]</f>
        <v>-24780.290992521332</v>
      </c>
    </row>
    <row r="63" spans="1:5" x14ac:dyDescent="0.3">
      <c r="A63" s="2">
        <v>41699</v>
      </c>
      <c r="B63" s="3">
        <v>846678.38816080405</v>
      </c>
      <c r="C63" s="3">
        <v>872081.58500352106</v>
      </c>
      <c r="D63" s="3">
        <v>26410</v>
      </c>
      <c r="E63" s="3">
        <f>SalesMasterTable[[#This Row],[Sales]]-SalesMasterTable[[#This Row],[Cost Of Sales]]</f>
        <v>-25403.196842717007</v>
      </c>
    </row>
    <row r="64" spans="1:5" x14ac:dyDescent="0.3">
      <c r="A64" s="2">
        <v>41700</v>
      </c>
      <c r="B64" s="3">
        <v>478902.30487182317</v>
      </c>
      <c r="C64" s="3">
        <v>495554.44992388849</v>
      </c>
      <c r="D64" s="3">
        <v>15004</v>
      </c>
      <c r="E64" s="3">
        <f>SalesMasterTable[[#This Row],[Sales]]-SalesMasterTable[[#This Row],[Cost Of Sales]]</f>
        <v>-16652.145052065316</v>
      </c>
    </row>
    <row r="65" spans="1:5" x14ac:dyDescent="0.3">
      <c r="A65" s="2">
        <v>41701</v>
      </c>
      <c r="B65" s="3">
        <v>538827.20213254262</v>
      </c>
      <c r="C65" s="3">
        <v>557567.13698481338</v>
      </c>
      <c r="D65" s="3">
        <v>16884</v>
      </c>
      <c r="E65" s="3">
        <f>SalesMasterTable[[#This Row],[Sales]]-SalesMasterTable[[#This Row],[Cost Of Sales]]</f>
        <v>-18739.934852270759</v>
      </c>
    </row>
    <row r="66" spans="1:5" x14ac:dyDescent="0.3">
      <c r="A66" s="2">
        <v>41702</v>
      </c>
      <c r="B66" s="3">
        <v>310346.12128754472</v>
      </c>
      <c r="C66" s="3">
        <v>323325.02992702462</v>
      </c>
      <c r="D66" s="3">
        <v>9789</v>
      </c>
      <c r="E66" s="3">
        <f>SalesMasterTable[[#This Row],[Sales]]-SalesMasterTable[[#This Row],[Cost Of Sales]]</f>
        <v>-12978.908639479894</v>
      </c>
    </row>
    <row r="67" spans="1:5" x14ac:dyDescent="0.3">
      <c r="A67" s="2">
        <v>41703</v>
      </c>
      <c r="B67" s="3">
        <v>256390.52221047229</v>
      </c>
      <c r="C67" s="3">
        <v>267308.50708271051</v>
      </c>
      <c r="D67" s="3">
        <v>8079</v>
      </c>
      <c r="E67" s="3">
        <f>SalesMasterTable[[#This Row],[Sales]]-SalesMasterTable[[#This Row],[Cost Of Sales]]</f>
        <v>-10917.984872238216</v>
      </c>
    </row>
    <row r="68" spans="1:5" x14ac:dyDescent="0.3">
      <c r="A68" s="2">
        <v>41704</v>
      </c>
      <c r="B68" s="3">
        <v>167803.65977609379</v>
      </c>
      <c r="C68" s="3">
        <v>168135.69000612191</v>
      </c>
      <c r="D68" s="3">
        <v>5072</v>
      </c>
      <c r="E68" s="3">
        <f>SalesMasterTable[[#This Row],[Sales]]-SalesMasterTable[[#This Row],[Cost Of Sales]]</f>
        <v>-332.03023002811824</v>
      </c>
    </row>
    <row r="69" spans="1:5" x14ac:dyDescent="0.3">
      <c r="A69" s="2">
        <v>41705</v>
      </c>
      <c r="B69" s="3">
        <v>465318.02151156618</v>
      </c>
      <c r="C69" s="3">
        <v>483774.59671529243</v>
      </c>
      <c r="D69" s="3">
        <v>14551</v>
      </c>
      <c r="E69" s="3">
        <f>SalesMasterTable[[#This Row],[Sales]]-SalesMasterTable[[#This Row],[Cost Of Sales]]</f>
        <v>-18456.575203726243</v>
      </c>
    </row>
    <row r="70" spans="1:5" x14ac:dyDescent="0.3">
      <c r="A70" s="2">
        <v>41706</v>
      </c>
      <c r="B70" s="3">
        <v>520146.74963959062</v>
      </c>
      <c r="C70" s="3">
        <v>541498.95824459626</v>
      </c>
      <c r="D70" s="3">
        <v>16262</v>
      </c>
      <c r="E70" s="3">
        <f>SalesMasterTable[[#This Row],[Sales]]-SalesMasterTable[[#This Row],[Cost Of Sales]]</f>
        <v>-21352.208605005639</v>
      </c>
    </row>
    <row r="71" spans="1:5" x14ac:dyDescent="0.3">
      <c r="A71" s="2">
        <v>41707</v>
      </c>
      <c r="B71" s="3">
        <v>224699.25281941221</v>
      </c>
      <c r="C71" s="3">
        <v>233589.98296831999</v>
      </c>
      <c r="D71" s="3">
        <v>7014</v>
      </c>
      <c r="E71" s="3">
        <f>SalesMasterTable[[#This Row],[Sales]]-SalesMasterTable[[#This Row],[Cost Of Sales]]</f>
        <v>-8890.7301489077799</v>
      </c>
    </row>
    <row r="72" spans="1:5" x14ac:dyDescent="0.3">
      <c r="A72" s="2">
        <v>41708</v>
      </c>
      <c r="B72" s="3">
        <v>286230.67889633839</v>
      </c>
      <c r="C72" s="3">
        <v>297642.8914364595</v>
      </c>
      <c r="D72" s="3">
        <v>8932</v>
      </c>
      <c r="E72" s="3">
        <f>SalesMasterTable[[#This Row],[Sales]]-SalesMasterTable[[#This Row],[Cost Of Sales]]</f>
        <v>-11412.212540121109</v>
      </c>
    </row>
    <row r="73" spans="1:5" x14ac:dyDescent="0.3">
      <c r="A73" s="2">
        <v>41709</v>
      </c>
      <c r="B73" s="3">
        <v>187143.01806258349</v>
      </c>
      <c r="C73" s="3">
        <v>191499.0428132079</v>
      </c>
      <c r="D73" s="3">
        <v>5737</v>
      </c>
      <c r="E73" s="3">
        <f>SalesMasterTable[[#This Row],[Sales]]-SalesMasterTable[[#This Row],[Cost Of Sales]]</f>
        <v>-4356.024750624405</v>
      </c>
    </row>
    <row r="74" spans="1:5" x14ac:dyDescent="0.3">
      <c r="A74" s="2">
        <v>41710</v>
      </c>
      <c r="B74" s="3">
        <v>191700.3891282347</v>
      </c>
      <c r="C74" s="3">
        <v>197153.4240190601</v>
      </c>
      <c r="D74" s="3">
        <v>5903</v>
      </c>
      <c r="E74" s="3">
        <f>SalesMasterTable[[#This Row],[Sales]]-SalesMasterTable[[#This Row],[Cost Of Sales]]</f>
        <v>-5453.0348908253945</v>
      </c>
    </row>
    <row r="75" spans="1:5" x14ac:dyDescent="0.3">
      <c r="A75" s="2">
        <v>41711</v>
      </c>
      <c r="B75" s="3">
        <v>164663.9676028023</v>
      </c>
      <c r="C75" s="3">
        <v>168975.1740454408</v>
      </c>
      <c r="D75" s="3">
        <v>5056</v>
      </c>
      <c r="E75" s="3">
        <f>SalesMasterTable[[#This Row],[Sales]]-SalesMasterTable[[#This Row],[Cost Of Sales]]</f>
        <v>-4311.2064426385041</v>
      </c>
    </row>
    <row r="76" spans="1:5" x14ac:dyDescent="0.3">
      <c r="A76" s="2">
        <v>41712</v>
      </c>
      <c r="B76" s="3">
        <v>395941.34513216221</v>
      </c>
      <c r="C76" s="3">
        <v>406765.91395402339</v>
      </c>
      <c r="D76" s="3">
        <v>12167</v>
      </c>
      <c r="E76" s="3">
        <f>SalesMasterTable[[#This Row],[Sales]]-SalesMasterTable[[#This Row],[Cost Of Sales]]</f>
        <v>-10824.568821861176</v>
      </c>
    </row>
    <row r="77" spans="1:5" x14ac:dyDescent="0.3">
      <c r="A77" s="2">
        <v>41713</v>
      </c>
      <c r="B77" s="3">
        <v>518183.2103749144</v>
      </c>
      <c r="C77" s="3">
        <v>534383.14311860851</v>
      </c>
      <c r="D77" s="3">
        <v>15971</v>
      </c>
      <c r="E77" s="3">
        <f>SalesMasterTable[[#This Row],[Sales]]-SalesMasterTable[[#This Row],[Cost Of Sales]]</f>
        <v>-16199.932743694109</v>
      </c>
    </row>
    <row r="78" spans="1:5" x14ac:dyDescent="0.3">
      <c r="A78" s="2">
        <v>41714</v>
      </c>
      <c r="B78" s="3">
        <v>226617.95494027081</v>
      </c>
      <c r="C78" s="3">
        <v>233191.1045662229</v>
      </c>
      <c r="D78" s="3">
        <v>6968</v>
      </c>
      <c r="E78" s="3">
        <f>SalesMasterTable[[#This Row],[Sales]]-SalesMasterTable[[#This Row],[Cost Of Sales]]</f>
        <v>-6573.1496259520936</v>
      </c>
    </row>
    <row r="79" spans="1:5" x14ac:dyDescent="0.3">
      <c r="A79" s="2">
        <v>41715</v>
      </c>
      <c r="B79" s="3">
        <v>243707.87194737699</v>
      </c>
      <c r="C79" s="3">
        <v>250794.2212640947</v>
      </c>
      <c r="D79" s="3">
        <v>7494</v>
      </c>
      <c r="E79" s="3">
        <f>SalesMasterTable[[#This Row],[Sales]]-SalesMasterTable[[#This Row],[Cost Of Sales]]</f>
        <v>-7086.3493167177076</v>
      </c>
    </row>
    <row r="80" spans="1:5" x14ac:dyDescent="0.3">
      <c r="A80" s="2">
        <v>41716</v>
      </c>
      <c r="B80" s="3">
        <v>94849.743799770498</v>
      </c>
      <c r="C80" s="3">
        <v>90571.58892297688</v>
      </c>
      <c r="D80" s="3">
        <v>2707</v>
      </c>
      <c r="E80" s="3">
        <f>SalesMasterTable[[#This Row],[Sales]]-SalesMasterTable[[#This Row],[Cost Of Sales]]</f>
        <v>4278.1548767936183</v>
      </c>
    </row>
    <row r="81" spans="1:5" x14ac:dyDescent="0.3">
      <c r="A81" s="2">
        <v>41717</v>
      </c>
      <c r="B81" s="3">
        <v>92386.783066575619</v>
      </c>
      <c r="C81" s="3">
        <v>88255.840991793899</v>
      </c>
      <c r="D81" s="3">
        <v>2637</v>
      </c>
      <c r="E81" s="3">
        <f>SalesMasterTable[[#This Row],[Sales]]-SalesMasterTable[[#This Row],[Cost Of Sales]]</f>
        <v>4130.9420747817203</v>
      </c>
    </row>
    <row r="82" spans="1:5" x14ac:dyDescent="0.3">
      <c r="A82" s="2">
        <v>41718</v>
      </c>
      <c r="B82" s="3">
        <v>180394.82770444019</v>
      </c>
      <c r="C82" s="3">
        <v>172344.30443948091</v>
      </c>
      <c r="D82" s="3">
        <v>5149</v>
      </c>
      <c r="E82" s="3">
        <f>SalesMasterTable[[#This Row],[Sales]]-SalesMasterTable[[#This Row],[Cost Of Sales]]</f>
        <v>8050.5232649592799</v>
      </c>
    </row>
    <row r="83" spans="1:5" x14ac:dyDescent="0.3">
      <c r="A83" s="2">
        <v>41719</v>
      </c>
      <c r="B83" s="3">
        <v>200939.69236394399</v>
      </c>
      <c r="C83" s="3">
        <v>192019.14427492701</v>
      </c>
      <c r="D83" s="3">
        <v>5735</v>
      </c>
      <c r="E83" s="3">
        <f>SalesMasterTable[[#This Row],[Sales]]-SalesMasterTable[[#This Row],[Cost Of Sales]]</f>
        <v>8920.5480890169856</v>
      </c>
    </row>
    <row r="84" spans="1:5" x14ac:dyDescent="0.3">
      <c r="A84" s="2">
        <v>41720</v>
      </c>
      <c r="B84" s="3">
        <v>172953.92471044019</v>
      </c>
      <c r="C84" s="3">
        <v>165201.30501850991</v>
      </c>
      <c r="D84" s="3">
        <v>4936</v>
      </c>
      <c r="E84" s="3">
        <f>SalesMasterTable[[#This Row],[Sales]]-SalesMasterTable[[#This Row],[Cost Of Sales]]</f>
        <v>7752.6196919302747</v>
      </c>
    </row>
    <row r="85" spans="1:5" x14ac:dyDescent="0.3">
      <c r="A85" s="2">
        <v>41721</v>
      </c>
      <c r="B85" s="3">
        <v>70194.79953786121</v>
      </c>
      <c r="C85" s="3">
        <v>67061.622709446878</v>
      </c>
      <c r="D85" s="3">
        <v>2003</v>
      </c>
      <c r="E85" s="3">
        <f>SalesMasterTable[[#This Row],[Sales]]-SalesMasterTable[[#This Row],[Cost Of Sales]]</f>
        <v>3133.1768284143327</v>
      </c>
    </row>
    <row r="86" spans="1:5" x14ac:dyDescent="0.3">
      <c r="A86" s="2">
        <v>41722</v>
      </c>
      <c r="B86" s="3">
        <v>81378.21463167097</v>
      </c>
      <c r="C86" s="3">
        <v>77703.6463336835</v>
      </c>
      <c r="D86" s="3">
        <v>2323</v>
      </c>
      <c r="E86" s="3">
        <f>SalesMasterTable[[#This Row],[Sales]]-SalesMasterTable[[#This Row],[Cost Of Sales]]</f>
        <v>3674.5682979874691</v>
      </c>
    </row>
    <row r="87" spans="1:5" x14ac:dyDescent="0.3">
      <c r="A87" s="2">
        <v>41723</v>
      </c>
      <c r="B87" s="3">
        <v>130227.01471457881</v>
      </c>
      <c r="C87" s="3">
        <v>127394.2892421362</v>
      </c>
      <c r="D87" s="3">
        <v>3822</v>
      </c>
      <c r="E87" s="3">
        <f>SalesMasterTable[[#This Row],[Sales]]-SalesMasterTable[[#This Row],[Cost Of Sales]]</f>
        <v>2832.725472442602</v>
      </c>
    </row>
    <row r="88" spans="1:5" x14ac:dyDescent="0.3">
      <c r="A88" s="2">
        <v>41724</v>
      </c>
      <c r="B88" s="3">
        <v>125310.0364078538</v>
      </c>
      <c r="C88" s="3">
        <v>122275.1025821775</v>
      </c>
      <c r="D88" s="3">
        <v>3666</v>
      </c>
      <c r="E88" s="3">
        <f>SalesMasterTable[[#This Row],[Sales]]-SalesMasterTable[[#This Row],[Cost Of Sales]]</f>
        <v>3034.9338256763003</v>
      </c>
    </row>
    <row r="89" spans="1:5" x14ac:dyDescent="0.3">
      <c r="A89" s="2">
        <v>41725</v>
      </c>
      <c r="B89" s="3">
        <v>119452.33963454991</v>
      </c>
      <c r="C89" s="3">
        <v>118186.5750412271</v>
      </c>
      <c r="D89" s="3">
        <v>3543</v>
      </c>
      <c r="E89" s="3">
        <f>SalesMasterTable[[#This Row],[Sales]]-SalesMasterTable[[#This Row],[Cost Of Sales]]</f>
        <v>1265.764593322805</v>
      </c>
    </row>
    <row r="90" spans="1:5" x14ac:dyDescent="0.3">
      <c r="A90" s="2">
        <v>41726</v>
      </c>
      <c r="B90" s="3">
        <v>276174.76932028373</v>
      </c>
      <c r="C90" s="3">
        <v>271550.89558082249</v>
      </c>
      <c r="D90" s="3">
        <v>8130</v>
      </c>
      <c r="E90" s="3">
        <f>SalesMasterTable[[#This Row],[Sales]]-SalesMasterTable[[#This Row],[Cost Of Sales]]</f>
        <v>4623.8737394612399</v>
      </c>
    </row>
    <row r="91" spans="1:5" x14ac:dyDescent="0.3">
      <c r="A91" s="2">
        <v>41727</v>
      </c>
      <c r="B91" s="3">
        <v>357369.26694065123</v>
      </c>
      <c r="C91" s="3">
        <v>352250.83007461781</v>
      </c>
      <c r="D91" s="3">
        <v>10518</v>
      </c>
      <c r="E91" s="3">
        <f>SalesMasterTable[[#This Row],[Sales]]-SalesMasterTable[[#This Row],[Cost Of Sales]]</f>
        <v>5118.4368660334148</v>
      </c>
    </row>
    <row r="92" spans="1:5" x14ac:dyDescent="0.3">
      <c r="A92" s="2">
        <v>41728</v>
      </c>
      <c r="B92" s="3">
        <v>163865.49027270381</v>
      </c>
      <c r="C92" s="3">
        <v>160525.4268777135</v>
      </c>
      <c r="D92" s="3">
        <v>4791</v>
      </c>
      <c r="E92" s="3">
        <f>SalesMasterTable[[#This Row],[Sales]]-SalesMasterTable[[#This Row],[Cost Of Sales]]</f>
        <v>3340.0633949903131</v>
      </c>
    </row>
    <row r="93" spans="1:5" x14ac:dyDescent="0.3">
      <c r="A93" s="2">
        <v>41729</v>
      </c>
      <c r="B93" s="3">
        <v>190719.61452860001</v>
      </c>
      <c r="C93" s="3">
        <v>187072.59522993831</v>
      </c>
      <c r="D93" s="3">
        <v>5583</v>
      </c>
      <c r="E93" s="3">
        <f>SalesMasterTable[[#This Row],[Sales]]-SalesMasterTable[[#This Row],[Cost Of Sales]]</f>
        <v>3647.0192986617039</v>
      </c>
    </row>
    <row r="94" spans="1:5" x14ac:dyDescent="0.3">
      <c r="A94" s="2">
        <v>41730</v>
      </c>
      <c r="B94" s="3">
        <v>244535.20522546369</v>
      </c>
      <c r="C94" s="3">
        <v>239700.68479759869</v>
      </c>
      <c r="D94" s="3">
        <v>7155</v>
      </c>
      <c r="E94" s="3">
        <f>SalesMasterTable[[#This Row],[Sales]]-SalesMasterTable[[#This Row],[Cost Of Sales]]</f>
        <v>4834.5204278650053</v>
      </c>
    </row>
    <row r="95" spans="1:5" x14ac:dyDescent="0.3">
      <c r="A95" s="2">
        <v>41731</v>
      </c>
      <c r="B95" s="3">
        <v>155620.50378882751</v>
      </c>
      <c r="C95" s="3">
        <v>153366.0188105522</v>
      </c>
      <c r="D95" s="3">
        <v>4575</v>
      </c>
      <c r="E95" s="3">
        <f>SalesMasterTable[[#This Row],[Sales]]-SalesMasterTable[[#This Row],[Cost Of Sales]]</f>
        <v>2254.4849782753154</v>
      </c>
    </row>
    <row r="96" spans="1:5" x14ac:dyDescent="0.3">
      <c r="A96" s="2">
        <v>41732</v>
      </c>
      <c r="B96" s="3">
        <v>136001.97816007739</v>
      </c>
      <c r="C96" s="3">
        <v>134523.0686337204</v>
      </c>
      <c r="D96" s="3">
        <v>3997</v>
      </c>
      <c r="E96" s="3">
        <f>SalesMasterTable[[#This Row],[Sales]]-SalesMasterTable[[#This Row],[Cost Of Sales]]</f>
        <v>1478.9095263569907</v>
      </c>
    </row>
    <row r="97" spans="1:5" x14ac:dyDescent="0.3">
      <c r="A97" s="2">
        <v>41733</v>
      </c>
      <c r="B97" s="3">
        <v>190559.8875127674</v>
      </c>
      <c r="C97" s="3">
        <v>187742.30001175261</v>
      </c>
      <c r="D97" s="3">
        <v>5558</v>
      </c>
      <c r="E97" s="3">
        <f>SalesMasterTable[[#This Row],[Sales]]-SalesMasterTable[[#This Row],[Cost Of Sales]]</f>
        <v>2817.5875010147865</v>
      </c>
    </row>
    <row r="98" spans="1:5" x14ac:dyDescent="0.3">
      <c r="A98" s="2">
        <v>41734</v>
      </c>
      <c r="B98" s="3">
        <v>217110.50252912121</v>
      </c>
      <c r="C98" s="3">
        <v>213540.7341841938</v>
      </c>
      <c r="D98" s="3">
        <v>6320</v>
      </c>
      <c r="E98" s="3">
        <f>SalesMasterTable[[#This Row],[Sales]]-SalesMasterTable[[#This Row],[Cost Of Sales]]</f>
        <v>3569.7683449274045</v>
      </c>
    </row>
    <row r="99" spans="1:5" x14ac:dyDescent="0.3">
      <c r="A99" s="2">
        <v>41735</v>
      </c>
      <c r="B99" s="3">
        <v>119190.0999825563</v>
      </c>
      <c r="C99" s="3">
        <v>116856.31461341619</v>
      </c>
      <c r="D99" s="3">
        <v>3447</v>
      </c>
      <c r="E99" s="3">
        <f>SalesMasterTable[[#This Row],[Sales]]-SalesMasterTable[[#This Row],[Cost Of Sales]]</f>
        <v>2333.7853691401106</v>
      </c>
    </row>
    <row r="100" spans="1:5" x14ac:dyDescent="0.3">
      <c r="A100" s="2">
        <v>41736</v>
      </c>
      <c r="B100" s="3">
        <v>131910.19745153241</v>
      </c>
      <c r="C100" s="3">
        <v>130784.4447090652</v>
      </c>
      <c r="D100" s="3">
        <v>3854</v>
      </c>
      <c r="E100" s="3">
        <f>SalesMasterTable[[#This Row],[Sales]]-SalesMasterTable[[#This Row],[Cost Of Sales]]</f>
        <v>1125.7527424672153</v>
      </c>
    </row>
    <row r="101" spans="1:5" x14ac:dyDescent="0.3">
      <c r="A101" s="2">
        <v>41737</v>
      </c>
      <c r="B101" s="3">
        <v>118921.3076762588</v>
      </c>
      <c r="C101" s="3">
        <v>115305.8051854457</v>
      </c>
      <c r="D101" s="3">
        <v>3394</v>
      </c>
      <c r="E101" s="3">
        <f>SalesMasterTable[[#This Row],[Sales]]-SalesMasterTable[[#This Row],[Cost Of Sales]]</f>
        <v>3615.5024908131018</v>
      </c>
    </row>
    <row r="102" spans="1:5" x14ac:dyDescent="0.3">
      <c r="A102" s="2">
        <v>41738</v>
      </c>
      <c r="B102" s="3">
        <v>124828.28283680879</v>
      </c>
      <c r="C102" s="3">
        <v>121264.7031181628</v>
      </c>
      <c r="D102" s="3">
        <v>3563</v>
      </c>
      <c r="E102" s="3">
        <f>SalesMasterTable[[#This Row],[Sales]]-SalesMasterTable[[#This Row],[Cost Of Sales]]</f>
        <v>3563.5797186459968</v>
      </c>
    </row>
    <row r="103" spans="1:5" x14ac:dyDescent="0.3">
      <c r="A103" s="2">
        <v>41739</v>
      </c>
      <c r="B103" s="3">
        <v>179326.4902280964</v>
      </c>
      <c r="C103" s="3">
        <v>183278.50242698641</v>
      </c>
      <c r="D103" s="3">
        <v>5380</v>
      </c>
      <c r="E103" s="3">
        <f>SalesMasterTable[[#This Row],[Sales]]-SalesMasterTable[[#This Row],[Cost Of Sales]]</f>
        <v>-3952.0121988900064</v>
      </c>
    </row>
    <row r="104" spans="1:5" x14ac:dyDescent="0.3">
      <c r="A104" s="2">
        <v>41740</v>
      </c>
      <c r="B104" s="3">
        <v>318949.81705616001</v>
      </c>
      <c r="C104" s="3">
        <v>326322.52601226018</v>
      </c>
      <c r="D104" s="3">
        <v>9573</v>
      </c>
      <c r="E104" s="3">
        <f>SalesMasterTable[[#This Row],[Sales]]-SalesMasterTable[[#This Row],[Cost Of Sales]]</f>
        <v>-7372.708956100163</v>
      </c>
    </row>
    <row r="105" spans="1:5" x14ac:dyDescent="0.3">
      <c r="A105" s="2">
        <v>41741</v>
      </c>
      <c r="B105" s="3">
        <v>375031.10932268901</v>
      </c>
      <c r="C105" s="3">
        <v>383727.19401292427</v>
      </c>
      <c r="D105" s="3">
        <v>11250</v>
      </c>
      <c r="E105" s="3">
        <f>SalesMasterTable[[#This Row],[Sales]]-SalesMasterTable[[#This Row],[Cost Of Sales]]</f>
        <v>-8696.0846902352641</v>
      </c>
    </row>
    <row r="106" spans="1:5" x14ac:dyDescent="0.3">
      <c r="A106" s="2">
        <v>41742</v>
      </c>
      <c r="B106" s="3">
        <v>166393.5407052727</v>
      </c>
      <c r="C106" s="3">
        <v>170061.86414652271</v>
      </c>
      <c r="D106" s="3">
        <v>4990</v>
      </c>
      <c r="E106" s="3">
        <f>SalesMasterTable[[#This Row],[Sales]]-SalesMasterTable[[#This Row],[Cost Of Sales]]</f>
        <v>-3668.3234412500169</v>
      </c>
    </row>
    <row r="107" spans="1:5" x14ac:dyDescent="0.3">
      <c r="A107" s="2">
        <v>41743</v>
      </c>
      <c r="B107" s="3">
        <v>193652.32776782889</v>
      </c>
      <c r="C107" s="3">
        <v>198212.06872996839</v>
      </c>
      <c r="D107" s="3">
        <v>5810</v>
      </c>
      <c r="E107" s="3">
        <f>SalesMasterTable[[#This Row],[Sales]]-SalesMasterTable[[#This Row],[Cost Of Sales]]</f>
        <v>-4559.7409621395054</v>
      </c>
    </row>
    <row r="108" spans="1:5" x14ac:dyDescent="0.3">
      <c r="A108" s="2">
        <v>41744</v>
      </c>
      <c r="B108" s="3">
        <v>249805.5172134914</v>
      </c>
      <c r="C108" s="3">
        <v>255956.65403528849</v>
      </c>
      <c r="D108" s="3">
        <v>7497</v>
      </c>
      <c r="E108" s="3">
        <f>SalesMasterTable[[#This Row],[Sales]]-SalesMasterTable[[#This Row],[Cost Of Sales]]</f>
        <v>-6151.1368217970885</v>
      </c>
    </row>
    <row r="109" spans="1:5" x14ac:dyDescent="0.3">
      <c r="A109" s="2">
        <v>41745</v>
      </c>
      <c r="B109" s="3">
        <v>294023.41088805022</v>
      </c>
      <c r="C109" s="3">
        <v>301522.35225437139</v>
      </c>
      <c r="D109" s="3">
        <v>8821</v>
      </c>
      <c r="E109" s="3">
        <f>SalesMasterTable[[#This Row],[Sales]]-SalesMasterTable[[#This Row],[Cost Of Sales]]</f>
        <v>-7498.9413663211744</v>
      </c>
    </row>
    <row r="110" spans="1:5" x14ac:dyDescent="0.3">
      <c r="A110" s="2">
        <v>41746</v>
      </c>
      <c r="B110" s="3">
        <v>612236.00579723774</v>
      </c>
      <c r="C110" s="3">
        <v>627927.75867338968</v>
      </c>
      <c r="D110" s="3">
        <v>18366</v>
      </c>
      <c r="E110" s="3">
        <f>SalesMasterTable[[#This Row],[Sales]]-SalesMasterTable[[#This Row],[Cost Of Sales]]</f>
        <v>-15691.752876151935</v>
      </c>
    </row>
    <row r="111" spans="1:5" x14ac:dyDescent="0.3">
      <c r="A111" s="2">
        <v>41747</v>
      </c>
      <c r="B111" s="3">
        <v>464815.51786854689</v>
      </c>
      <c r="C111" s="3">
        <v>476692.5436944089</v>
      </c>
      <c r="D111" s="3">
        <v>13940</v>
      </c>
      <c r="E111" s="3">
        <f>SalesMasterTable[[#This Row],[Sales]]-SalesMasterTable[[#This Row],[Cost Of Sales]]</f>
        <v>-11877.025825862016</v>
      </c>
    </row>
    <row r="112" spans="1:5" x14ac:dyDescent="0.3">
      <c r="A112" s="2">
        <v>41748</v>
      </c>
      <c r="B112" s="3">
        <v>360480.94044953783</v>
      </c>
      <c r="C112" s="3">
        <v>369765.61276322469</v>
      </c>
      <c r="D112" s="3">
        <v>10814</v>
      </c>
      <c r="E112" s="3">
        <f>SalesMasterTable[[#This Row],[Sales]]-SalesMasterTable[[#This Row],[Cost Of Sales]]</f>
        <v>-9284.6723136868677</v>
      </c>
    </row>
    <row r="113" spans="1:5" x14ac:dyDescent="0.3">
      <c r="A113" s="2">
        <v>41749</v>
      </c>
      <c r="B113" s="3">
        <v>114279.5772537695</v>
      </c>
      <c r="C113" s="3">
        <v>117190.8261541667</v>
      </c>
      <c r="D113" s="3">
        <v>3429</v>
      </c>
      <c r="E113" s="3">
        <f>SalesMasterTable[[#This Row],[Sales]]-SalesMasterTable[[#This Row],[Cost Of Sales]]</f>
        <v>-2911.2489003972005</v>
      </c>
    </row>
    <row r="114" spans="1:5" x14ac:dyDescent="0.3">
      <c r="A114" s="2">
        <v>41750</v>
      </c>
      <c r="B114" s="3">
        <v>161170.8204027302</v>
      </c>
      <c r="C114" s="3">
        <v>165415.08384550369</v>
      </c>
      <c r="D114" s="3">
        <v>4834</v>
      </c>
      <c r="E114" s="3">
        <f>SalesMasterTable[[#This Row],[Sales]]-SalesMasterTable[[#This Row],[Cost Of Sales]]</f>
        <v>-4244.2634427734884</v>
      </c>
    </row>
    <row r="115" spans="1:5" x14ac:dyDescent="0.3">
      <c r="A115" s="2">
        <v>41751</v>
      </c>
      <c r="B115" s="3">
        <v>182483.14649530521</v>
      </c>
      <c r="C115" s="3">
        <v>187344.7371716582</v>
      </c>
      <c r="D115" s="3">
        <v>5475</v>
      </c>
      <c r="E115" s="3">
        <f>SalesMasterTable[[#This Row],[Sales]]-SalesMasterTable[[#This Row],[Cost Of Sales]]</f>
        <v>-4861.5906763529929</v>
      </c>
    </row>
    <row r="116" spans="1:5" x14ac:dyDescent="0.3">
      <c r="A116" s="2">
        <v>41752</v>
      </c>
      <c r="B116" s="3">
        <v>109358.41252901949</v>
      </c>
      <c r="C116" s="3">
        <v>106849.898795566</v>
      </c>
      <c r="D116" s="3">
        <v>3121</v>
      </c>
      <c r="E116" s="3">
        <f>SalesMasterTable[[#This Row],[Sales]]-SalesMasterTable[[#This Row],[Cost Of Sales]]</f>
        <v>2508.5137334534957</v>
      </c>
    </row>
    <row r="117" spans="1:5" x14ac:dyDescent="0.3">
      <c r="A117" s="2">
        <v>41753</v>
      </c>
      <c r="B117" s="3">
        <v>98430.114109290502</v>
      </c>
      <c r="C117" s="3">
        <v>96197.482231430811</v>
      </c>
      <c r="D117" s="3">
        <v>2809</v>
      </c>
      <c r="E117" s="3">
        <f>SalesMasterTable[[#This Row],[Sales]]-SalesMasterTable[[#This Row],[Cost Of Sales]]</f>
        <v>2232.6318778596906</v>
      </c>
    </row>
    <row r="118" spans="1:5" x14ac:dyDescent="0.3">
      <c r="A118" s="2">
        <v>41754</v>
      </c>
      <c r="B118" s="3">
        <v>295741.34696188261</v>
      </c>
      <c r="C118" s="3">
        <v>292327.02825568401</v>
      </c>
      <c r="D118" s="3">
        <v>8537</v>
      </c>
      <c r="E118" s="3">
        <f>SalesMasterTable[[#This Row],[Sales]]-SalesMasterTable[[#This Row],[Cost Of Sales]]</f>
        <v>3414.3187061985955</v>
      </c>
    </row>
    <row r="119" spans="1:5" x14ac:dyDescent="0.3">
      <c r="A119" s="2">
        <v>41755</v>
      </c>
      <c r="B119" s="3">
        <v>285053.97993312759</v>
      </c>
      <c r="C119" s="3">
        <v>281159.58112341299</v>
      </c>
      <c r="D119" s="3">
        <v>8209</v>
      </c>
      <c r="E119" s="3">
        <f>SalesMasterTable[[#This Row],[Sales]]-SalesMasterTable[[#This Row],[Cost Of Sales]]</f>
        <v>3894.3988097145921</v>
      </c>
    </row>
    <row r="120" spans="1:5" x14ac:dyDescent="0.3">
      <c r="A120" s="2">
        <v>41756</v>
      </c>
      <c r="B120" s="3">
        <v>124964.7964680588</v>
      </c>
      <c r="C120" s="3">
        <v>123042.1589528976</v>
      </c>
      <c r="D120" s="3">
        <v>3592</v>
      </c>
      <c r="E120" s="3">
        <f>SalesMasterTable[[#This Row],[Sales]]-SalesMasterTable[[#This Row],[Cost Of Sales]]</f>
        <v>1922.637515161201</v>
      </c>
    </row>
    <row r="121" spans="1:5" x14ac:dyDescent="0.3">
      <c r="A121" s="2">
        <v>41757</v>
      </c>
      <c r="B121" s="3">
        <v>124175.8083521588</v>
      </c>
      <c r="C121" s="3">
        <v>122516.0657042025</v>
      </c>
      <c r="D121" s="3">
        <v>3576</v>
      </c>
      <c r="E121" s="3">
        <f>SalesMasterTable[[#This Row],[Sales]]-SalesMasterTable[[#This Row],[Cost Of Sales]]</f>
        <v>1659.7426479563001</v>
      </c>
    </row>
    <row r="122" spans="1:5" x14ac:dyDescent="0.3">
      <c r="A122" s="2">
        <v>41758</v>
      </c>
      <c r="B122" s="3">
        <v>131842.57163224381</v>
      </c>
      <c r="C122" s="3">
        <v>130405.26385817111</v>
      </c>
      <c r="D122" s="3">
        <v>3807</v>
      </c>
      <c r="E122" s="3">
        <f>SalesMasterTable[[#This Row],[Sales]]-SalesMasterTable[[#This Row],[Cost Of Sales]]</f>
        <v>1437.3077740727022</v>
      </c>
    </row>
    <row r="123" spans="1:5" x14ac:dyDescent="0.3">
      <c r="A123" s="2">
        <v>41759</v>
      </c>
      <c r="B123" s="3">
        <v>154850.05725768139</v>
      </c>
      <c r="C123" s="3">
        <v>150644.3482406672</v>
      </c>
      <c r="D123" s="3">
        <v>4398</v>
      </c>
      <c r="E123" s="3">
        <f>SalesMasterTable[[#This Row],[Sales]]-SalesMasterTable[[#This Row],[Cost Of Sales]]</f>
        <v>4205.7090170141892</v>
      </c>
    </row>
    <row r="124" spans="1:5" x14ac:dyDescent="0.3">
      <c r="A124" s="2">
        <v>41760</v>
      </c>
      <c r="B124" s="3">
        <v>180294.2687300276</v>
      </c>
      <c r="C124" s="3">
        <v>175656.65039321329</v>
      </c>
      <c r="D124" s="3">
        <v>5124</v>
      </c>
      <c r="E124" s="3">
        <f>SalesMasterTable[[#This Row],[Sales]]-SalesMasterTable[[#This Row],[Cost Of Sales]]</f>
        <v>4637.6183368143102</v>
      </c>
    </row>
    <row r="125" spans="1:5" x14ac:dyDescent="0.3">
      <c r="A125" s="2">
        <v>41761</v>
      </c>
      <c r="B125" s="3">
        <v>163849.03582968141</v>
      </c>
      <c r="C125" s="3">
        <v>157300.625596072</v>
      </c>
      <c r="D125" s="3">
        <v>4581</v>
      </c>
      <c r="E125" s="3">
        <f>SalesMasterTable[[#This Row],[Sales]]-SalesMasterTable[[#This Row],[Cost Of Sales]]</f>
        <v>6548.4102336094074</v>
      </c>
    </row>
    <row r="126" spans="1:5" x14ac:dyDescent="0.3">
      <c r="A126" s="2">
        <v>41762</v>
      </c>
      <c r="B126" s="3">
        <v>131436.7924474414</v>
      </c>
      <c r="C126" s="3">
        <v>127601.9447259398</v>
      </c>
      <c r="D126" s="3">
        <v>3697</v>
      </c>
      <c r="E126" s="3">
        <f>SalesMasterTable[[#This Row],[Sales]]-SalesMasterTable[[#This Row],[Cost Of Sales]]</f>
        <v>3834.8477215016028</v>
      </c>
    </row>
    <row r="127" spans="1:5" x14ac:dyDescent="0.3">
      <c r="A127" s="2">
        <v>41763</v>
      </c>
      <c r="B127" s="3">
        <v>93082.043956892812</v>
      </c>
      <c r="C127" s="3">
        <v>91601.506543395022</v>
      </c>
      <c r="D127" s="3">
        <v>2642</v>
      </c>
      <c r="E127" s="3">
        <f>SalesMasterTable[[#This Row],[Sales]]-SalesMasterTable[[#This Row],[Cost Of Sales]]</f>
        <v>1480.5374134977901</v>
      </c>
    </row>
    <row r="128" spans="1:5" x14ac:dyDescent="0.3">
      <c r="A128" s="2">
        <v>41764</v>
      </c>
      <c r="B128" s="3">
        <v>110887.01329721219</v>
      </c>
      <c r="C128" s="3">
        <v>109460.1532226706</v>
      </c>
      <c r="D128" s="3">
        <v>3154</v>
      </c>
      <c r="E128" s="3">
        <f>SalesMasterTable[[#This Row],[Sales]]-SalesMasterTable[[#This Row],[Cost Of Sales]]</f>
        <v>1426.8600745415897</v>
      </c>
    </row>
    <row r="129" spans="1:5" x14ac:dyDescent="0.3">
      <c r="A129" s="2">
        <v>41765</v>
      </c>
      <c r="B129" s="3">
        <v>119385.5753679569</v>
      </c>
      <c r="C129" s="3">
        <v>115693.1066418478</v>
      </c>
      <c r="D129" s="3">
        <v>3324</v>
      </c>
      <c r="E129" s="3">
        <f>SalesMasterTable[[#This Row],[Sales]]-SalesMasterTable[[#This Row],[Cost Of Sales]]</f>
        <v>3692.4687261091021</v>
      </c>
    </row>
    <row r="130" spans="1:5" x14ac:dyDescent="0.3">
      <c r="A130" s="2">
        <v>41766</v>
      </c>
      <c r="B130" s="3">
        <v>91719.589378837452</v>
      </c>
      <c r="C130" s="3">
        <v>93157.170582525898</v>
      </c>
      <c r="D130" s="3">
        <v>2677</v>
      </c>
      <c r="E130" s="3">
        <f>SalesMasterTable[[#This Row],[Sales]]-SalesMasterTable[[#This Row],[Cost Of Sales]]</f>
        <v>-1437.5812036884454</v>
      </c>
    </row>
    <row r="131" spans="1:5" x14ac:dyDescent="0.3">
      <c r="A131" s="2">
        <v>41767</v>
      </c>
      <c r="B131" s="3">
        <v>96335.448951387458</v>
      </c>
      <c r="C131" s="3">
        <v>93696.216137213793</v>
      </c>
      <c r="D131" s="3">
        <v>2683</v>
      </c>
      <c r="E131" s="3">
        <f>SalesMasterTable[[#This Row],[Sales]]-SalesMasterTable[[#This Row],[Cost Of Sales]]</f>
        <v>2639.2328141736652</v>
      </c>
    </row>
    <row r="132" spans="1:5" x14ac:dyDescent="0.3">
      <c r="A132" s="2">
        <v>41768</v>
      </c>
      <c r="B132" s="3">
        <v>303226.29835425451</v>
      </c>
      <c r="C132" s="3">
        <v>325836.94011389237</v>
      </c>
      <c r="D132" s="3">
        <v>9328</v>
      </c>
      <c r="E132" s="3">
        <f>SalesMasterTable[[#This Row],[Sales]]-SalesMasterTable[[#This Row],[Cost Of Sales]]</f>
        <v>-22610.64175963786</v>
      </c>
    </row>
    <row r="133" spans="1:5" x14ac:dyDescent="0.3">
      <c r="A133" s="2">
        <v>41769</v>
      </c>
      <c r="B133" s="3">
        <v>431695.70916738012</v>
      </c>
      <c r="C133" s="3">
        <v>465253.81571558799</v>
      </c>
      <c r="D133" s="3">
        <v>13306</v>
      </c>
      <c r="E133" s="3">
        <f>SalesMasterTable[[#This Row],[Sales]]-SalesMasterTable[[#This Row],[Cost Of Sales]]</f>
        <v>-33558.10654820787</v>
      </c>
    </row>
    <row r="134" spans="1:5" x14ac:dyDescent="0.3">
      <c r="A134" s="2">
        <v>41770</v>
      </c>
      <c r="B134" s="3">
        <v>200407.27706754219</v>
      </c>
      <c r="C134" s="3">
        <v>215907.82491282909</v>
      </c>
      <c r="D134" s="3">
        <v>6173</v>
      </c>
      <c r="E134" s="3">
        <f>SalesMasterTable[[#This Row],[Sales]]-SalesMasterTable[[#This Row],[Cost Of Sales]]</f>
        <v>-15500.547845286899</v>
      </c>
    </row>
    <row r="135" spans="1:5" x14ac:dyDescent="0.3">
      <c r="A135" s="2">
        <v>41771</v>
      </c>
      <c r="B135" s="3">
        <v>183413.70834773601</v>
      </c>
      <c r="C135" s="3">
        <v>197835.49508379781</v>
      </c>
      <c r="D135" s="3">
        <v>5653</v>
      </c>
      <c r="E135" s="3">
        <f>SalesMasterTable[[#This Row],[Sales]]-SalesMasterTable[[#This Row],[Cost Of Sales]]</f>
        <v>-14421.786736061797</v>
      </c>
    </row>
    <row r="136" spans="1:5" x14ac:dyDescent="0.3">
      <c r="A136" s="2">
        <v>41772</v>
      </c>
      <c r="B136" s="3">
        <v>146166.60112478229</v>
      </c>
      <c r="C136" s="3">
        <v>157693.18930052701</v>
      </c>
      <c r="D136" s="3">
        <v>4503</v>
      </c>
      <c r="E136" s="3">
        <f>SalesMasterTable[[#This Row],[Sales]]-SalesMasterTable[[#This Row],[Cost Of Sales]]</f>
        <v>-11526.588175744721</v>
      </c>
    </row>
    <row r="137" spans="1:5" x14ac:dyDescent="0.3">
      <c r="A137" s="2">
        <v>41773</v>
      </c>
      <c r="B137" s="3">
        <v>201120.7276408147</v>
      </c>
      <c r="C137" s="3">
        <v>218098.7618880111</v>
      </c>
      <c r="D137" s="3">
        <v>6253</v>
      </c>
      <c r="E137" s="3">
        <f>SalesMasterTable[[#This Row],[Sales]]-SalesMasterTable[[#This Row],[Cost Of Sales]]</f>
        <v>-16978.034247196396</v>
      </c>
    </row>
    <row r="138" spans="1:5" x14ac:dyDescent="0.3">
      <c r="A138" s="2">
        <v>41774</v>
      </c>
      <c r="B138" s="3">
        <v>270123.55082332838</v>
      </c>
      <c r="C138" s="3">
        <v>289864.79847427219</v>
      </c>
      <c r="D138" s="3">
        <v>8408</v>
      </c>
      <c r="E138" s="3">
        <f>SalesMasterTable[[#This Row],[Sales]]-SalesMasterTable[[#This Row],[Cost Of Sales]]</f>
        <v>-19741.247650943813</v>
      </c>
    </row>
    <row r="139" spans="1:5" x14ac:dyDescent="0.3">
      <c r="A139" s="2">
        <v>41775</v>
      </c>
      <c r="B139" s="3">
        <v>415315.38394824741</v>
      </c>
      <c r="C139" s="3">
        <v>441790.76722722728</v>
      </c>
      <c r="D139" s="3">
        <v>12949</v>
      </c>
      <c r="E139" s="3">
        <f>SalesMasterTable[[#This Row],[Sales]]-SalesMasterTable[[#This Row],[Cost Of Sales]]</f>
        <v>-26475.383278979862</v>
      </c>
    </row>
    <row r="140" spans="1:5" x14ac:dyDescent="0.3">
      <c r="A140" s="2">
        <v>41776</v>
      </c>
      <c r="B140" s="3">
        <v>498716.9975550141</v>
      </c>
      <c r="C140" s="3">
        <v>526707.3769616452</v>
      </c>
      <c r="D140" s="3">
        <v>15508</v>
      </c>
      <c r="E140" s="3">
        <f>SalesMasterTable[[#This Row],[Sales]]-SalesMasterTable[[#This Row],[Cost Of Sales]]</f>
        <v>-27990.379406631109</v>
      </c>
    </row>
    <row r="141" spans="1:5" x14ac:dyDescent="0.3">
      <c r="A141" s="2">
        <v>41777</v>
      </c>
      <c r="B141" s="3">
        <v>166433.17212925971</v>
      </c>
      <c r="C141" s="3">
        <v>174376.63247461841</v>
      </c>
      <c r="D141" s="3">
        <v>5141</v>
      </c>
      <c r="E141" s="3">
        <f>SalesMasterTable[[#This Row],[Sales]]-SalesMasterTable[[#This Row],[Cost Of Sales]]</f>
        <v>-7943.4603453587042</v>
      </c>
    </row>
    <row r="142" spans="1:5" x14ac:dyDescent="0.3">
      <c r="A142" s="2">
        <v>41778</v>
      </c>
      <c r="B142" s="3">
        <v>168520.62936742851</v>
      </c>
      <c r="C142" s="3">
        <v>175540.11551824521</v>
      </c>
      <c r="D142" s="3">
        <v>5194</v>
      </c>
      <c r="E142" s="3">
        <f>SalesMasterTable[[#This Row],[Sales]]-SalesMasterTable[[#This Row],[Cost Of Sales]]</f>
        <v>-7019.4861508166941</v>
      </c>
    </row>
    <row r="143" spans="1:5" x14ac:dyDescent="0.3">
      <c r="A143" s="2">
        <v>41779</v>
      </c>
      <c r="B143" s="3">
        <v>178123.53210953469</v>
      </c>
      <c r="C143" s="3">
        <v>187748.1722021974</v>
      </c>
      <c r="D143" s="3">
        <v>5550</v>
      </c>
      <c r="E143" s="3">
        <f>SalesMasterTable[[#This Row],[Sales]]-SalesMasterTable[[#This Row],[Cost Of Sales]]</f>
        <v>-9624.6400926627102</v>
      </c>
    </row>
    <row r="144" spans="1:5" x14ac:dyDescent="0.3">
      <c r="A144" s="2">
        <v>41780</v>
      </c>
      <c r="B144" s="3">
        <v>194878.80263463091</v>
      </c>
      <c r="C144" s="3">
        <v>204460.66537744281</v>
      </c>
      <c r="D144" s="3">
        <v>6070</v>
      </c>
      <c r="E144" s="3">
        <f>SalesMasterTable[[#This Row],[Sales]]-SalesMasterTable[[#This Row],[Cost Of Sales]]</f>
        <v>-9581.8627428119071</v>
      </c>
    </row>
    <row r="145" spans="1:5" x14ac:dyDescent="0.3">
      <c r="A145" s="2">
        <v>41781</v>
      </c>
      <c r="B145" s="3">
        <v>115475.0968962598</v>
      </c>
      <c r="C145" s="3">
        <v>115011.3226088317</v>
      </c>
      <c r="D145" s="3">
        <v>3421</v>
      </c>
      <c r="E145" s="3">
        <f>SalesMasterTable[[#This Row],[Sales]]-SalesMasterTable[[#This Row],[Cost Of Sales]]</f>
        <v>463.7742874280957</v>
      </c>
    </row>
    <row r="146" spans="1:5" x14ac:dyDescent="0.3">
      <c r="A146" s="2">
        <v>41782</v>
      </c>
      <c r="B146" s="3">
        <v>430521.02453865513</v>
      </c>
      <c r="C146" s="3">
        <v>449274.18625836552</v>
      </c>
      <c r="D146" s="3">
        <v>13384</v>
      </c>
      <c r="E146" s="3">
        <f>SalesMasterTable[[#This Row],[Sales]]-SalesMasterTable[[#This Row],[Cost Of Sales]]</f>
        <v>-18753.161719710391</v>
      </c>
    </row>
    <row r="147" spans="1:5" x14ac:dyDescent="0.3">
      <c r="A147" s="2">
        <v>41783</v>
      </c>
      <c r="B147" s="3">
        <v>590642.82566064375</v>
      </c>
      <c r="C147" s="3">
        <v>614245.79414952744</v>
      </c>
      <c r="D147" s="3">
        <v>18356</v>
      </c>
      <c r="E147" s="3">
        <f>SalesMasterTable[[#This Row],[Sales]]-SalesMasterTable[[#This Row],[Cost Of Sales]]</f>
        <v>-23602.968488883693</v>
      </c>
    </row>
    <row r="148" spans="1:5" x14ac:dyDescent="0.3">
      <c r="A148" s="2">
        <v>41784</v>
      </c>
      <c r="B148" s="3">
        <v>210764.7179522909</v>
      </c>
      <c r="C148" s="3">
        <v>217364.46301139219</v>
      </c>
      <c r="D148" s="3">
        <v>6500</v>
      </c>
      <c r="E148" s="3">
        <f>SalesMasterTable[[#This Row],[Sales]]-SalesMasterTable[[#This Row],[Cost Of Sales]]</f>
        <v>-6599.7450591012894</v>
      </c>
    </row>
    <row r="149" spans="1:5" x14ac:dyDescent="0.3">
      <c r="A149" s="2">
        <v>41785</v>
      </c>
      <c r="B149" s="3">
        <v>218189.34852144719</v>
      </c>
      <c r="C149" s="3">
        <v>225607.5951852721</v>
      </c>
      <c r="D149" s="3">
        <v>6752</v>
      </c>
      <c r="E149" s="3">
        <f>SalesMasterTable[[#This Row],[Sales]]-SalesMasterTable[[#This Row],[Cost Of Sales]]</f>
        <v>-7418.2466638249171</v>
      </c>
    </row>
    <row r="150" spans="1:5" x14ac:dyDescent="0.3">
      <c r="A150" s="2">
        <v>41786</v>
      </c>
      <c r="B150" s="3">
        <v>226132.46392936219</v>
      </c>
      <c r="C150" s="3">
        <v>234496.51283165641</v>
      </c>
      <c r="D150" s="3">
        <v>7023</v>
      </c>
      <c r="E150" s="3">
        <f>SalesMasterTable[[#This Row],[Sales]]-SalesMasterTable[[#This Row],[Cost Of Sales]]</f>
        <v>-8364.0489022942202</v>
      </c>
    </row>
    <row r="151" spans="1:5" x14ac:dyDescent="0.3">
      <c r="A151" s="2">
        <v>41787</v>
      </c>
      <c r="B151" s="3">
        <v>243720.86804506721</v>
      </c>
      <c r="C151" s="3">
        <v>252929.29469238099</v>
      </c>
      <c r="D151" s="3">
        <v>7579</v>
      </c>
      <c r="E151" s="3">
        <f>SalesMasterTable[[#This Row],[Sales]]-SalesMasterTable[[#This Row],[Cost Of Sales]]</f>
        <v>-9208.4266473137832</v>
      </c>
    </row>
    <row r="152" spans="1:5" x14ac:dyDescent="0.3">
      <c r="A152" s="2">
        <v>41788</v>
      </c>
      <c r="B152" s="3">
        <v>207429.42904813591</v>
      </c>
      <c r="C152" s="3">
        <v>215118.84649511721</v>
      </c>
      <c r="D152" s="3">
        <v>6448</v>
      </c>
      <c r="E152" s="3">
        <f>SalesMasterTable[[#This Row],[Sales]]-SalesMasterTable[[#This Row],[Cost Of Sales]]</f>
        <v>-7689.4174469813006</v>
      </c>
    </row>
    <row r="153" spans="1:5" x14ac:dyDescent="0.3">
      <c r="A153" s="2">
        <v>41789</v>
      </c>
      <c r="B153" s="3">
        <v>503149.43134534778</v>
      </c>
      <c r="C153" s="3">
        <v>521651.08612557303</v>
      </c>
      <c r="D153" s="3">
        <v>15637</v>
      </c>
      <c r="E153" s="3">
        <f>SalesMasterTable[[#This Row],[Sales]]-SalesMasterTable[[#This Row],[Cost Of Sales]]</f>
        <v>-18501.654780225246</v>
      </c>
    </row>
    <row r="154" spans="1:5" x14ac:dyDescent="0.3">
      <c r="A154" s="2">
        <v>41790</v>
      </c>
      <c r="B154" s="3">
        <v>603748.78952607629</v>
      </c>
      <c r="C154" s="3">
        <v>626259.38684881607</v>
      </c>
      <c r="D154" s="3">
        <v>18775</v>
      </c>
      <c r="E154" s="3">
        <f>SalesMasterTable[[#This Row],[Sales]]-SalesMasterTable[[#This Row],[Cost Of Sales]]</f>
        <v>-22510.597322739777</v>
      </c>
    </row>
    <row r="155" spans="1:5" x14ac:dyDescent="0.3">
      <c r="A155" s="2">
        <v>41791</v>
      </c>
      <c r="B155" s="3">
        <v>456017.46309267642</v>
      </c>
      <c r="C155" s="3">
        <v>473223.98073157662</v>
      </c>
      <c r="D155" s="3">
        <v>14188</v>
      </c>
      <c r="E155" s="3">
        <f>SalesMasterTable[[#This Row],[Sales]]-SalesMasterTable[[#This Row],[Cost Of Sales]]</f>
        <v>-17206.517638900201</v>
      </c>
    </row>
    <row r="156" spans="1:5" x14ac:dyDescent="0.3">
      <c r="A156" s="2">
        <v>41792</v>
      </c>
      <c r="B156" s="3">
        <v>425845.19604472112</v>
      </c>
      <c r="C156" s="3">
        <v>442155.99116118718</v>
      </c>
      <c r="D156" s="3">
        <v>13256</v>
      </c>
      <c r="E156" s="3">
        <f>SalesMasterTable[[#This Row],[Sales]]-SalesMasterTable[[#This Row],[Cost Of Sales]]</f>
        <v>-16310.795116466063</v>
      </c>
    </row>
    <row r="157" spans="1:5" x14ac:dyDescent="0.3">
      <c r="A157" s="2">
        <v>41793</v>
      </c>
      <c r="B157" s="3">
        <v>328217.76995264698</v>
      </c>
      <c r="C157" s="3">
        <v>340913.59172520298</v>
      </c>
      <c r="D157" s="3">
        <v>10223</v>
      </c>
      <c r="E157" s="3">
        <f>SalesMasterTable[[#This Row],[Sales]]-SalesMasterTable[[#This Row],[Cost Of Sales]]</f>
        <v>-12695.821772555995</v>
      </c>
    </row>
    <row r="158" spans="1:5" x14ac:dyDescent="0.3">
      <c r="A158" s="2">
        <v>41794</v>
      </c>
      <c r="B158" s="3">
        <v>286405.99880250322</v>
      </c>
      <c r="C158" s="3">
        <v>296902.67253080232</v>
      </c>
      <c r="D158" s="3">
        <v>8904</v>
      </c>
      <c r="E158" s="3">
        <f>SalesMasterTable[[#This Row],[Sales]]-SalesMasterTable[[#This Row],[Cost Of Sales]]</f>
        <v>-10496.673728299094</v>
      </c>
    </row>
    <row r="159" spans="1:5" x14ac:dyDescent="0.3">
      <c r="A159" s="2">
        <v>41795</v>
      </c>
      <c r="B159" s="3">
        <v>184989.88866687589</v>
      </c>
      <c r="C159" s="3">
        <v>192824.890128464</v>
      </c>
      <c r="D159" s="3">
        <v>5783</v>
      </c>
      <c r="E159" s="3">
        <f>SalesMasterTable[[#This Row],[Sales]]-SalesMasterTable[[#This Row],[Cost Of Sales]]</f>
        <v>-7835.0014615881082</v>
      </c>
    </row>
    <row r="160" spans="1:5" x14ac:dyDescent="0.3">
      <c r="A160" s="2">
        <v>41796</v>
      </c>
      <c r="B160" s="3">
        <v>288118.30444745562</v>
      </c>
      <c r="C160" s="3">
        <v>300213.55940666178</v>
      </c>
      <c r="D160" s="3">
        <v>9005</v>
      </c>
      <c r="E160" s="3">
        <f>SalesMasterTable[[#This Row],[Sales]]-SalesMasterTable[[#This Row],[Cost Of Sales]]</f>
        <v>-12095.254959206155</v>
      </c>
    </row>
    <row r="161" spans="1:5" x14ac:dyDescent="0.3">
      <c r="A161" s="2">
        <v>41797</v>
      </c>
      <c r="B161" s="3">
        <v>391930.87800966093</v>
      </c>
      <c r="C161" s="3">
        <v>407438.91960054089</v>
      </c>
      <c r="D161" s="3">
        <v>12222</v>
      </c>
      <c r="E161" s="3">
        <f>SalesMasterTable[[#This Row],[Sales]]-SalesMasterTable[[#This Row],[Cost Of Sales]]</f>
        <v>-15508.041590879962</v>
      </c>
    </row>
    <row r="162" spans="1:5" x14ac:dyDescent="0.3">
      <c r="A162" s="2">
        <v>41798</v>
      </c>
      <c r="B162" s="3">
        <v>193772.58110879711</v>
      </c>
      <c r="C162" s="3">
        <v>201254.7125115463</v>
      </c>
      <c r="D162" s="3">
        <v>6037</v>
      </c>
      <c r="E162" s="3">
        <f>SalesMasterTable[[#This Row],[Sales]]-SalesMasterTable[[#This Row],[Cost Of Sales]]</f>
        <v>-7482.1314027491899</v>
      </c>
    </row>
    <row r="163" spans="1:5" x14ac:dyDescent="0.3">
      <c r="A163" s="2">
        <v>41799</v>
      </c>
      <c r="B163" s="3">
        <v>214177.9834426184</v>
      </c>
      <c r="C163" s="3">
        <v>220255.21917882841</v>
      </c>
      <c r="D163" s="3">
        <v>6607</v>
      </c>
      <c r="E163" s="3">
        <f>SalesMasterTable[[#This Row],[Sales]]-SalesMasterTable[[#This Row],[Cost Of Sales]]</f>
        <v>-6077.2357362100156</v>
      </c>
    </row>
    <row r="164" spans="1:5" x14ac:dyDescent="0.3">
      <c r="A164" s="2">
        <v>41800</v>
      </c>
      <c r="B164" s="3">
        <v>188334.52117067971</v>
      </c>
      <c r="C164" s="3">
        <v>195254.78100370179</v>
      </c>
      <c r="D164" s="3">
        <v>5857</v>
      </c>
      <c r="E164" s="3">
        <f>SalesMasterTable[[#This Row],[Sales]]-SalesMasterTable[[#This Row],[Cost Of Sales]]</f>
        <v>-6920.259833022079</v>
      </c>
    </row>
    <row r="165" spans="1:5" x14ac:dyDescent="0.3">
      <c r="A165" s="2">
        <v>41801</v>
      </c>
      <c r="B165" s="3">
        <v>174324.99481545971</v>
      </c>
      <c r="C165" s="3">
        <v>180978.60103822939</v>
      </c>
      <c r="D165" s="3">
        <v>5429</v>
      </c>
      <c r="E165" s="3">
        <f>SalesMasterTable[[#This Row],[Sales]]-SalesMasterTable[[#This Row],[Cost Of Sales]]</f>
        <v>-6653.6062227696821</v>
      </c>
    </row>
    <row r="166" spans="1:5" x14ac:dyDescent="0.3">
      <c r="A166" s="2">
        <v>41802</v>
      </c>
      <c r="B166" s="3">
        <v>200271.5643162597</v>
      </c>
      <c r="C166" s="3">
        <v>207757.70297321581</v>
      </c>
      <c r="D166" s="3">
        <v>6232</v>
      </c>
      <c r="E166" s="3">
        <f>SalesMasterTable[[#This Row],[Sales]]-SalesMasterTable[[#This Row],[Cost Of Sales]]</f>
        <v>-7486.1386569561146</v>
      </c>
    </row>
    <row r="167" spans="1:5" x14ac:dyDescent="0.3">
      <c r="A167" s="2">
        <v>41803</v>
      </c>
      <c r="B167" s="3">
        <v>468701.63017391373</v>
      </c>
      <c r="C167" s="3">
        <v>486180.54436187987</v>
      </c>
      <c r="D167" s="3">
        <v>14585</v>
      </c>
      <c r="E167" s="3">
        <f>SalesMasterTable[[#This Row],[Sales]]-SalesMasterTable[[#This Row],[Cost Of Sales]]</f>
        <v>-17478.914187966147</v>
      </c>
    </row>
    <row r="168" spans="1:5" x14ac:dyDescent="0.3">
      <c r="A168" s="2">
        <v>41804</v>
      </c>
      <c r="B168" s="3">
        <v>473425.75415694882</v>
      </c>
      <c r="C168" s="3">
        <v>492135.2922944348</v>
      </c>
      <c r="D168" s="3">
        <v>14745</v>
      </c>
      <c r="E168" s="3">
        <f>SalesMasterTable[[#This Row],[Sales]]-SalesMasterTable[[#This Row],[Cost Of Sales]]</f>
        <v>-18709.538137485972</v>
      </c>
    </row>
    <row r="169" spans="1:5" x14ac:dyDescent="0.3">
      <c r="A169" s="2">
        <v>41805</v>
      </c>
      <c r="B169" s="3">
        <v>224232.1213750946</v>
      </c>
      <c r="C169" s="3">
        <v>233554.03224643381</v>
      </c>
      <c r="D169" s="3">
        <v>6991</v>
      </c>
      <c r="E169" s="3">
        <f>SalesMasterTable[[#This Row],[Sales]]-SalesMasterTable[[#This Row],[Cost Of Sales]]</f>
        <v>-9321.9108713392052</v>
      </c>
    </row>
    <row r="170" spans="1:5" x14ac:dyDescent="0.3">
      <c r="A170" s="2">
        <v>41806</v>
      </c>
      <c r="B170" s="3">
        <v>185606.27501469469</v>
      </c>
      <c r="C170" s="3">
        <v>193340.31536521239</v>
      </c>
      <c r="D170" s="3">
        <v>5788</v>
      </c>
      <c r="E170" s="3">
        <f>SalesMasterTable[[#This Row],[Sales]]-SalesMasterTable[[#This Row],[Cost Of Sales]]</f>
        <v>-7734.0403505176946</v>
      </c>
    </row>
    <row r="171" spans="1:5" x14ac:dyDescent="0.3">
      <c r="A171" s="2">
        <v>41807</v>
      </c>
      <c r="B171" s="3">
        <v>212687.5094148122</v>
      </c>
      <c r="C171" s="3">
        <v>221403.64501723999</v>
      </c>
      <c r="D171" s="3">
        <v>6632</v>
      </c>
      <c r="E171" s="3">
        <f>SalesMasterTable[[#This Row],[Sales]]-SalesMasterTable[[#This Row],[Cost Of Sales]]</f>
        <v>-8716.135602427792</v>
      </c>
    </row>
    <row r="172" spans="1:5" x14ac:dyDescent="0.3">
      <c r="A172" s="2">
        <v>41808</v>
      </c>
      <c r="B172" s="3">
        <v>184259.6924214997</v>
      </c>
      <c r="C172" s="3">
        <v>192057.51084707779</v>
      </c>
      <c r="D172" s="3">
        <v>5752</v>
      </c>
      <c r="E172" s="3">
        <f>SalesMasterTable[[#This Row],[Sales]]-SalesMasterTable[[#This Row],[Cost Of Sales]]</f>
        <v>-7797.8184255780943</v>
      </c>
    </row>
    <row r="173" spans="1:5" x14ac:dyDescent="0.3">
      <c r="A173" s="2">
        <v>41809</v>
      </c>
      <c r="B173" s="3">
        <v>113735.8161577795</v>
      </c>
      <c r="C173" s="3">
        <v>119544.0197640804</v>
      </c>
      <c r="D173" s="3">
        <v>3578</v>
      </c>
      <c r="E173" s="3">
        <f>SalesMasterTable[[#This Row],[Sales]]-SalesMasterTable[[#This Row],[Cost Of Sales]]</f>
        <v>-5808.2036063009</v>
      </c>
    </row>
    <row r="174" spans="1:5" x14ac:dyDescent="0.3">
      <c r="A174" s="2">
        <v>41810</v>
      </c>
      <c r="B174" s="3">
        <v>203165.08297513981</v>
      </c>
      <c r="C174" s="3">
        <v>205350.64307872241</v>
      </c>
      <c r="D174" s="3">
        <v>6119</v>
      </c>
      <c r="E174" s="3">
        <f>SalesMasterTable[[#This Row],[Sales]]-SalesMasterTable[[#This Row],[Cost Of Sales]]</f>
        <v>-2185.5601035825966</v>
      </c>
    </row>
    <row r="175" spans="1:5" x14ac:dyDescent="0.3">
      <c r="A175" s="2">
        <v>41811</v>
      </c>
      <c r="B175" s="3">
        <v>203345.24456475489</v>
      </c>
      <c r="C175" s="3">
        <v>206918.9125938658</v>
      </c>
      <c r="D175" s="3">
        <v>6161</v>
      </c>
      <c r="E175" s="3">
        <f>SalesMasterTable[[#This Row],[Sales]]-SalesMasterTable[[#This Row],[Cost Of Sales]]</f>
        <v>-3573.6680291109078</v>
      </c>
    </row>
    <row r="176" spans="1:5" x14ac:dyDescent="0.3">
      <c r="A176" s="2">
        <v>41812</v>
      </c>
      <c r="B176" s="3">
        <v>134944.48896695641</v>
      </c>
      <c r="C176" s="3">
        <v>135372.5270250313</v>
      </c>
      <c r="D176" s="3">
        <v>4015</v>
      </c>
      <c r="E176" s="3">
        <f>SalesMasterTable[[#This Row],[Sales]]-SalesMasterTable[[#This Row],[Cost Of Sales]]</f>
        <v>-428.0380580748897</v>
      </c>
    </row>
    <row r="177" spans="1:5" x14ac:dyDescent="0.3">
      <c r="A177" s="2">
        <v>41813</v>
      </c>
      <c r="B177" s="3">
        <v>138298.21024496641</v>
      </c>
      <c r="C177" s="3">
        <v>139206.02689008071</v>
      </c>
      <c r="D177" s="3">
        <v>4133</v>
      </c>
      <c r="E177" s="3">
        <f>SalesMasterTable[[#This Row],[Sales]]-SalesMasterTable[[#This Row],[Cost Of Sales]]</f>
        <v>-907.81664511430427</v>
      </c>
    </row>
    <row r="178" spans="1:5" x14ac:dyDescent="0.3">
      <c r="A178" s="2">
        <v>41814</v>
      </c>
      <c r="B178" s="3">
        <v>36692.679861900491</v>
      </c>
      <c r="C178" s="3">
        <v>35299.064235203223</v>
      </c>
      <c r="D178" s="3">
        <v>1047</v>
      </c>
      <c r="E178" s="3">
        <f>SalesMasterTable[[#This Row],[Sales]]-SalesMasterTable[[#This Row],[Cost Of Sales]]</f>
        <v>1393.6156266972685</v>
      </c>
    </row>
    <row r="179" spans="1:5" x14ac:dyDescent="0.3">
      <c r="A179" s="2">
        <v>41815</v>
      </c>
      <c r="B179" s="3">
        <v>56077.542692130737</v>
      </c>
      <c r="C179" s="3">
        <v>53925.257631037668</v>
      </c>
      <c r="D179" s="3">
        <v>1601</v>
      </c>
      <c r="E179" s="3">
        <f>SalesMasterTable[[#This Row],[Sales]]-SalesMasterTable[[#This Row],[Cost Of Sales]]</f>
        <v>2152.2850610930691</v>
      </c>
    </row>
    <row r="180" spans="1:5" x14ac:dyDescent="0.3">
      <c r="A180" s="2">
        <v>41816</v>
      </c>
      <c r="B180" s="3">
        <v>55780.707452340743</v>
      </c>
      <c r="C180" s="3">
        <v>53688.24119505065</v>
      </c>
      <c r="D180" s="3">
        <v>1592</v>
      </c>
      <c r="E180" s="3">
        <f>SalesMasterTable[[#This Row],[Sales]]-SalesMasterTable[[#This Row],[Cost Of Sales]]</f>
        <v>2092.4662572900925</v>
      </c>
    </row>
    <row r="181" spans="1:5" x14ac:dyDescent="0.3">
      <c r="A181" s="2">
        <v>41817</v>
      </c>
      <c r="B181" s="3">
        <v>131721.2383167888</v>
      </c>
      <c r="C181" s="3">
        <v>127302.42713472139</v>
      </c>
      <c r="D181" s="3">
        <v>3759</v>
      </c>
      <c r="E181" s="3">
        <f>SalesMasterTable[[#This Row],[Sales]]-SalesMasterTable[[#This Row],[Cost Of Sales]]</f>
        <v>4418.8111820674094</v>
      </c>
    </row>
    <row r="182" spans="1:5" x14ac:dyDescent="0.3">
      <c r="A182" s="2">
        <v>41818</v>
      </c>
      <c r="B182" s="3">
        <v>146169.07657195261</v>
      </c>
      <c r="C182" s="3">
        <v>141012.32941184979</v>
      </c>
      <c r="D182" s="3">
        <v>4172</v>
      </c>
      <c r="E182" s="3">
        <f>SalesMasterTable[[#This Row],[Sales]]-SalesMasterTable[[#This Row],[Cost Of Sales]]</f>
        <v>5156.7471601028228</v>
      </c>
    </row>
    <row r="183" spans="1:5" x14ac:dyDescent="0.3">
      <c r="A183" s="2">
        <v>41819</v>
      </c>
      <c r="B183" s="3">
        <v>62073.585412980981</v>
      </c>
      <c r="C183" s="3">
        <v>60083.86983686743</v>
      </c>
      <c r="D183" s="3">
        <v>1772</v>
      </c>
      <c r="E183" s="3">
        <f>SalesMasterTable[[#This Row],[Sales]]-SalesMasterTable[[#This Row],[Cost Of Sales]]</f>
        <v>1989.7155761135509</v>
      </c>
    </row>
    <row r="184" spans="1:5" x14ac:dyDescent="0.3">
      <c r="A184" s="2">
        <v>41820</v>
      </c>
      <c r="B184" s="3">
        <v>93619.846991295737</v>
      </c>
      <c r="C184" s="3">
        <v>90294.376087688332</v>
      </c>
      <c r="D184" s="3">
        <v>2672</v>
      </c>
      <c r="E184" s="3">
        <f>SalesMasterTable[[#This Row],[Sales]]-SalesMasterTable[[#This Row],[Cost Of Sales]]</f>
        <v>3325.4709036074055</v>
      </c>
    </row>
    <row r="185" spans="1:5" x14ac:dyDescent="0.3">
      <c r="A185" s="2">
        <v>41821</v>
      </c>
      <c r="B185" s="3">
        <v>180183.0313560114</v>
      </c>
      <c r="C185" s="3">
        <v>173842.9209259059</v>
      </c>
      <c r="D185" s="3">
        <v>5143</v>
      </c>
      <c r="E185" s="3">
        <f>SalesMasterTable[[#This Row],[Sales]]-SalesMasterTable[[#This Row],[Cost Of Sales]]</f>
        <v>6340.110430105502</v>
      </c>
    </row>
    <row r="186" spans="1:5" x14ac:dyDescent="0.3">
      <c r="A186" s="2">
        <v>41822</v>
      </c>
      <c r="B186" s="3">
        <v>104760.70623579</v>
      </c>
      <c r="C186" s="3">
        <v>101615.7320157364</v>
      </c>
      <c r="D186" s="3">
        <v>2990</v>
      </c>
      <c r="E186" s="3">
        <f>SalesMasterTable[[#This Row],[Sales]]-SalesMasterTable[[#This Row],[Cost Of Sales]]</f>
        <v>3144.9742200535984</v>
      </c>
    </row>
    <row r="187" spans="1:5" x14ac:dyDescent="0.3">
      <c r="A187" s="2">
        <v>41823</v>
      </c>
      <c r="B187" s="3">
        <v>93450.533684910493</v>
      </c>
      <c r="C187" s="3">
        <v>90927.089657647652</v>
      </c>
      <c r="D187" s="3">
        <v>2667</v>
      </c>
      <c r="E187" s="3">
        <f>SalesMasterTable[[#This Row],[Sales]]-SalesMasterTable[[#This Row],[Cost Of Sales]]</f>
        <v>2523.4440272628417</v>
      </c>
    </row>
    <row r="188" spans="1:5" x14ac:dyDescent="0.3">
      <c r="A188" s="2">
        <v>41824</v>
      </c>
      <c r="B188" s="3">
        <v>98087.555903940738</v>
      </c>
      <c r="C188" s="3">
        <v>95423.273987227221</v>
      </c>
      <c r="D188" s="3">
        <v>2799</v>
      </c>
      <c r="E188" s="3">
        <f>SalesMasterTable[[#This Row],[Sales]]-SalesMasterTable[[#This Row],[Cost Of Sales]]</f>
        <v>2664.2819167135167</v>
      </c>
    </row>
    <row r="189" spans="1:5" x14ac:dyDescent="0.3">
      <c r="A189" s="2">
        <v>41825</v>
      </c>
      <c r="B189" s="3">
        <v>117562.2629053492</v>
      </c>
      <c r="C189" s="3">
        <v>114395.6276274463</v>
      </c>
      <c r="D189" s="3">
        <v>3355</v>
      </c>
      <c r="E189" s="3">
        <f>SalesMasterTable[[#This Row],[Sales]]-SalesMasterTable[[#This Row],[Cost Of Sales]]</f>
        <v>3166.6352779028966</v>
      </c>
    </row>
    <row r="190" spans="1:5" x14ac:dyDescent="0.3">
      <c r="A190" s="2">
        <v>41826</v>
      </c>
      <c r="B190" s="3">
        <v>70153.080972151351</v>
      </c>
      <c r="C190" s="3">
        <v>68252.24220948873</v>
      </c>
      <c r="D190" s="3">
        <v>2002</v>
      </c>
      <c r="E190" s="3">
        <f>SalesMasterTable[[#This Row],[Sales]]-SalesMasterTable[[#This Row],[Cost Of Sales]]</f>
        <v>1900.8387626626209</v>
      </c>
    </row>
    <row r="191" spans="1:5" x14ac:dyDescent="0.3">
      <c r="A191" s="2">
        <v>41827</v>
      </c>
      <c r="B191" s="3">
        <v>68918.415287491109</v>
      </c>
      <c r="C191" s="3">
        <v>66990.88135215205</v>
      </c>
      <c r="D191" s="3">
        <v>1967</v>
      </c>
      <c r="E191" s="3">
        <f>SalesMasterTable[[#This Row],[Sales]]-SalesMasterTable[[#This Row],[Cost Of Sales]]</f>
        <v>1927.5339353390591</v>
      </c>
    </row>
    <row r="192" spans="1:5" x14ac:dyDescent="0.3">
      <c r="A192" s="2">
        <v>41828</v>
      </c>
      <c r="B192" s="3">
        <v>108417.40283335961</v>
      </c>
      <c r="C192" s="3">
        <v>105373.30003337099</v>
      </c>
      <c r="D192" s="3">
        <v>3094</v>
      </c>
      <c r="E192" s="3">
        <f>SalesMasterTable[[#This Row],[Sales]]-SalesMasterTable[[#This Row],[Cost Of Sales]]</f>
        <v>3044.1027999886137</v>
      </c>
    </row>
    <row r="193" spans="1:5" x14ac:dyDescent="0.3">
      <c r="A193" s="2">
        <v>41829</v>
      </c>
      <c r="B193" s="3">
        <v>81802.6082085011</v>
      </c>
      <c r="C193" s="3">
        <v>79496.494243965513</v>
      </c>
      <c r="D193" s="3">
        <v>2335</v>
      </c>
      <c r="E193" s="3">
        <f>SalesMasterTable[[#This Row],[Sales]]-SalesMasterTable[[#This Row],[Cost Of Sales]]</f>
        <v>2306.113964535587</v>
      </c>
    </row>
    <row r="194" spans="1:5" x14ac:dyDescent="0.3">
      <c r="A194" s="2">
        <v>41830</v>
      </c>
      <c r="B194" s="3">
        <v>103998.55973343051</v>
      </c>
      <c r="C194" s="3">
        <v>101270.971050946</v>
      </c>
      <c r="D194" s="3">
        <v>2968</v>
      </c>
      <c r="E194" s="3">
        <f>SalesMasterTable[[#This Row],[Sales]]-SalesMasterTable[[#This Row],[Cost Of Sales]]</f>
        <v>2727.5886824845074</v>
      </c>
    </row>
    <row r="195" spans="1:5" x14ac:dyDescent="0.3">
      <c r="A195" s="2">
        <v>41831</v>
      </c>
      <c r="B195" s="3">
        <v>134018.0892634776</v>
      </c>
      <c r="C195" s="3">
        <v>130633.2627145483</v>
      </c>
      <c r="D195" s="3">
        <v>3825</v>
      </c>
      <c r="E195" s="3">
        <f>SalesMasterTable[[#This Row],[Sales]]-SalesMasterTable[[#This Row],[Cost Of Sales]]</f>
        <v>3384.8265489292971</v>
      </c>
    </row>
    <row r="196" spans="1:5" x14ac:dyDescent="0.3">
      <c r="A196" s="2">
        <v>41832</v>
      </c>
      <c r="B196" s="3">
        <v>99277.299503010508</v>
      </c>
      <c r="C196" s="3">
        <v>96688.497813017515</v>
      </c>
      <c r="D196" s="3">
        <v>2833</v>
      </c>
      <c r="E196" s="3">
        <f>SalesMasterTable[[#This Row],[Sales]]-SalesMasterTable[[#This Row],[Cost Of Sales]]</f>
        <v>2588.8016899929935</v>
      </c>
    </row>
    <row r="197" spans="1:5" x14ac:dyDescent="0.3">
      <c r="A197" s="2">
        <v>41833</v>
      </c>
      <c r="B197" s="3">
        <v>49705.231999920732</v>
      </c>
      <c r="C197" s="3">
        <v>48370.308994006256</v>
      </c>
      <c r="D197" s="3">
        <v>1419</v>
      </c>
      <c r="E197" s="3">
        <f>SalesMasterTable[[#This Row],[Sales]]-SalesMasterTable[[#This Row],[Cost Of Sales]]</f>
        <v>1334.9230059144757</v>
      </c>
    </row>
    <row r="198" spans="1:5" x14ac:dyDescent="0.3">
      <c r="A198" s="2">
        <v>41834</v>
      </c>
      <c r="B198" s="3">
        <v>75384.57455073134</v>
      </c>
      <c r="C198" s="3">
        <v>73393.446593668908</v>
      </c>
      <c r="D198" s="3">
        <v>2151</v>
      </c>
      <c r="E198" s="3">
        <f>SalesMasterTable[[#This Row],[Sales]]-SalesMasterTable[[#This Row],[Cost Of Sales]]</f>
        <v>1991.127957062432</v>
      </c>
    </row>
    <row r="199" spans="1:5" x14ac:dyDescent="0.3">
      <c r="A199" s="2">
        <v>41835</v>
      </c>
      <c r="B199" s="3">
        <v>110288.2341741906</v>
      </c>
      <c r="C199" s="3">
        <v>107437.38095161279</v>
      </c>
      <c r="D199" s="3">
        <v>3148</v>
      </c>
      <c r="E199" s="3">
        <f>SalesMasterTable[[#This Row],[Sales]]-SalesMasterTable[[#This Row],[Cost Of Sales]]</f>
        <v>2850.8532225778035</v>
      </c>
    </row>
    <row r="200" spans="1:5" x14ac:dyDescent="0.3">
      <c r="A200" s="2">
        <v>41836</v>
      </c>
      <c r="B200" s="3">
        <v>156536.68620542111</v>
      </c>
      <c r="C200" s="3">
        <v>164641.3539874852</v>
      </c>
      <c r="D200" s="3">
        <v>4825</v>
      </c>
      <c r="E200" s="3">
        <f>SalesMasterTable[[#This Row],[Sales]]-SalesMasterTable[[#This Row],[Cost Of Sales]]</f>
        <v>-8104.6677820640907</v>
      </c>
    </row>
    <row r="201" spans="1:5" x14ac:dyDescent="0.3">
      <c r="A201" s="2">
        <v>41837</v>
      </c>
      <c r="B201" s="3">
        <v>80823.059197921219</v>
      </c>
      <c r="C201" s="3">
        <v>78844.86050033744</v>
      </c>
      <c r="D201" s="3">
        <v>2307</v>
      </c>
      <c r="E201" s="3">
        <f>SalesMasterTable[[#This Row],[Sales]]-SalesMasterTable[[#This Row],[Cost Of Sales]]</f>
        <v>1978.198697583779</v>
      </c>
    </row>
    <row r="202" spans="1:5" x14ac:dyDescent="0.3">
      <c r="A202" s="2">
        <v>41838</v>
      </c>
      <c r="B202" s="3">
        <v>124615.68560840881</v>
      </c>
      <c r="C202" s="3">
        <v>121612.17892455601</v>
      </c>
      <c r="D202" s="3">
        <v>3557</v>
      </c>
      <c r="E202" s="3">
        <f>SalesMasterTable[[#This Row],[Sales]]-SalesMasterTable[[#This Row],[Cost Of Sales]]</f>
        <v>3003.5066838528001</v>
      </c>
    </row>
    <row r="203" spans="1:5" x14ac:dyDescent="0.3">
      <c r="A203" s="2">
        <v>41839</v>
      </c>
      <c r="B203" s="3">
        <v>242758.9505283758</v>
      </c>
      <c r="C203" s="3">
        <v>255779.85446049331</v>
      </c>
      <c r="D203" s="3">
        <v>7485</v>
      </c>
      <c r="E203" s="3">
        <f>SalesMasterTable[[#This Row],[Sales]]-SalesMasterTable[[#This Row],[Cost Of Sales]]</f>
        <v>-13020.903932117508</v>
      </c>
    </row>
    <row r="204" spans="1:5" x14ac:dyDescent="0.3">
      <c r="A204" s="2">
        <v>41840</v>
      </c>
      <c r="B204" s="3">
        <v>85078.243689436087</v>
      </c>
      <c r="C204" s="3">
        <v>83020.514125462476</v>
      </c>
      <c r="D204" s="3">
        <v>2428</v>
      </c>
      <c r="E204" s="3">
        <f>SalesMasterTable[[#This Row],[Sales]]-SalesMasterTable[[#This Row],[Cost Of Sales]]</f>
        <v>2057.7295639736112</v>
      </c>
    </row>
    <row r="205" spans="1:5" x14ac:dyDescent="0.3">
      <c r="A205" s="2">
        <v>41841</v>
      </c>
      <c r="B205" s="3">
        <v>86738.067427260859</v>
      </c>
      <c r="C205" s="3">
        <v>84643.271827215489</v>
      </c>
      <c r="D205" s="3">
        <v>2475</v>
      </c>
      <c r="E205" s="3">
        <f>SalesMasterTable[[#This Row],[Sales]]-SalesMasterTable[[#This Row],[Cost Of Sales]]</f>
        <v>2094.7956000453705</v>
      </c>
    </row>
    <row r="206" spans="1:5" x14ac:dyDescent="0.3">
      <c r="A206" s="2">
        <v>41842</v>
      </c>
      <c r="B206" s="3">
        <v>56673.615811620853</v>
      </c>
      <c r="C206" s="3">
        <v>55278.707829230581</v>
      </c>
      <c r="D206" s="3">
        <v>1618</v>
      </c>
      <c r="E206" s="3">
        <f>SalesMasterTable[[#This Row],[Sales]]-SalesMasterTable[[#This Row],[Cost Of Sales]]</f>
        <v>1394.9079823902721</v>
      </c>
    </row>
    <row r="207" spans="1:5" x14ac:dyDescent="0.3">
      <c r="A207" s="2">
        <v>41843</v>
      </c>
      <c r="B207" s="3">
        <v>165742.1704642335</v>
      </c>
      <c r="C207" s="3">
        <v>173725.35752062299</v>
      </c>
      <c r="D207" s="3">
        <v>5106</v>
      </c>
      <c r="E207" s="3">
        <f>SalesMasterTable[[#This Row],[Sales]]-SalesMasterTable[[#This Row],[Cost Of Sales]]</f>
        <v>-7983.1870563894918</v>
      </c>
    </row>
    <row r="208" spans="1:5" x14ac:dyDescent="0.3">
      <c r="A208" s="2">
        <v>41844</v>
      </c>
      <c r="B208" s="3">
        <v>95618.248803710856</v>
      </c>
      <c r="C208" s="3">
        <v>92416.903838237486</v>
      </c>
      <c r="D208" s="3">
        <v>2729</v>
      </c>
      <c r="E208" s="3">
        <f>SalesMasterTable[[#This Row],[Sales]]-SalesMasterTable[[#This Row],[Cost Of Sales]]</f>
        <v>3201.3449654733704</v>
      </c>
    </row>
    <row r="209" spans="1:5" x14ac:dyDescent="0.3">
      <c r="A209" s="2">
        <v>41845</v>
      </c>
      <c r="B209" s="3">
        <v>515698.7957661752</v>
      </c>
      <c r="C209" s="3">
        <v>538260.27180390677</v>
      </c>
      <c r="D209" s="3">
        <v>15897</v>
      </c>
      <c r="E209" s="3">
        <f>SalesMasterTable[[#This Row],[Sales]]-SalesMasterTable[[#This Row],[Cost Of Sales]]</f>
        <v>-22561.476037731569</v>
      </c>
    </row>
    <row r="210" spans="1:5" x14ac:dyDescent="0.3">
      <c r="A210" s="2">
        <v>41846</v>
      </c>
      <c r="B210" s="3">
        <v>562590.36654784065</v>
      </c>
      <c r="C210" s="3">
        <v>586670.51408478804</v>
      </c>
      <c r="D210" s="3">
        <v>17343</v>
      </c>
      <c r="E210" s="3">
        <f>SalesMasterTable[[#This Row],[Sales]]-SalesMasterTable[[#This Row],[Cost Of Sales]]</f>
        <v>-24080.147536947392</v>
      </c>
    </row>
    <row r="211" spans="1:5" x14ac:dyDescent="0.3">
      <c r="A211" s="2">
        <v>41847</v>
      </c>
      <c r="B211" s="3">
        <v>266305.92588997318</v>
      </c>
      <c r="C211" s="3">
        <v>277238.01036147983</v>
      </c>
      <c r="D211" s="3">
        <v>8207</v>
      </c>
      <c r="E211" s="3">
        <f>SalesMasterTable[[#This Row],[Sales]]-SalesMasterTable[[#This Row],[Cost Of Sales]]</f>
        <v>-10932.084471506649</v>
      </c>
    </row>
    <row r="212" spans="1:5" x14ac:dyDescent="0.3">
      <c r="A212" s="2">
        <v>41848</v>
      </c>
      <c r="B212" s="3">
        <v>292634.74569281942</v>
      </c>
      <c r="C212" s="3">
        <v>304508.37903080799</v>
      </c>
      <c r="D212" s="3">
        <v>9018</v>
      </c>
      <c r="E212" s="3">
        <f>SalesMasterTable[[#This Row],[Sales]]-SalesMasterTable[[#This Row],[Cost Of Sales]]</f>
        <v>-11873.633337988576</v>
      </c>
    </row>
    <row r="213" spans="1:5" x14ac:dyDescent="0.3">
      <c r="A213" s="2">
        <v>41849</v>
      </c>
      <c r="B213" s="3">
        <v>212360.99307795221</v>
      </c>
      <c r="C213" s="3">
        <v>221017.0730997668</v>
      </c>
      <c r="D213" s="3">
        <v>6548</v>
      </c>
      <c r="E213" s="3">
        <f>SalesMasterTable[[#This Row],[Sales]]-SalesMasterTable[[#This Row],[Cost Of Sales]]</f>
        <v>-8656.0800218145887</v>
      </c>
    </row>
    <row r="214" spans="1:5" x14ac:dyDescent="0.3">
      <c r="A214" s="2">
        <v>41850</v>
      </c>
      <c r="B214" s="3">
        <v>198019.33209153591</v>
      </c>
      <c r="C214" s="3">
        <v>205903.82494520771</v>
      </c>
      <c r="D214" s="3">
        <v>6102</v>
      </c>
      <c r="E214" s="3">
        <f>SalesMasterTable[[#This Row],[Sales]]-SalesMasterTable[[#This Row],[Cost Of Sales]]</f>
        <v>-7884.4928536718071</v>
      </c>
    </row>
    <row r="215" spans="1:5" x14ac:dyDescent="0.3">
      <c r="A215" s="2">
        <v>41851</v>
      </c>
      <c r="B215" s="3">
        <v>295508.32729426579</v>
      </c>
      <c r="C215" s="3">
        <v>307222.39542168751</v>
      </c>
      <c r="D215" s="3">
        <v>9108</v>
      </c>
      <c r="E215" s="3">
        <f>SalesMasterTable[[#This Row],[Sales]]-SalesMasterTable[[#This Row],[Cost Of Sales]]</f>
        <v>-11714.06812742172</v>
      </c>
    </row>
    <row r="216" spans="1:5" x14ac:dyDescent="0.3">
      <c r="A216" s="2">
        <v>41852</v>
      </c>
      <c r="B216" s="3">
        <v>611894.67318094964</v>
      </c>
      <c r="C216" s="3">
        <v>636341.31592619617</v>
      </c>
      <c r="D216" s="3">
        <v>18867</v>
      </c>
      <c r="E216" s="3">
        <f>SalesMasterTable[[#This Row],[Sales]]-SalesMasterTable[[#This Row],[Cost Of Sales]]</f>
        <v>-24446.642745246529</v>
      </c>
    </row>
    <row r="217" spans="1:5" x14ac:dyDescent="0.3">
      <c r="A217" s="2">
        <v>41853</v>
      </c>
      <c r="B217" s="3">
        <v>628685.21882835601</v>
      </c>
      <c r="C217" s="3">
        <v>653779.96345324407</v>
      </c>
      <c r="D217" s="3">
        <v>19384</v>
      </c>
      <c r="E217" s="3">
        <f>SalesMasterTable[[#This Row],[Sales]]-SalesMasterTable[[#This Row],[Cost Of Sales]]</f>
        <v>-25094.744624888059</v>
      </c>
    </row>
    <row r="218" spans="1:5" x14ac:dyDescent="0.3">
      <c r="A218" s="2">
        <v>41854</v>
      </c>
      <c r="B218" s="3">
        <v>307272.68372995692</v>
      </c>
      <c r="C218" s="3">
        <v>319500.00945712812</v>
      </c>
      <c r="D218" s="3">
        <v>9473</v>
      </c>
      <c r="E218" s="3">
        <f>SalesMasterTable[[#This Row],[Sales]]-SalesMasterTable[[#This Row],[Cost Of Sales]]</f>
        <v>-12227.325727171206</v>
      </c>
    </row>
    <row r="219" spans="1:5" x14ac:dyDescent="0.3">
      <c r="A219" s="2">
        <v>41855</v>
      </c>
      <c r="B219" s="3">
        <v>362106.53263594082</v>
      </c>
      <c r="C219" s="3">
        <v>376645.75093448581</v>
      </c>
      <c r="D219" s="3">
        <v>11170</v>
      </c>
      <c r="E219" s="3">
        <f>SalesMasterTable[[#This Row],[Sales]]-SalesMasterTable[[#This Row],[Cost Of Sales]]</f>
        <v>-14539.218298544991</v>
      </c>
    </row>
    <row r="220" spans="1:5" x14ac:dyDescent="0.3">
      <c r="A220" s="2">
        <v>41856</v>
      </c>
      <c r="B220" s="3">
        <v>262349.59097271581</v>
      </c>
      <c r="C220" s="3">
        <v>272809.29044380988</v>
      </c>
      <c r="D220" s="3">
        <v>8091</v>
      </c>
      <c r="E220" s="3">
        <f>SalesMasterTable[[#This Row],[Sales]]-SalesMasterTable[[#This Row],[Cost Of Sales]]</f>
        <v>-10459.699471094063</v>
      </c>
    </row>
    <row r="221" spans="1:5" x14ac:dyDescent="0.3">
      <c r="A221" s="2">
        <v>41857</v>
      </c>
      <c r="B221" s="3">
        <v>80697.903500791217</v>
      </c>
      <c r="C221" s="3">
        <v>77649.636533253579</v>
      </c>
      <c r="D221" s="3">
        <v>2303</v>
      </c>
      <c r="E221" s="3">
        <f>SalesMasterTable[[#This Row],[Sales]]-SalesMasterTable[[#This Row],[Cost Of Sales]]</f>
        <v>3048.2669675376383</v>
      </c>
    </row>
    <row r="222" spans="1:5" x14ac:dyDescent="0.3">
      <c r="A222" s="2">
        <v>41858</v>
      </c>
      <c r="B222" s="3">
        <v>103272.6227133504</v>
      </c>
      <c r="C222" s="3">
        <v>99367.233222687966</v>
      </c>
      <c r="D222" s="3">
        <v>2947</v>
      </c>
      <c r="E222" s="3">
        <f>SalesMasterTable[[#This Row],[Sales]]-SalesMasterTable[[#This Row],[Cost Of Sales]]</f>
        <v>3905.3894906624337</v>
      </c>
    </row>
    <row r="223" spans="1:5" x14ac:dyDescent="0.3">
      <c r="A223" s="2">
        <v>41859</v>
      </c>
      <c r="B223" s="3">
        <v>439421.42206707381</v>
      </c>
      <c r="C223" s="3">
        <v>456509.62185022031</v>
      </c>
      <c r="D223" s="3">
        <v>13542</v>
      </c>
      <c r="E223" s="3">
        <f>SalesMasterTable[[#This Row],[Sales]]-SalesMasterTable[[#This Row],[Cost Of Sales]]</f>
        <v>-17088.199783146498</v>
      </c>
    </row>
    <row r="224" spans="1:5" x14ac:dyDescent="0.3">
      <c r="A224" s="2">
        <v>41860</v>
      </c>
      <c r="B224" s="3">
        <v>408616.35063191352</v>
      </c>
      <c r="C224" s="3">
        <v>424340.94938278513</v>
      </c>
      <c r="D224" s="3">
        <v>12588</v>
      </c>
      <c r="E224" s="3">
        <f>SalesMasterTable[[#This Row],[Sales]]-SalesMasterTable[[#This Row],[Cost Of Sales]]</f>
        <v>-15724.598750871606</v>
      </c>
    </row>
    <row r="225" spans="1:5" x14ac:dyDescent="0.3">
      <c r="A225" s="2">
        <v>41861</v>
      </c>
      <c r="B225" s="3">
        <v>195866.77301944341</v>
      </c>
      <c r="C225" s="3">
        <v>203331.43478475651</v>
      </c>
      <c r="D225" s="3">
        <v>6032</v>
      </c>
      <c r="E225" s="3">
        <f>SalesMasterTable[[#This Row],[Sales]]-SalesMasterTable[[#This Row],[Cost Of Sales]]</f>
        <v>-7464.6617653130961</v>
      </c>
    </row>
    <row r="226" spans="1:5" x14ac:dyDescent="0.3">
      <c r="A226" s="2">
        <v>41862</v>
      </c>
      <c r="B226" s="3">
        <v>232347.35316928959</v>
      </c>
      <c r="C226" s="3">
        <v>241134.5277944064</v>
      </c>
      <c r="D226" s="3">
        <v>7158</v>
      </c>
      <c r="E226" s="3">
        <f>SalesMasterTable[[#This Row],[Sales]]-SalesMasterTable[[#This Row],[Cost Of Sales]]</f>
        <v>-8787.1746251168079</v>
      </c>
    </row>
    <row r="227" spans="1:5" x14ac:dyDescent="0.3">
      <c r="A227" s="2">
        <v>41863</v>
      </c>
      <c r="B227" s="3">
        <v>190325.18114338469</v>
      </c>
      <c r="C227" s="3">
        <v>197438.11163851491</v>
      </c>
      <c r="D227" s="3">
        <v>5863</v>
      </c>
      <c r="E227" s="3">
        <f>SalesMasterTable[[#This Row],[Sales]]-SalesMasterTable[[#This Row],[Cost Of Sales]]</f>
        <v>-7112.9304951302183</v>
      </c>
    </row>
    <row r="228" spans="1:5" x14ac:dyDescent="0.3">
      <c r="A228" s="2">
        <v>41864</v>
      </c>
      <c r="B228" s="3">
        <v>197698.11855084091</v>
      </c>
      <c r="C228" s="3">
        <v>205114.1289482273</v>
      </c>
      <c r="D228" s="3">
        <v>6092</v>
      </c>
      <c r="E228" s="3">
        <f>SalesMasterTable[[#This Row],[Sales]]-SalesMasterTable[[#This Row],[Cost Of Sales]]</f>
        <v>-7416.0103973863879</v>
      </c>
    </row>
    <row r="229" spans="1:5" x14ac:dyDescent="0.3">
      <c r="A229" s="2">
        <v>41865</v>
      </c>
      <c r="B229" s="3">
        <v>177908.83560484849</v>
      </c>
      <c r="C229" s="3">
        <v>184687.52914036711</v>
      </c>
      <c r="D229" s="3">
        <v>5485</v>
      </c>
      <c r="E229" s="3">
        <f>SalesMasterTable[[#This Row],[Sales]]-SalesMasterTable[[#This Row],[Cost Of Sales]]</f>
        <v>-6778.6935355186288</v>
      </c>
    </row>
    <row r="230" spans="1:5" x14ac:dyDescent="0.3">
      <c r="A230" s="2">
        <v>41866</v>
      </c>
      <c r="B230" s="3">
        <v>473321.88245175371</v>
      </c>
      <c r="C230" s="3">
        <v>491559.42296304408</v>
      </c>
      <c r="D230" s="3">
        <v>14587</v>
      </c>
      <c r="E230" s="3">
        <f>SalesMasterTable[[#This Row],[Sales]]-SalesMasterTable[[#This Row],[Cost Of Sales]]</f>
        <v>-18237.540511290368</v>
      </c>
    </row>
    <row r="231" spans="1:5" x14ac:dyDescent="0.3">
      <c r="A231" s="2">
        <v>41867</v>
      </c>
      <c r="B231" s="3">
        <v>541600.89215953078</v>
      </c>
      <c r="C231" s="3">
        <v>562953.37077365373</v>
      </c>
      <c r="D231" s="3">
        <v>16686</v>
      </c>
      <c r="E231" s="3">
        <f>SalesMasterTable[[#This Row],[Sales]]-SalesMasterTable[[#This Row],[Cost Of Sales]]</f>
        <v>-21352.478614122956</v>
      </c>
    </row>
    <row r="232" spans="1:5" x14ac:dyDescent="0.3">
      <c r="A232" s="2">
        <v>41868</v>
      </c>
      <c r="B232" s="3">
        <v>239513.97904265701</v>
      </c>
      <c r="C232" s="3">
        <v>249203.12076822479</v>
      </c>
      <c r="D232" s="3">
        <v>7380</v>
      </c>
      <c r="E232" s="3">
        <f>SalesMasterTable[[#This Row],[Sales]]-SalesMasterTable[[#This Row],[Cost Of Sales]]</f>
        <v>-9689.1417255677807</v>
      </c>
    </row>
    <row r="233" spans="1:5" x14ac:dyDescent="0.3">
      <c r="A233" s="2">
        <v>41869</v>
      </c>
      <c r="B233" s="3">
        <v>255224.2225523532</v>
      </c>
      <c r="C233" s="3">
        <v>265532.5462048222</v>
      </c>
      <c r="D233" s="3">
        <v>7864</v>
      </c>
      <c r="E233" s="3">
        <f>SalesMasterTable[[#This Row],[Sales]]-SalesMasterTable[[#This Row],[Cost Of Sales]]</f>
        <v>-10308.323652469</v>
      </c>
    </row>
    <row r="234" spans="1:5" x14ac:dyDescent="0.3">
      <c r="A234" s="2">
        <v>41870</v>
      </c>
      <c r="B234" s="3">
        <v>160372.03970902969</v>
      </c>
      <c r="C234" s="3">
        <v>167021.15782900871</v>
      </c>
      <c r="D234" s="3">
        <v>4941</v>
      </c>
      <c r="E234" s="3">
        <f>SalesMasterTable[[#This Row],[Sales]]-SalesMasterTable[[#This Row],[Cost Of Sales]]</f>
        <v>-6649.1181199790153</v>
      </c>
    </row>
    <row r="235" spans="1:5" x14ac:dyDescent="0.3">
      <c r="A235" s="2">
        <v>41871</v>
      </c>
      <c r="B235" s="3">
        <v>171587.33225254019</v>
      </c>
      <c r="C235" s="3">
        <v>174723.17542794361</v>
      </c>
      <c r="D235" s="3">
        <v>5151</v>
      </c>
      <c r="E235" s="3">
        <f>SalesMasterTable[[#This Row],[Sales]]-SalesMasterTable[[#This Row],[Cost Of Sales]]</f>
        <v>-3135.8431754034245</v>
      </c>
    </row>
    <row r="236" spans="1:5" x14ac:dyDescent="0.3">
      <c r="A236" s="2">
        <v>41872</v>
      </c>
      <c r="B236" s="3">
        <v>164208.0606125952</v>
      </c>
      <c r="C236" s="3">
        <v>167239.64875993141</v>
      </c>
      <c r="D236" s="3">
        <v>4928</v>
      </c>
      <c r="E236" s="3">
        <f>SalesMasterTable[[#This Row],[Sales]]-SalesMasterTable[[#This Row],[Cost Of Sales]]</f>
        <v>-3031.5881473362097</v>
      </c>
    </row>
    <row r="237" spans="1:5" x14ac:dyDescent="0.3">
      <c r="A237" s="2">
        <v>41873</v>
      </c>
      <c r="B237" s="3">
        <v>376778.83570449759</v>
      </c>
      <c r="C237" s="3">
        <v>384006.045320909</v>
      </c>
      <c r="D237" s="3">
        <v>11309</v>
      </c>
      <c r="E237" s="3">
        <f>SalesMasterTable[[#This Row],[Sales]]-SalesMasterTable[[#This Row],[Cost Of Sales]]</f>
        <v>-7227.2096164114191</v>
      </c>
    </row>
    <row r="238" spans="1:5" x14ac:dyDescent="0.3">
      <c r="A238" s="2">
        <v>41874</v>
      </c>
      <c r="B238" s="3">
        <v>453633.473978322</v>
      </c>
      <c r="C238" s="3">
        <v>463250.07125509798</v>
      </c>
      <c r="D238" s="3">
        <v>13613</v>
      </c>
      <c r="E238" s="3">
        <f>SalesMasterTable[[#This Row],[Sales]]-SalesMasterTable[[#This Row],[Cost Of Sales]]</f>
        <v>-9616.5972767759813</v>
      </c>
    </row>
    <row r="239" spans="1:5" x14ac:dyDescent="0.3">
      <c r="A239" s="2">
        <v>41875</v>
      </c>
      <c r="B239" s="3">
        <v>214392.40085275259</v>
      </c>
      <c r="C239" s="3">
        <v>218347.79777692939</v>
      </c>
      <c r="D239" s="3">
        <v>6424</v>
      </c>
      <c r="E239" s="3">
        <f>SalesMasterTable[[#This Row],[Sales]]-SalesMasterTable[[#This Row],[Cost Of Sales]]</f>
        <v>-3955.3969241768064</v>
      </c>
    </row>
    <row r="240" spans="1:5" x14ac:dyDescent="0.3">
      <c r="A240" s="2">
        <v>41876</v>
      </c>
      <c r="B240" s="3">
        <v>316404.06232243002</v>
      </c>
      <c r="C240" s="3">
        <v>323293.3966404731</v>
      </c>
      <c r="D240" s="3">
        <v>9493</v>
      </c>
      <c r="E240" s="3">
        <f>SalesMasterTable[[#This Row],[Sales]]-SalesMasterTable[[#This Row],[Cost Of Sales]]</f>
        <v>-6889.334318043082</v>
      </c>
    </row>
    <row r="241" spans="1:5" x14ac:dyDescent="0.3">
      <c r="A241" s="2">
        <v>41877</v>
      </c>
      <c r="B241" s="3">
        <v>242824.50134045491</v>
      </c>
      <c r="C241" s="3">
        <v>259860.5125486858</v>
      </c>
      <c r="D241" s="3">
        <v>7619</v>
      </c>
      <c r="E241" s="3">
        <f>SalesMasterTable[[#This Row],[Sales]]-SalesMasterTable[[#This Row],[Cost Of Sales]]</f>
        <v>-17036.011208230891</v>
      </c>
    </row>
    <row r="242" spans="1:5" x14ac:dyDescent="0.3">
      <c r="A242" s="2">
        <v>41878</v>
      </c>
      <c r="B242" s="3">
        <v>274712.25328416959</v>
      </c>
      <c r="C242" s="3">
        <v>304334.78464343678</v>
      </c>
      <c r="D242" s="3">
        <v>8909</v>
      </c>
      <c r="E242" s="3">
        <f>SalesMasterTable[[#This Row],[Sales]]-SalesMasterTable[[#This Row],[Cost Of Sales]]</f>
        <v>-29622.531359267188</v>
      </c>
    </row>
    <row r="243" spans="1:5" x14ac:dyDescent="0.3">
      <c r="A243" s="2">
        <v>41879</v>
      </c>
      <c r="B243" s="3">
        <v>258066.16939498461</v>
      </c>
      <c r="C243" s="3">
        <v>287168.56608982541</v>
      </c>
      <c r="D243" s="3">
        <v>8400</v>
      </c>
      <c r="E243" s="3">
        <f>SalesMasterTable[[#This Row],[Sales]]-SalesMasterTable[[#This Row],[Cost Of Sales]]</f>
        <v>-29102.396694840805</v>
      </c>
    </row>
    <row r="244" spans="1:5" x14ac:dyDescent="0.3">
      <c r="A244" s="2">
        <v>41880</v>
      </c>
      <c r="B244" s="3">
        <v>594007.21320371237</v>
      </c>
      <c r="C244" s="3">
        <v>660937.80480560346</v>
      </c>
      <c r="D244" s="3">
        <v>19317</v>
      </c>
      <c r="E244" s="3">
        <f>SalesMasterTable[[#This Row],[Sales]]-SalesMasterTable[[#This Row],[Cost Of Sales]]</f>
        <v>-66930.591601891094</v>
      </c>
    </row>
    <row r="245" spans="1:5" x14ac:dyDescent="0.3">
      <c r="A245" s="2">
        <v>41881</v>
      </c>
      <c r="B245" s="3">
        <v>717096.71281835937</v>
      </c>
      <c r="C245" s="3">
        <v>797788.89197623753</v>
      </c>
      <c r="D245" s="3">
        <v>23310</v>
      </c>
      <c r="E245" s="3">
        <f>SalesMasterTable[[#This Row],[Sales]]-SalesMasterTable[[#This Row],[Cost Of Sales]]</f>
        <v>-80692.179157878156</v>
      </c>
    </row>
    <row r="246" spans="1:5" x14ac:dyDescent="0.3">
      <c r="A246" s="2">
        <v>41882</v>
      </c>
      <c r="B246" s="3">
        <v>358170.99632881698</v>
      </c>
      <c r="C246" s="3">
        <v>398562.60743015882</v>
      </c>
      <c r="D246" s="3">
        <v>11646</v>
      </c>
      <c r="E246" s="3">
        <f>SalesMasterTable[[#This Row],[Sales]]-SalesMasterTable[[#This Row],[Cost Of Sales]]</f>
        <v>-40391.611101341841</v>
      </c>
    </row>
    <row r="247" spans="1:5" x14ac:dyDescent="0.3">
      <c r="A247" s="2">
        <v>41883</v>
      </c>
      <c r="B247" s="3">
        <v>594953.63490643876</v>
      </c>
      <c r="C247" s="3">
        <v>662850.99076108413</v>
      </c>
      <c r="D247" s="3">
        <v>19366</v>
      </c>
      <c r="E247" s="3">
        <f>SalesMasterTable[[#This Row],[Sales]]-SalesMasterTable[[#This Row],[Cost Of Sales]]</f>
        <v>-67897.355854645371</v>
      </c>
    </row>
    <row r="248" spans="1:5" x14ac:dyDescent="0.3">
      <c r="A248" s="2">
        <v>41884</v>
      </c>
      <c r="B248" s="3">
        <v>469469.9410251276</v>
      </c>
      <c r="C248" s="3">
        <v>523480.3033456417</v>
      </c>
      <c r="D248" s="3">
        <v>15291</v>
      </c>
      <c r="E248" s="3">
        <f>SalesMasterTable[[#This Row],[Sales]]-SalesMasterTable[[#This Row],[Cost Of Sales]]</f>
        <v>-54010.362320514105</v>
      </c>
    </row>
    <row r="249" spans="1:5" x14ac:dyDescent="0.3">
      <c r="A249" s="2">
        <v>41885</v>
      </c>
      <c r="B249" s="3">
        <v>464067.7993402126</v>
      </c>
      <c r="C249" s="3">
        <v>517180.5432955554</v>
      </c>
      <c r="D249" s="3">
        <v>15100</v>
      </c>
      <c r="E249" s="3">
        <f>SalesMasterTable[[#This Row],[Sales]]-SalesMasterTable[[#This Row],[Cost Of Sales]]</f>
        <v>-53112.743955342798</v>
      </c>
    </row>
    <row r="250" spans="1:5" x14ac:dyDescent="0.3">
      <c r="A250" s="2">
        <v>41886</v>
      </c>
      <c r="B250" s="3">
        <v>312311.95398119069</v>
      </c>
      <c r="C250" s="3">
        <v>348177.12054578192</v>
      </c>
      <c r="D250" s="3">
        <v>10164</v>
      </c>
      <c r="E250" s="3">
        <f>SalesMasterTable[[#This Row],[Sales]]-SalesMasterTable[[#This Row],[Cost Of Sales]]</f>
        <v>-35865.166564591229</v>
      </c>
    </row>
    <row r="251" spans="1:5" x14ac:dyDescent="0.3">
      <c r="A251" s="2">
        <v>41887</v>
      </c>
      <c r="B251" s="3">
        <v>501279.00044448092</v>
      </c>
      <c r="C251" s="3">
        <v>558766.69034694601</v>
      </c>
      <c r="D251" s="3">
        <v>16310</v>
      </c>
      <c r="E251" s="3">
        <f>SalesMasterTable[[#This Row],[Sales]]-SalesMasterTable[[#This Row],[Cost Of Sales]]</f>
        <v>-57487.689902465092</v>
      </c>
    </row>
    <row r="252" spans="1:5" x14ac:dyDescent="0.3">
      <c r="A252" s="2">
        <v>41888</v>
      </c>
      <c r="B252" s="3">
        <v>552703.9037581525</v>
      </c>
      <c r="C252" s="3">
        <v>616169.85143113649</v>
      </c>
      <c r="D252" s="3">
        <v>17985</v>
      </c>
      <c r="E252" s="3">
        <f>SalesMasterTable[[#This Row],[Sales]]-SalesMasterTable[[#This Row],[Cost Of Sales]]</f>
        <v>-63465.947672983981</v>
      </c>
    </row>
    <row r="253" spans="1:5" x14ac:dyDescent="0.3">
      <c r="A253" s="2">
        <v>41889</v>
      </c>
      <c r="B253" s="3">
        <v>234153.76221071579</v>
      </c>
      <c r="C253" s="3">
        <v>261088.3863729678</v>
      </c>
      <c r="D253" s="3">
        <v>7620</v>
      </c>
      <c r="E253" s="3">
        <f>SalesMasterTable[[#This Row],[Sales]]-SalesMasterTable[[#This Row],[Cost Of Sales]]</f>
        <v>-26934.624162252003</v>
      </c>
    </row>
    <row r="254" spans="1:5" x14ac:dyDescent="0.3">
      <c r="A254" s="2">
        <v>41890</v>
      </c>
      <c r="B254" s="3">
        <v>244481.49772930579</v>
      </c>
      <c r="C254" s="3">
        <v>272633.39980275778</v>
      </c>
      <c r="D254" s="3">
        <v>7958</v>
      </c>
      <c r="E254" s="3">
        <f>SalesMasterTable[[#This Row],[Sales]]-SalesMasterTable[[#This Row],[Cost Of Sales]]</f>
        <v>-28151.902073451987</v>
      </c>
    </row>
    <row r="255" spans="1:5" x14ac:dyDescent="0.3">
      <c r="A255" s="2">
        <v>41891</v>
      </c>
      <c r="B255" s="3">
        <v>122749.63527830879</v>
      </c>
      <c r="C255" s="3">
        <v>120070.9501885974</v>
      </c>
      <c r="D255" s="3">
        <v>3503</v>
      </c>
      <c r="E255" s="3">
        <f>SalesMasterTable[[#This Row],[Sales]]-SalesMasterTable[[#This Row],[Cost Of Sales]]</f>
        <v>2678.6850897113909</v>
      </c>
    </row>
    <row r="256" spans="1:5" x14ac:dyDescent="0.3">
      <c r="A256" s="2">
        <v>41892</v>
      </c>
      <c r="B256" s="3">
        <v>78736.402839721224</v>
      </c>
      <c r="C256" s="3">
        <v>77071.542706110122</v>
      </c>
      <c r="D256" s="3">
        <v>2247</v>
      </c>
      <c r="E256" s="3">
        <f>SalesMasterTable[[#This Row],[Sales]]-SalesMasterTable[[#This Row],[Cost Of Sales]]</f>
        <v>1664.8601336111024</v>
      </c>
    </row>
    <row r="257" spans="1:5" x14ac:dyDescent="0.3">
      <c r="A257" s="2">
        <v>41893</v>
      </c>
      <c r="B257" s="3">
        <v>70875.110668741108</v>
      </c>
      <c r="C257" s="3">
        <v>69489.36084683513</v>
      </c>
      <c r="D257" s="3">
        <v>2023</v>
      </c>
      <c r="E257" s="3">
        <f>SalesMasterTable[[#This Row],[Sales]]-SalesMasterTable[[#This Row],[Cost Of Sales]]</f>
        <v>1385.749821905978</v>
      </c>
    </row>
    <row r="258" spans="1:5" x14ac:dyDescent="0.3">
      <c r="A258" s="2">
        <v>41894</v>
      </c>
      <c r="B258" s="3">
        <v>148634.39140687519</v>
      </c>
      <c r="C258" s="3">
        <v>145956.13969592101</v>
      </c>
      <c r="D258" s="3">
        <v>4242</v>
      </c>
      <c r="E258" s="3">
        <f>SalesMasterTable[[#This Row],[Sales]]-SalesMasterTable[[#This Row],[Cost Of Sales]]</f>
        <v>2678.2517109541805</v>
      </c>
    </row>
    <row r="259" spans="1:5" x14ac:dyDescent="0.3">
      <c r="A259" s="2">
        <v>41895</v>
      </c>
      <c r="B259" s="3">
        <v>171724.82878193399</v>
      </c>
      <c r="C259" s="3">
        <v>168652.2035714417</v>
      </c>
      <c r="D259" s="3">
        <v>4901</v>
      </c>
      <c r="E259" s="3">
        <f>SalesMasterTable[[#This Row],[Sales]]-SalesMasterTable[[#This Row],[Cost Of Sales]]</f>
        <v>3072.6252104922896</v>
      </c>
    </row>
    <row r="260" spans="1:5" x14ac:dyDescent="0.3">
      <c r="A260" s="2">
        <v>41896</v>
      </c>
      <c r="B260" s="3">
        <v>86435.698834951094</v>
      </c>
      <c r="C260" s="3">
        <v>84948.374577163748</v>
      </c>
      <c r="D260" s="3">
        <v>2467</v>
      </c>
      <c r="E260" s="3">
        <f>SalesMasterTable[[#This Row],[Sales]]-SalesMasterTable[[#This Row],[Cost Of Sales]]</f>
        <v>1487.3242577873461</v>
      </c>
    </row>
    <row r="261" spans="1:5" x14ac:dyDescent="0.3">
      <c r="A261" s="2">
        <v>41897</v>
      </c>
      <c r="B261" s="3">
        <v>120236.18270337</v>
      </c>
      <c r="C261" s="3">
        <v>118094.0431931489</v>
      </c>
      <c r="D261" s="3">
        <v>3432</v>
      </c>
      <c r="E261" s="3">
        <f>SalesMasterTable[[#This Row],[Sales]]-SalesMasterTable[[#This Row],[Cost Of Sales]]</f>
        <v>2142.1395102210954</v>
      </c>
    </row>
    <row r="262" spans="1:5" x14ac:dyDescent="0.3">
      <c r="A262" s="2">
        <v>41898</v>
      </c>
      <c r="B262" s="3">
        <v>83204.196694181097</v>
      </c>
      <c r="C262" s="3">
        <v>81753.424593545584</v>
      </c>
      <c r="D262" s="3">
        <v>2375</v>
      </c>
      <c r="E262" s="3">
        <f>SalesMasterTable[[#This Row],[Sales]]-SalesMasterTable[[#This Row],[Cost Of Sales]]</f>
        <v>1450.7721006355132</v>
      </c>
    </row>
    <row r="263" spans="1:5" x14ac:dyDescent="0.3">
      <c r="A263" s="2">
        <v>41899</v>
      </c>
      <c r="B263" s="3">
        <v>73768.034734920977</v>
      </c>
      <c r="C263" s="3">
        <v>72471.919323404494</v>
      </c>
      <c r="D263" s="3">
        <v>2105</v>
      </c>
      <c r="E263" s="3">
        <f>SalesMasterTable[[#This Row],[Sales]]-SalesMasterTable[[#This Row],[Cost Of Sales]]</f>
        <v>1296.1154115164827</v>
      </c>
    </row>
    <row r="264" spans="1:5" x14ac:dyDescent="0.3">
      <c r="A264" s="2">
        <v>41900</v>
      </c>
      <c r="B264" s="3">
        <v>69425.44511577097</v>
      </c>
      <c r="C264" s="3">
        <v>68280.383276895183</v>
      </c>
      <c r="D264" s="3">
        <v>1982</v>
      </c>
      <c r="E264" s="3">
        <f>SalesMasterTable[[#This Row],[Sales]]-SalesMasterTable[[#This Row],[Cost Of Sales]]</f>
        <v>1145.0618388757866</v>
      </c>
    </row>
    <row r="265" spans="1:5" x14ac:dyDescent="0.3">
      <c r="A265" s="2">
        <v>41901</v>
      </c>
      <c r="B265" s="3">
        <v>137154.95408779141</v>
      </c>
      <c r="C265" s="3">
        <v>135276.90958604589</v>
      </c>
      <c r="D265" s="3">
        <v>3915</v>
      </c>
      <c r="E265" s="3">
        <f>SalesMasterTable[[#This Row],[Sales]]-SalesMasterTable[[#This Row],[Cost Of Sales]]</f>
        <v>1878.0445017455204</v>
      </c>
    </row>
    <row r="266" spans="1:5" x14ac:dyDescent="0.3">
      <c r="A266" s="2">
        <v>41902</v>
      </c>
      <c r="B266" s="3">
        <v>153569.06188021021</v>
      </c>
      <c r="C266" s="3">
        <v>151376.13558980459</v>
      </c>
      <c r="D266" s="3">
        <v>4383</v>
      </c>
      <c r="E266" s="3">
        <f>SalesMasterTable[[#This Row],[Sales]]-SalesMasterTable[[#This Row],[Cost Of Sales]]</f>
        <v>2192.9262904056231</v>
      </c>
    </row>
    <row r="267" spans="1:5" x14ac:dyDescent="0.3">
      <c r="A267" s="2">
        <v>41903</v>
      </c>
      <c r="B267" s="3">
        <v>75633.320588686343</v>
      </c>
      <c r="C267" s="3">
        <v>74546.668253599157</v>
      </c>
      <c r="D267" s="3">
        <v>2159</v>
      </c>
      <c r="E267" s="3">
        <f>SalesMasterTable[[#This Row],[Sales]]-SalesMasterTable[[#This Row],[Cost Of Sales]]</f>
        <v>1086.6523350871867</v>
      </c>
    </row>
    <row r="268" spans="1:5" x14ac:dyDescent="0.3">
      <c r="A268" s="2">
        <v>41904</v>
      </c>
      <c r="B268" s="3">
        <v>90815.929812690869</v>
      </c>
      <c r="C268" s="3">
        <v>89653.637589452905</v>
      </c>
      <c r="D268" s="3">
        <v>2592</v>
      </c>
      <c r="E268" s="3">
        <f>SalesMasterTable[[#This Row],[Sales]]-SalesMasterTable[[#This Row],[Cost Of Sales]]</f>
        <v>1162.2922232379642</v>
      </c>
    </row>
    <row r="269" spans="1:5" x14ac:dyDescent="0.3">
      <c r="A269" s="2">
        <v>41905</v>
      </c>
      <c r="B269" s="3">
        <v>110118.1563914701</v>
      </c>
      <c r="C269" s="3">
        <v>108880.4089631831</v>
      </c>
      <c r="D269" s="3">
        <v>3143</v>
      </c>
      <c r="E269" s="3">
        <f>SalesMasterTable[[#This Row],[Sales]]-SalesMasterTable[[#This Row],[Cost Of Sales]]</f>
        <v>1237.7474282869953</v>
      </c>
    </row>
    <row r="270" spans="1:5" x14ac:dyDescent="0.3">
      <c r="A270" s="2">
        <v>41906</v>
      </c>
      <c r="B270" s="3">
        <v>209908.38311163971</v>
      </c>
      <c r="C270" s="3">
        <v>223554.08660175069</v>
      </c>
      <c r="D270" s="3">
        <v>6457</v>
      </c>
      <c r="E270" s="3">
        <f>SalesMasterTable[[#This Row],[Sales]]-SalesMasterTable[[#This Row],[Cost Of Sales]]</f>
        <v>-13645.703490110987</v>
      </c>
    </row>
    <row r="271" spans="1:5" x14ac:dyDescent="0.3">
      <c r="A271" s="2">
        <v>41907</v>
      </c>
      <c r="B271" s="3">
        <v>358365.68296879338</v>
      </c>
      <c r="C271" s="3">
        <v>382967.98317568301</v>
      </c>
      <c r="D271" s="3">
        <v>11039</v>
      </c>
      <c r="E271" s="3">
        <f>SalesMasterTable[[#This Row],[Sales]]-SalesMasterTable[[#This Row],[Cost Of Sales]]</f>
        <v>-24602.300206889631</v>
      </c>
    </row>
    <row r="272" spans="1:5" x14ac:dyDescent="0.3">
      <c r="A272" s="2">
        <v>41908</v>
      </c>
      <c r="B272" s="3">
        <v>585463.99600736017</v>
      </c>
      <c r="C272" s="3">
        <v>625980.93020941468</v>
      </c>
      <c r="D272" s="3">
        <v>18036</v>
      </c>
      <c r="E272" s="3">
        <f>SalesMasterTable[[#This Row],[Sales]]-SalesMasterTable[[#This Row],[Cost Of Sales]]</f>
        <v>-40516.934202054515</v>
      </c>
    </row>
    <row r="273" spans="1:5" x14ac:dyDescent="0.3">
      <c r="A273" s="2">
        <v>41909</v>
      </c>
      <c r="B273" s="3">
        <v>617019.09153442062</v>
      </c>
      <c r="C273" s="3">
        <v>661010.59126386233</v>
      </c>
      <c r="D273" s="3">
        <v>19017</v>
      </c>
      <c r="E273" s="3">
        <f>SalesMasterTable[[#This Row],[Sales]]-SalesMasterTable[[#This Row],[Cost Of Sales]]</f>
        <v>-43991.499729441712</v>
      </c>
    </row>
    <row r="274" spans="1:5" x14ac:dyDescent="0.3">
      <c r="A274" s="2">
        <v>41910</v>
      </c>
      <c r="B274" s="3">
        <v>283850.59710549947</v>
      </c>
      <c r="C274" s="3">
        <v>304440.65150645463</v>
      </c>
      <c r="D274" s="3">
        <v>8747</v>
      </c>
      <c r="E274" s="3">
        <f>SalesMasterTable[[#This Row],[Sales]]-SalesMasterTable[[#This Row],[Cost Of Sales]]</f>
        <v>-20590.054400955152</v>
      </c>
    </row>
    <row r="275" spans="1:5" x14ac:dyDescent="0.3">
      <c r="A275" s="2">
        <v>41911</v>
      </c>
      <c r="B275" s="3">
        <v>264317.11036810582</v>
      </c>
      <c r="C275" s="3">
        <v>283912.96869744168</v>
      </c>
      <c r="D275" s="3">
        <v>8147</v>
      </c>
      <c r="E275" s="3">
        <f>SalesMasterTable[[#This Row],[Sales]]-SalesMasterTable[[#This Row],[Cost Of Sales]]</f>
        <v>-19595.858329335868</v>
      </c>
    </row>
    <row r="276" spans="1:5" x14ac:dyDescent="0.3">
      <c r="A276" s="2">
        <v>41912</v>
      </c>
      <c r="B276" s="3">
        <v>358024.98134882591</v>
      </c>
      <c r="C276" s="3">
        <v>384823.43987807218</v>
      </c>
      <c r="D276" s="3">
        <v>11036</v>
      </c>
      <c r="E276" s="3">
        <f>SalesMasterTable[[#This Row],[Sales]]-SalesMasterTable[[#This Row],[Cost Of Sales]]</f>
        <v>-26798.458529246273</v>
      </c>
    </row>
    <row r="277" spans="1:5" x14ac:dyDescent="0.3">
      <c r="A277" s="2">
        <v>41913</v>
      </c>
      <c r="B277" s="3">
        <v>594438.28078029968</v>
      </c>
      <c r="C277" s="3">
        <v>639306.56878246542</v>
      </c>
      <c r="D277" s="3">
        <v>18330</v>
      </c>
      <c r="E277" s="3">
        <f>SalesMasterTable[[#This Row],[Sales]]-SalesMasterTable[[#This Row],[Cost Of Sales]]</f>
        <v>-44868.288002165733</v>
      </c>
    </row>
    <row r="278" spans="1:5" x14ac:dyDescent="0.3">
      <c r="A278" s="2">
        <v>41914</v>
      </c>
      <c r="B278" s="3">
        <v>470507.66304443887</v>
      </c>
      <c r="C278" s="3">
        <v>506072.03334142908</v>
      </c>
      <c r="D278" s="3">
        <v>14503</v>
      </c>
      <c r="E278" s="3">
        <f>SalesMasterTable[[#This Row],[Sales]]-SalesMasterTable[[#This Row],[Cost Of Sales]]</f>
        <v>-35564.370296990208</v>
      </c>
    </row>
    <row r="279" spans="1:5" x14ac:dyDescent="0.3">
      <c r="A279" s="2">
        <v>41915</v>
      </c>
      <c r="B279" s="3">
        <v>518693.52866487252</v>
      </c>
      <c r="C279" s="3">
        <v>557939.36927636876</v>
      </c>
      <c r="D279" s="3">
        <v>15986</v>
      </c>
      <c r="E279" s="3">
        <f>SalesMasterTable[[#This Row],[Sales]]-SalesMasterTable[[#This Row],[Cost Of Sales]]</f>
        <v>-39245.840611496242</v>
      </c>
    </row>
    <row r="280" spans="1:5" x14ac:dyDescent="0.3">
      <c r="A280" s="2">
        <v>41916</v>
      </c>
      <c r="B280" s="3">
        <v>656245.82842866576</v>
      </c>
      <c r="C280" s="3">
        <v>705891.30026245222</v>
      </c>
      <c r="D280" s="3">
        <v>20223</v>
      </c>
      <c r="E280" s="3">
        <f>SalesMasterTable[[#This Row],[Sales]]-SalesMasterTable[[#This Row],[Cost Of Sales]]</f>
        <v>-49645.471833786462</v>
      </c>
    </row>
    <row r="281" spans="1:5" x14ac:dyDescent="0.3">
      <c r="A281" s="2">
        <v>41917</v>
      </c>
      <c r="B281" s="3">
        <v>280055.11771676323</v>
      </c>
      <c r="C281" s="3">
        <v>301279.65498243202</v>
      </c>
      <c r="D281" s="3">
        <v>8631</v>
      </c>
      <c r="E281" s="3">
        <f>SalesMasterTable[[#This Row],[Sales]]-SalesMasterTable[[#This Row],[Cost Of Sales]]</f>
        <v>-21224.537265668798</v>
      </c>
    </row>
    <row r="282" spans="1:5" x14ac:dyDescent="0.3">
      <c r="A282" s="2">
        <v>41918</v>
      </c>
      <c r="B282" s="3">
        <v>375648.0174559537</v>
      </c>
      <c r="C282" s="3">
        <v>404178.92105522793</v>
      </c>
      <c r="D282" s="3">
        <v>11579</v>
      </c>
      <c r="E282" s="3">
        <f>SalesMasterTable[[#This Row],[Sales]]-SalesMasterTable[[#This Row],[Cost Of Sales]]</f>
        <v>-28530.903599274228</v>
      </c>
    </row>
    <row r="283" spans="1:5" x14ac:dyDescent="0.3">
      <c r="A283" s="2">
        <v>41919</v>
      </c>
      <c r="B283" s="3">
        <v>78111.716463120727</v>
      </c>
      <c r="C283" s="3">
        <v>74251.874725965463</v>
      </c>
      <c r="D283" s="3">
        <v>2127</v>
      </c>
      <c r="E283" s="3">
        <f>SalesMasterTable[[#This Row],[Sales]]-SalesMasterTable[[#This Row],[Cost Of Sales]]</f>
        <v>3859.8417371552641</v>
      </c>
    </row>
    <row r="284" spans="1:5" x14ac:dyDescent="0.3">
      <c r="A284" s="2">
        <v>41920</v>
      </c>
      <c r="B284" s="3">
        <v>70509.132791540367</v>
      </c>
      <c r="C284" s="3">
        <v>67141.979629084031</v>
      </c>
      <c r="D284" s="3">
        <v>1923</v>
      </c>
      <c r="E284" s="3">
        <f>SalesMasterTable[[#This Row],[Sales]]-SalesMasterTable[[#This Row],[Cost Of Sales]]</f>
        <v>3367.1531624563358</v>
      </c>
    </row>
    <row r="285" spans="1:5" x14ac:dyDescent="0.3">
      <c r="A285" s="2">
        <v>41921</v>
      </c>
      <c r="B285" s="3">
        <v>103281.3110475721</v>
      </c>
      <c r="C285" s="3">
        <v>98065.939078450887</v>
      </c>
      <c r="D285" s="3">
        <v>2809</v>
      </c>
      <c r="E285" s="3">
        <f>SalesMasterTable[[#This Row],[Sales]]-SalesMasterTable[[#This Row],[Cost Of Sales]]</f>
        <v>5215.3719691212173</v>
      </c>
    </row>
    <row r="286" spans="1:5" x14ac:dyDescent="0.3">
      <c r="A286" s="2">
        <v>41922</v>
      </c>
      <c r="B286" s="3">
        <v>179841.43177972361</v>
      </c>
      <c r="C286" s="3">
        <v>170757.581177207</v>
      </c>
      <c r="D286" s="3">
        <v>4891</v>
      </c>
      <c r="E286" s="3">
        <f>SalesMasterTable[[#This Row],[Sales]]-SalesMasterTable[[#This Row],[Cost Of Sales]]</f>
        <v>9083.8506025166134</v>
      </c>
    </row>
    <row r="287" spans="1:5" x14ac:dyDescent="0.3">
      <c r="A287" s="2">
        <v>41923</v>
      </c>
      <c r="B287" s="3">
        <v>138038.23975289491</v>
      </c>
      <c r="C287" s="3">
        <v>131192.31677147359</v>
      </c>
      <c r="D287" s="3">
        <v>3758</v>
      </c>
      <c r="E287" s="3">
        <f>SalesMasterTable[[#This Row],[Sales]]-SalesMasterTable[[#This Row],[Cost Of Sales]]</f>
        <v>6845.9229814213177</v>
      </c>
    </row>
    <row r="288" spans="1:5" x14ac:dyDescent="0.3">
      <c r="A288" s="2">
        <v>41924</v>
      </c>
      <c r="B288" s="3">
        <v>61037.562229970368</v>
      </c>
      <c r="C288" s="3">
        <v>57992.341511187689</v>
      </c>
      <c r="D288" s="3">
        <v>1661</v>
      </c>
      <c r="E288" s="3">
        <f>SalesMasterTable[[#This Row],[Sales]]-SalesMasterTable[[#This Row],[Cost Of Sales]]</f>
        <v>3045.2207187826789</v>
      </c>
    </row>
    <row r="289" spans="1:5" x14ac:dyDescent="0.3">
      <c r="A289" s="2">
        <v>41925</v>
      </c>
      <c r="B289" s="3">
        <v>86799.759454041719</v>
      </c>
      <c r="C289" s="3">
        <v>82392.333264616391</v>
      </c>
      <c r="D289" s="3">
        <v>2360</v>
      </c>
      <c r="E289" s="3">
        <f>SalesMasterTable[[#This Row],[Sales]]-SalesMasterTable[[#This Row],[Cost Of Sales]]</f>
        <v>4407.4261894253286</v>
      </c>
    </row>
    <row r="290" spans="1:5" x14ac:dyDescent="0.3">
      <c r="A290" s="2">
        <v>41926</v>
      </c>
      <c r="B290" s="3">
        <v>69570.501466700734</v>
      </c>
      <c r="C290" s="3">
        <v>66313.940979270206</v>
      </c>
      <c r="D290" s="3">
        <v>1894</v>
      </c>
      <c r="E290" s="3">
        <f>SalesMasterTable[[#This Row],[Sales]]-SalesMasterTable[[#This Row],[Cost Of Sales]]</f>
        <v>3256.5604874305282</v>
      </c>
    </row>
    <row r="291" spans="1:5" x14ac:dyDescent="0.3">
      <c r="A291" s="2">
        <v>41927</v>
      </c>
      <c r="B291" s="3">
        <v>130476.35534524239</v>
      </c>
      <c r="C291" s="3">
        <v>124398.43162958849</v>
      </c>
      <c r="D291" s="3">
        <v>3548</v>
      </c>
      <c r="E291" s="3">
        <f>SalesMasterTable[[#This Row],[Sales]]-SalesMasterTable[[#This Row],[Cost Of Sales]]</f>
        <v>6077.923715653902</v>
      </c>
    </row>
    <row r="292" spans="1:5" x14ac:dyDescent="0.3">
      <c r="A292" s="2">
        <v>41928</v>
      </c>
      <c r="B292" s="3">
        <v>95229.773480081218</v>
      </c>
      <c r="C292" s="3">
        <v>91087.851335542873</v>
      </c>
      <c r="D292" s="3">
        <v>2591</v>
      </c>
      <c r="E292" s="3">
        <f>SalesMasterTable[[#This Row],[Sales]]-SalesMasterTable[[#This Row],[Cost Of Sales]]</f>
        <v>4141.9221445383446</v>
      </c>
    </row>
    <row r="293" spans="1:5" x14ac:dyDescent="0.3">
      <c r="A293" s="2">
        <v>41929</v>
      </c>
      <c r="B293" s="3">
        <v>121057.86128350309</v>
      </c>
      <c r="C293" s="3">
        <v>116949.7912742107</v>
      </c>
      <c r="D293" s="3">
        <v>3293</v>
      </c>
      <c r="E293" s="3">
        <f>SalesMasterTable[[#This Row],[Sales]]-SalesMasterTable[[#This Row],[Cost Of Sales]]</f>
        <v>4108.0700092923944</v>
      </c>
    </row>
    <row r="294" spans="1:5" x14ac:dyDescent="0.3">
      <c r="A294" s="2">
        <v>41930</v>
      </c>
      <c r="B294" s="3">
        <v>169498.9163853249</v>
      </c>
      <c r="C294" s="3">
        <v>164492.94663284859</v>
      </c>
      <c r="D294" s="3">
        <v>4611</v>
      </c>
      <c r="E294" s="3">
        <f>SalesMasterTable[[#This Row],[Sales]]-SalesMasterTable[[#This Row],[Cost Of Sales]]</f>
        <v>5005.9697524763178</v>
      </c>
    </row>
    <row r="295" spans="1:5" x14ac:dyDescent="0.3">
      <c r="A295" s="2">
        <v>41931</v>
      </c>
      <c r="B295" s="3">
        <v>90692.375875501952</v>
      </c>
      <c r="C295" s="3">
        <v>87911.211583205484</v>
      </c>
      <c r="D295" s="3">
        <v>2468</v>
      </c>
      <c r="E295" s="3">
        <f>SalesMasterTable[[#This Row],[Sales]]-SalesMasterTable[[#This Row],[Cost Of Sales]]</f>
        <v>2781.1642922964675</v>
      </c>
    </row>
    <row r="296" spans="1:5" x14ac:dyDescent="0.3">
      <c r="A296" s="2">
        <v>41932</v>
      </c>
      <c r="B296" s="3">
        <v>101723.9150040923</v>
      </c>
      <c r="C296" s="3">
        <v>98870.811877197717</v>
      </c>
      <c r="D296" s="3">
        <v>2773</v>
      </c>
      <c r="E296" s="3">
        <f>SalesMasterTable[[#This Row],[Sales]]-SalesMasterTable[[#This Row],[Cost Of Sales]]</f>
        <v>2853.1031268945808</v>
      </c>
    </row>
    <row r="297" spans="1:5" x14ac:dyDescent="0.3">
      <c r="A297" s="2">
        <v>41933</v>
      </c>
      <c r="B297" s="3">
        <v>103395.6912687424</v>
      </c>
      <c r="C297" s="3">
        <v>100424.1557433229</v>
      </c>
      <c r="D297" s="3">
        <v>2815</v>
      </c>
      <c r="E297" s="3">
        <f>SalesMasterTable[[#This Row],[Sales]]-SalesMasterTable[[#This Row],[Cost Of Sales]]</f>
        <v>2971.5355254195019</v>
      </c>
    </row>
    <row r="298" spans="1:5" x14ac:dyDescent="0.3">
      <c r="A298" s="2">
        <v>41934</v>
      </c>
      <c r="B298" s="3">
        <v>99075.599096021819</v>
      </c>
      <c r="C298" s="3">
        <v>96511.722157538141</v>
      </c>
      <c r="D298" s="3">
        <v>2701</v>
      </c>
      <c r="E298" s="3">
        <f>SalesMasterTable[[#This Row],[Sales]]-SalesMasterTable[[#This Row],[Cost Of Sales]]</f>
        <v>2563.8769384836778</v>
      </c>
    </row>
    <row r="299" spans="1:5" x14ac:dyDescent="0.3">
      <c r="A299" s="2">
        <v>41935</v>
      </c>
      <c r="B299" s="3">
        <v>97476.144719572068</v>
      </c>
      <c r="C299" s="3">
        <v>94763.842548765941</v>
      </c>
      <c r="D299" s="3">
        <v>2651</v>
      </c>
      <c r="E299" s="3">
        <f>SalesMasterTable[[#This Row],[Sales]]-SalesMasterTable[[#This Row],[Cost Of Sales]]</f>
        <v>2712.3021708061278</v>
      </c>
    </row>
    <row r="300" spans="1:5" x14ac:dyDescent="0.3">
      <c r="A300" s="2">
        <v>41936</v>
      </c>
      <c r="B300" s="3">
        <v>248974.65278279639</v>
      </c>
      <c r="C300" s="3">
        <v>241961.14324530261</v>
      </c>
      <c r="D300" s="3">
        <v>6781</v>
      </c>
      <c r="E300" s="3">
        <f>SalesMasterTable[[#This Row],[Sales]]-SalesMasterTable[[#This Row],[Cost Of Sales]]</f>
        <v>7013.509537493781</v>
      </c>
    </row>
    <row r="301" spans="1:5" x14ac:dyDescent="0.3">
      <c r="A301" s="2">
        <v>41937</v>
      </c>
      <c r="B301" s="3">
        <v>302721.68330040033</v>
      </c>
      <c r="C301" s="3">
        <v>294129.67112311861</v>
      </c>
      <c r="D301" s="3">
        <v>8249</v>
      </c>
      <c r="E301" s="3">
        <f>SalesMasterTable[[#This Row],[Sales]]-SalesMasterTable[[#This Row],[Cost Of Sales]]</f>
        <v>8592.012177281722</v>
      </c>
    </row>
    <row r="302" spans="1:5" x14ac:dyDescent="0.3">
      <c r="A302" s="2">
        <v>41938</v>
      </c>
      <c r="B302" s="3">
        <v>128520.72780395371</v>
      </c>
      <c r="C302" s="3">
        <v>124739.23394868799</v>
      </c>
      <c r="D302" s="3">
        <v>3502</v>
      </c>
      <c r="E302" s="3">
        <f>SalesMasterTable[[#This Row],[Sales]]-SalesMasterTable[[#This Row],[Cost Of Sales]]</f>
        <v>3781.4938552657113</v>
      </c>
    </row>
    <row r="303" spans="1:5" x14ac:dyDescent="0.3">
      <c r="A303" s="2">
        <v>41939</v>
      </c>
      <c r="B303" s="3">
        <v>145185.2683360849</v>
      </c>
      <c r="C303" s="3">
        <v>140651.93717842031</v>
      </c>
      <c r="D303" s="3">
        <v>3949</v>
      </c>
      <c r="E303" s="3">
        <f>SalesMasterTable[[#This Row],[Sales]]-SalesMasterTable[[#This Row],[Cost Of Sales]]</f>
        <v>4533.3311576645938</v>
      </c>
    </row>
    <row r="304" spans="1:5" x14ac:dyDescent="0.3">
      <c r="A304" s="2">
        <v>41940</v>
      </c>
      <c r="B304" s="3">
        <v>89527.556631861706</v>
      </c>
      <c r="C304" s="3">
        <v>87067.05131891428</v>
      </c>
      <c r="D304" s="3">
        <v>2435</v>
      </c>
      <c r="E304" s="3">
        <f>SalesMasterTable[[#This Row],[Sales]]-SalesMasterTable[[#This Row],[Cost Of Sales]]</f>
        <v>2460.5053129474254</v>
      </c>
    </row>
    <row r="305" spans="1:5" x14ac:dyDescent="0.3">
      <c r="A305" s="2">
        <v>41941</v>
      </c>
      <c r="B305" s="3">
        <v>81991.88284141109</v>
      </c>
      <c r="C305" s="3">
        <v>80112.54801498825</v>
      </c>
      <c r="D305" s="3">
        <v>2232</v>
      </c>
      <c r="E305" s="3">
        <f>SalesMasterTable[[#This Row],[Sales]]-SalesMasterTable[[#This Row],[Cost Of Sales]]</f>
        <v>1879.3348264228407</v>
      </c>
    </row>
    <row r="306" spans="1:5" x14ac:dyDescent="0.3">
      <c r="A306" s="2">
        <v>41942</v>
      </c>
      <c r="B306" s="3">
        <v>69704.491112590491</v>
      </c>
      <c r="C306" s="3">
        <v>68293.096389796119</v>
      </c>
      <c r="D306" s="3">
        <v>1898</v>
      </c>
      <c r="E306" s="3">
        <f>SalesMasterTable[[#This Row],[Sales]]-SalesMasterTable[[#This Row],[Cost Of Sales]]</f>
        <v>1411.3947227943718</v>
      </c>
    </row>
    <row r="307" spans="1:5" x14ac:dyDescent="0.3">
      <c r="A307" s="2">
        <v>41943</v>
      </c>
      <c r="B307" s="3">
        <v>166652.39481922361</v>
      </c>
      <c r="C307" s="3">
        <v>163319.71647067659</v>
      </c>
      <c r="D307" s="3">
        <v>4537</v>
      </c>
      <c r="E307" s="3">
        <f>SalesMasterTable[[#This Row],[Sales]]-SalesMasterTable[[#This Row],[Cost Of Sales]]</f>
        <v>3332.6783485470223</v>
      </c>
    </row>
    <row r="308" spans="1:5" x14ac:dyDescent="0.3">
      <c r="A308" s="2">
        <v>41944</v>
      </c>
      <c r="B308" s="3">
        <v>247453.10218524761</v>
      </c>
      <c r="C308" s="3">
        <v>242638.80119746839</v>
      </c>
      <c r="D308" s="3">
        <v>6730</v>
      </c>
      <c r="E308" s="3">
        <f>SalesMasterTable[[#This Row],[Sales]]-SalesMasterTable[[#This Row],[Cost Of Sales]]</f>
        <v>4814.300987779221</v>
      </c>
    </row>
    <row r="309" spans="1:5" x14ac:dyDescent="0.3">
      <c r="A309" s="2">
        <v>41945</v>
      </c>
      <c r="B309" s="3">
        <v>148476.18120917489</v>
      </c>
      <c r="C309" s="3">
        <v>145646.33680169421</v>
      </c>
      <c r="D309" s="3">
        <v>4038</v>
      </c>
      <c r="E309" s="3">
        <f>SalesMasterTable[[#This Row],[Sales]]-SalesMasterTable[[#This Row],[Cost Of Sales]]</f>
        <v>2829.8444074806757</v>
      </c>
    </row>
    <row r="310" spans="1:5" x14ac:dyDescent="0.3">
      <c r="A310" s="2">
        <v>41946</v>
      </c>
      <c r="B310" s="3">
        <v>205368.92263440121</v>
      </c>
      <c r="C310" s="3">
        <v>201281.239025563</v>
      </c>
      <c r="D310" s="3">
        <v>5581</v>
      </c>
      <c r="E310" s="3">
        <f>SalesMasterTable[[#This Row],[Sales]]-SalesMasterTable[[#This Row],[Cost Of Sales]]</f>
        <v>4087.6836088382115</v>
      </c>
    </row>
    <row r="311" spans="1:5" x14ac:dyDescent="0.3">
      <c r="A311" s="2">
        <v>41947</v>
      </c>
      <c r="B311" s="3">
        <v>99244.681846049149</v>
      </c>
      <c r="C311" s="3">
        <v>90949.442252201086</v>
      </c>
      <c r="D311" s="3">
        <v>2519</v>
      </c>
      <c r="E311" s="3">
        <f>SalesMasterTable[[#This Row],[Sales]]-SalesMasterTable[[#This Row],[Cost Of Sales]]</f>
        <v>8295.2395938480622</v>
      </c>
    </row>
    <row r="312" spans="1:5" x14ac:dyDescent="0.3">
      <c r="A312" s="2">
        <v>41948</v>
      </c>
      <c r="B312" s="3">
        <v>72756.863100070492</v>
      </c>
      <c r="C312" s="3">
        <v>67872.774326885235</v>
      </c>
      <c r="D312" s="3">
        <v>1847</v>
      </c>
      <c r="E312" s="3">
        <f>SalesMasterTable[[#This Row],[Sales]]-SalesMasterTable[[#This Row],[Cost Of Sales]]</f>
        <v>4884.0887731852563</v>
      </c>
    </row>
    <row r="313" spans="1:5" x14ac:dyDescent="0.3">
      <c r="A313" s="2">
        <v>41949</v>
      </c>
      <c r="B313" s="3">
        <v>86867.458080595141</v>
      </c>
      <c r="C313" s="3">
        <v>84486.086086063602</v>
      </c>
      <c r="D313" s="3">
        <v>2309</v>
      </c>
      <c r="E313" s="3">
        <f>SalesMasterTable[[#This Row],[Sales]]-SalesMasterTable[[#This Row],[Cost Of Sales]]</f>
        <v>2381.3719945315388</v>
      </c>
    </row>
    <row r="314" spans="1:5" x14ac:dyDescent="0.3">
      <c r="A314" s="2">
        <v>41950</v>
      </c>
      <c r="B314" s="3">
        <v>140167.80386220521</v>
      </c>
      <c r="C314" s="3">
        <v>136539.20329644671</v>
      </c>
      <c r="D314" s="3">
        <v>3722</v>
      </c>
      <c r="E314" s="3">
        <f>SalesMasterTable[[#This Row],[Sales]]-SalesMasterTable[[#This Row],[Cost Of Sales]]</f>
        <v>3628.6005657585047</v>
      </c>
    </row>
    <row r="315" spans="1:5" x14ac:dyDescent="0.3">
      <c r="A315" s="2">
        <v>41951</v>
      </c>
      <c r="B315" s="3">
        <v>160727.30278297889</v>
      </c>
      <c r="C315" s="3">
        <v>156700.82499573231</v>
      </c>
      <c r="D315" s="3">
        <v>4268</v>
      </c>
      <c r="E315" s="3">
        <f>SalesMasterTable[[#This Row],[Sales]]-SalesMasterTable[[#This Row],[Cost Of Sales]]</f>
        <v>4026.4777872465784</v>
      </c>
    </row>
    <row r="316" spans="1:5" x14ac:dyDescent="0.3">
      <c r="A316" s="2">
        <v>41952</v>
      </c>
      <c r="B316" s="3">
        <v>74115.62877644549</v>
      </c>
      <c r="C316" s="3">
        <v>71994.346393653148</v>
      </c>
      <c r="D316" s="3">
        <v>1968</v>
      </c>
      <c r="E316" s="3">
        <f>SalesMasterTable[[#This Row],[Sales]]-SalesMasterTable[[#This Row],[Cost Of Sales]]</f>
        <v>2121.2823827923421</v>
      </c>
    </row>
    <row r="317" spans="1:5" x14ac:dyDescent="0.3">
      <c r="A317" s="2">
        <v>41953</v>
      </c>
      <c r="B317" s="3">
        <v>76103.291516535493</v>
      </c>
      <c r="C317" s="3">
        <v>73967.60569443136</v>
      </c>
      <c r="D317" s="3">
        <v>2016</v>
      </c>
      <c r="E317" s="3">
        <f>SalesMasterTable[[#This Row],[Sales]]-SalesMasterTable[[#This Row],[Cost Of Sales]]</f>
        <v>2135.685822104133</v>
      </c>
    </row>
    <row r="318" spans="1:5" x14ac:dyDescent="0.3">
      <c r="A318" s="2">
        <v>41954</v>
      </c>
      <c r="B318" s="3">
        <v>56303.366574580366</v>
      </c>
      <c r="C318" s="3">
        <v>54996.866607590731</v>
      </c>
      <c r="D318" s="3">
        <v>1497</v>
      </c>
      <c r="E318" s="3">
        <f>SalesMasterTable[[#This Row],[Sales]]-SalesMasterTable[[#This Row],[Cost Of Sales]]</f>
        <v>1306.4999669896351</v>
      </c>
    </row>
    <row r="319" spans="1:5" x14ac:dyDescent="0.3">
      <c r="A319" s="2">
        <v>41955</v>
      </c>
      <c r="B319" s="3">
        <v>49436.815864520373</v>
      </c>
      <c r="C319" s="3">
        <v>48289.892276094753</v>
      </c>
      <c r="D319" s="3">
        <v>1314</v>
      </c>
      <c r="E319" s="3">
        <f>SalesMasterTable[[#This Row],[Sales]]-SalesMasterTable[[#This Row],[Cost Of Sales]]</f>
        <v>1146.9235884256195</v>
      </c>
    </row>
    <row r="320" spans="1:5" x14ac:dyDescent="0.3">
      <c r="A320" s="2">
        <v>41956</v>
      </c>
      <c r="B320" s="3">
        <v>55033.122403980371</v>
      </c>
      <c r="C320" s="3">
        <v>53997.218873107588</v>
      </c>
      <c r="D320" s="3">
        <v>1466</v>
      </c>
      <c r="E320" s="3">
        <f>SalesMasterTable[[#This Row],[Sales]]-SalesMasterTable[[#This Row],[Cost Of Sales]]</f>
        <v>1035.9035308727834</v>
      </c>
    </row>
    <row r="321" spans="1:5" x14ac:dyDescent="0.3">
      <c r="A321" s="2">
        <v>41957</v>
      </c>
      <c r="B321" s="3">
        <v>149808.16594472641</v>
      </c>
      <c r="C321" s="3">
        <v>146994.89550113151</v>
      </c>
      <c r="D321" s="3">
        <v>3984</v>
      </c>
      <c r="E321" s="3">
        <f>SalesMasterTable[[#This Row],[Sales]]-SalesMasterTable[[#This Row],[Cost Of Sales]]</f>
        <v>2813.2704435948981</v>
      </c>
    </row>
    <row r="322" spans="1:5" x14ac:dyDescent="0.3">
      <c r="A322" s="2">
        <v>41958</v>
      </c>
      <c r="B322" s="3">
        <v>180685.51072991031</v>
      </c>
      <c r="C322" s="3">
        <v>176898.27782037071</v>
      </c>
      <c r="D322" s="3">
        <v>4802</v>
      </c>
      <c r="E322" s="3">
        <f>SalesMasterTable[[#This Row],[Sales]]-SalesMasterTable[[#This Row],[Cost Of Sales]]</f>
        <v>3787.232909539598</v>
      </c>
    </row>
    <row r="323" spans="1:5" x14ac:dyDescent="0.3">
      <c r="A323" s="2">
        <v>41959</v>
      </c>
      <c r="B323" s="3">
        <v>75871.436765220482</v>
      </c>
      <c r="C323" s="3">
        <v>73905.810158820022</v>
      </c>
      <c r="D323" s="3">
        <v>2017</v>
      </c>
      <c r="E323" s="3">
        <f>SalesMasterTable[[#This Row],[Sales]]-SalesMasterTable[[#This Row],[Cost Of Sales]]</f>
        <v>1965.6266064004594</v>
      </c>
    </row>
    <row r="324" spans="1:5" x14ac:dyDescent="0.3">
      <c r="A324" s="2">
        <v>41960</v>
      </c>
      <c r="B324" s="3">
        <v>86313.334083170121</v>
      </c>
      <c r="C324" s="3">
        <v>84418.78910931063</v>
      </c>
      <c r="D324" s="3">
        <v>2297</v>
      </c>
      <c r="E324" s="3">
        <f>SalesMasterTable[[#This Row],[Sales]]-SalesMasterTable[[#This Row],[Cost Of Sales]]</f>
        <v>1894.5449738594907</v>
      </c>
    </row>
    <row r="325" spans="1:5" x14ac:dyDescent="0.3">
      <c r="A325" s="2">
        <v>41961</v>
      </c>
      <c r="B325" s="3">
        <v>62631.798752070368</v>
      </c>
      <c r="C325" s="3">
        <v>61158.361090192768</v>
      </c>
      <c r="D325" s="3">
        <v>1665</v>
      </c>
      <c r="E325" s="3">
        <f>SalesMasterTable[[#This Row],[Sales]]-SalesMasterTable[[#This Row],[Cost Of Sales]]</f>
        <v>1473.4376618776005</v>
      </c>
    </row>
    <row r="326" spans="1:5" x14ac:dyDescent="0.3">
      <c r="A326" s="2">
        <v>41962</v>
      </c>
      <c r="B326" s="3">
        <v>48529.103360340247</v>
      </c>
      <c r="C326" s="3">
        <v>47409.554056467168</v>
      </c>
      <c r="D326" s="3">
        <v>1291</v>
      </c>
      <c r="E326" s="3">
        <f>SalesMasterTable[[#This Row],[Sales]]-SalesMasterTable[[#This Row],[Cost Of Sales]]</f>
        <v>1119.5493038730783</v>
      </c>
    </row>
    <row r="327" spans="1:5" x14ac:dyDescent="0.3">
      <c r="A327" s="2">
        <v>41963</v>
      </c>
      <c r="B327" s="3">
        <v>51040.881368070251</v>
      </c>
      <c r="C327" s="3">
        <v>50038.142634161093</v>
      </c>
      <c r="D327" s="3">
        <v>1361</v>
      </c>
      <c r="E327" s="3">
        <f>SalesMasterTable[[#This Row],[Sales]]-SalesMasterTable[[#This Row],[Cost Of Sales]]</f>
        <v>1002.7387339091583</v>
      </c>
    </row>
    <row r="328" spans="1:5" x14ac:dyDescent="0.3">
      <c r="A328" s="2">
        <v>41964</v>
      </c>
      <c r="B328" s="3">
        <v>53973.922240020001</v>
      </c>
      <c r="C328" s="3">
        <v>47192.498284101879</v>
      </c>
      <c r="D328" s="3">
        <v>1281</v>
      </c>
      <c r="E328" s="3">
        <f>SalesMasterTable[[#This Row],[Sales]]-SalesMasterTable[[#This Row],[Cost Of Sales]]</f>
        <v>6781.4239559181224</v>
      </c>
    </row>
    <row r="329" spans="1:5" x14ac:dyDescent="0.3">
      <c r="A329" s="2">
        <v>41965</v>
      </c>
      <c r="B329" s="3">
        <v>47497.982533509879</v>
      </c>
      <c r="C329" s="3">
        <v>41179.088245459163</v>
      </c>
      <c r="D329" s="3">
        <v>1122</v>
      </c>
      <c r="E329" s="3">
        <f>SalesMasterTable[[#This Row],[Sales]]-SalesMasterTable[[#This Row],[Cost Of Sales]]</f>
        <v>6318.8942880507166</v>
      </c>
    </row>
    <row r="330" spans="1:5" x14ac:dyDescent="0.3">
      <c r="A330" s="2">
        <v>41966</v>
      </c>
      <c r="B330" s="3">
        <v>31219.951528719881</v>
      </c>
      <c r="C330" s="3">
        <v>26893.304677301021</v>
      </c>
      <c r="D330" s="3">
        <v>737</v>
      </c>
      <c r="E330" s="3">
        <f>SalesMasterTable[[#This Row],[Sales]]-SalesMasterTable[[#This Row],[Cost Of Sales]]</f>
        <v>4326.64685141886</v>
      </c>
    </row>
    <row r="331" spans="1:5" x14ac:dyDescent="0.3">
      <c r="A331" s="2">
        <v>41967</v>
      </c>
      <c r="B331" s="3">
        <v>26870.323873469999</v>
      </c>
      <c r="C331" s="3">
        <v>23516.041718095501</v>
      </c>
      <c r="D331" s="3">
        <v>641</v>
      </c>
      <c r="E331" s="3">
        <f>SalesMasterTable[[#This Row],[Sales]]-SalesMasterTable[[#This Row],[Cost Of Sales]]</f>
        <v>3354.282155374498</v>
      </c>
    </row>
    <row r="332" spans="1:5" x14ac:dyDescent="0.3">
      <c r="A332" s="2">
        <v>41968</v>
      </c>
      <c r="B332" s="3">
        <v>40530.642292680008</v>
      </c>
      <c r="C332" s="3">
        <v>35674.190763166298</v>
      </c>
      <c r="D332" s="3">
        <v>968</v>
      </c>
      <c r="E332" s="3">
        <f>SalesMasterTable[[#This Row],[Sales]]-SalesMasterTable[[#This Row],[Cost Of Sales]]</f>
        <v>4856.4515295137098</v>
      </c>
    </row>
    <row r="333" spans="1:5" x14ac:dyDescent="0.3">
      <c r="A333" s="2">
        <v>41969</v>
      </c>
      <c r="B333" s="3">
        <v>30371.431335049881</v>
      </c>
      <c r="C333" s="3">
        <v>26054.849168281438</v>
      </c>
      <c r="D333" s="3">
        <v>709</v>
      </c>
      <c r="E333" s="3">
        <f>SalesMasterTable[[#This Row],[Sales]]-SalesMasterTable[[#This Row],[Cost Of Sales]]</f>
        <v>4316.5821667684431</v>
      </c>
    </row>
    <row r="334" spans="1:5" x14ac:dyDescent="0.3">
      <c r="A334" s="2">
        <v>41970</v>
      </c>
      <c r="B334" s="3">
        <v>37776.658766749882</v>
      </c>
      <c r="C334" s="3">
        <v>32719.689636421641</v>
      </c>
      <c r="D334" s="3">
        <v>880</v>
      </c>
      <c r="E334" s="3">
        <f>SalesMasterTable[[#This Row],[Sales]]-SalesMasterTable[[#This Row],[Cost Of Sales]]</f>
        <v>5056.9691303282416</v>
      </c>
    </row>
    <row r="335" spans="1:5" x14ac:dyDescent="0.3">
      <c r="A335" s="2">
        <v>41971</v>
      </c>
      <c r="B335" s="3">
        <v>46818.205322610003</v>
      </c>
      <c r="C335" s="3">
        <v>40652.576408851382</v>
      </c>
      <c r="D335" s="3">
        <v>1096</v>
      </c>
      <c r="E335" s="3">
        <f>SalesMasterTable[[#This Row],[Sales]]-SalesMasterTable[[#This Row],[Cost Of Sales]]</f>
        <v>6165.6289137586209</v>
      </c>
    </row>
    <row r="336" spans="1:5" x14ac:dyDescent="0.3">
      <c r="A336" s="2">
        <v>41972</v>
      </c>
      <c r="B336" s="3">
        <v>88321.625549760734</v>
      </c>
      <c r="C336" s="3">
        <v>79880.243682936474</v>
      </c>
      <c r="D336" s="3">
        <v>2068</v>
      </c>
      <c r="E336" s="3">
        <f>SalesMasterTable[[#This Row],[Sales]]-SalesMasterTable[[#This Row],[Cost Of Sales]]</f>
        <v>8441.3818668242602</v>
      </c>
    </row>
    <row r="337" spans="1:5" x14ac:dyDescent="0.3">
      <c r="A337" s="2">
        <v>41973</v>
      </c>
      <c r="B337" s="3">
        <v>101037.8278297916</v>
      </c>
      <c r="C337" s="3">
        <v>93177.884704390279</v>
      </c>
      <c r="D337" s="3">
        <v>2375</v>
      </c>
      <c r="E337" s="3">
        <f>SalesMasterTable[[#This Row],[Sales]]-SalesMasterTable[[#This Row],[Cost Of Sales]]</f>
        <v>7859.943125401318</v>
      </c>
    </row>
    <row r="338" spans="1:5" x14ac:dyDescent="0.3">
      <c r="A338" s="2">
        <v>41974</v>
      </c>
      <c r="B338" s="3">
        <v>105100.6676485115</v>
      </c>
      <c r="C338" s="3">
        <v>97257.394665729371</v>
      </c>
      <c r="D338" s="3">
        <v>2492</v>
      </c>
      <c r="E338" s="3">
        <f>SalesMasterTable[[#This Row],[Sales]]-SalesMasterTable[[#This Row],[Cost Of Sales]]</f>
        <v>7843.2729827821313</v>
      </c>
    </row>
    <row r="339" spans="1:5" x14ac:dyDescent="0.3">
      <c r="A339" s="2">
        <v>41975</v>
      </c>
      <c r="B339" s="3">
        <v>88219.52548812989</v>
      </c>
      <c r="C339" s="3">
        <v>85533.428923318512</v>
      </c>
      <c r="D339" s="3">
        <v>2170</v>
      </c>
      <c r="E339" s="3">
        <f>SalesMasterTable[[#This Row],[Sales]]-SalesMasterTable[[#This Row],[Cost Of Sales]]</f>
        <v>2686.0965648113779</v>
      </c>
    </row>
    <row r="340" spans="1:5" x14ac:dyDescent="0.3">
      <c r="A340" s="2">
        <v>41976</v>
      </c>
      <c r="B340" s="3">
        <v>71590.369289220369</v>
      </c>
      <c r="C340" s="3">
        <v>69654.93030590401</v>
      </c>
      <c r="D340" s="3">
        <v>1784</v>
      </c>
      <c r="E340" s="3">
        <f>SalesMasterTable[[#This Row],[Sales]]-SalesMasterTable[[#This Row],[Cost Of Sales]]</f>
        <v>1935.4389833163586</v>
      </c>
    </row>
    <row r="341" spans="1:5" x14ac:dyDescent="0.3">
      <c r="A341" s="2">
        <v>41977</v>
      </c>
      <c r="B341" s="3">
        <v>54996.621692620247</v>
      </c>
      <c r="C341" s="3">
        <v>54503.02854750456</v>
      </c>
      <c r="D341" s="3">
        <v>1368</v>
      </c>
      <c r="E341" s="3">
        <f>SalesMasterTable[[#This Row],[Sales]]-SalesMasterTable[[#This Row],[Cost Of Sales]]</f>
        <v>493.59314511568664</v>
      </c>
    </row>
    <row r="342" spans="1:5" x14ac:dyDescent="0.3">
      <c r="A342" s="2">
        <v>41978</v>
      </c>
      <c r="B342" s="3">
        <v>77884.181609825493</v>
      </c>
      <c r="C342" s="3">
        <v>77619.29488939041</v>
      </c>
      <c r="D342" s="3">
        <v>1914</v>
      </c>
      <c r="E342" s="3">
        <f>SalesMasterTable[[#This Row],[Sales]]-SalesMasterTable[[#This Row],[Cost Of Sales]]</f>
        <v>264.88672043508268</v>
      </c>
    </row>
    <row r="343" spans="1:5" x14ac:dyDescent="0.3">
      <c r="A343" s="2">
        <v>41979</v>
      </c>
      <c r="B343" s="3">
        <v>150370.11672367639</v>
      </c>
      <c r="C343" s="3">
        <v>154998.83458187681</v>
      </c>
      <c r="D343" s="3">
        <v>3765</v>
      </c>
      <c r="E343" s="3">
        <f>SalesMasterTable[[#This Row],[Sales]]-SalesMasterTable[[#This Row],[Cost Of Sales]]</f>
        <v>-4628.7178582004271</v>
      </c>
    </row>
    <row r="344" spans="1:5" x14ac:dyDescent="0.3">
      <c r="A344" s="2">
        <v>41980</v>
      </c>
      <c r="B344" s="3">
        <v>104675.37611534919</v>
      </c>
      <c r="C344" s="3">
        <v>111903.7379024793</v>
      </c>
      <c r="D344" s="3">
        <v>2712</v>
      </c>
      <c r="E344" s="3">
        <f>SalesMasterTable[[#This Row],[Sales]]-SalesMasterTable[[#This Row],[Cost Of Sales]]</f>
        <v>-7228.3617871301103</v>
      </c>
    </row>
    <row r="345" spans="1:5" x14ac:dyDescent="0.3">
      <c r="A345" s="2">
        <v>41981</v>
      </c>
      <c r="B345" s="3">
        <v>90121.530475064763</v>
      </c>
      <c r="C345" s="3">
        <v>91081.66819408616</v>
      </c>
      <c r="D345" s="3">
        <v>2222</v>
      </c>
      <c r="E345" s="3">
        <f>SalesMasterTable[[#This Row],[Sales]]-SalesMasterTable[[#This Row],[Cost Of Sales]]</f>
        <v>-960.13771902139706</v>
      </c>
    </row>
    <row r="346" spans="1:5" x14ac:dyDescent="0.3">
      <c r="A346" s="2">
        <v>41982</v>
      </c>
      <c r="B346" s="3">
        <v>75425.443698290488</v>
      </c>
      <c r="C346" s="3">
        <v>77014.255960305571</v>
      </c>
      <c r="D346" s="3">
        <v>1861</v>
      </c>
      <c r="E346" s="3">
        <f>SalesMasterTable[[#This Row],[Sales]]-SalesMasterTable[[#This Row],[Cost Of Sales]]</f>
        <v>-1588.8122620150825</v>
      </c>
    </row>
    <row r="347" spans="1:5" x14ac:dyDescent="0.3">
      <c r="A347" s="2">
        <v>41983</v>
      </c>
      <c r="B347" s="3">
        <v>161844.8094356737</v>
      </c>
      <c r="C347" s="3">
        <v>169348.5185848648</v>
      </c>
      <c r="D347" s="3">
        <v>4095</v>
      </c>
      <c r="E347" s="3">
        <f>SalesMasterTable[[#This Row],[Sales]]-SalesMasterTable[[#This Row],[Cost Of Sales]]</f>
        <v>-7503.7091491910978</v>
      </c>
    </row>
    <row r="348" spans="1:5" x14ac:dyDescent="0.3">
      <c r="A348" s="2">
        <v>41984</v>
      </c>
      <c r="B348" s="3">
        <v>158603.35696800359</v>
      </c>
      <c r="C348" s="3">
        <v>171692.99360653351</v>
      </c>
      <c r="D348" s="3">
        <v>4157</v>
      </c>
      <c r="E348" s="3">
        <f>SalesMasterTable[[#This Row],[Sales]]-SalesMasterTable[[#This Row],[Cost Of Sales]]</f>
        <v>-13089.636638529919</v>
      </c>
    </row>
    <row r="349" spans="1:5" x14ac:dyDescent="0.3">
      <c r="A349" s="2">
        <v>41985</v>
      </c>
      <c r="B349" s="3">
        <v>279092.09595645021</v>
      </c>
      <c r="C349" s="3">
        <v>301236.10987981001</v>
      </c>
      <c r="D349" s="3">
        <v>7259</v>
      </c>
      <c r="E349" s="3">
        <f>SalesMasterTable[[#This Row],[Sales]]-SalesMasterTable[[#This Row],[Cost Of Sales]]</f>
        <v>-22144.013923359802</v>
      </c>
    </row>
    <row r="350" spans="1:5" x14ac:dyDescent="0.3">
      <c r="A350" s="2">
        <v>41986</v>
      </c>
      <c r="B350" s="3">
        <v>369350.98948089819</v>
      </c>
      <c r="C350" s="3">
        <v>402564.67862758518</v>
      </c>
      <c r="D350" s="3">
        <v>9654</v>
      </c>
      <c r="E350" s="3">
        <f>SalesMasterTable[[#This Row],[Sales]]-SalesMasterTable[[#This Row],[Cost Of Sales]]</f>
        <v>-33213.689146686986</v>
      </c>
    </row>
    <row r="351" spans="1:5" x14ac:dyDescent="0.3">
      <c r="A351" s="2">
        <v>41987</v>
      </c>
      <c r="B351" s="3">
        <v>177500.10772560869</v>
      </c>
      <c r="C351" s="3">
        <v>192327.32065612171</v>
      </c>
      <c r="D351" s="3">
        <v>4632</v>
      </c>
      <c r="E351" s="3">
        <f>SalesMasterTable[[#This Row],[Sales]]-SalesMasterTable[[#This Row],[Cost Of Sales]]</f>
        <v>-14827.212930513022</v>
      </c>
    </row>
    <row r="352" spans="1:5" x14ac:dyDescent="0.3">
      <c r="A352" s="2">
        <v>41988</v>
      </c>
      <c r="B352" s="3">
        <v>282246.62867828761</v>
      </c>
      <c r="C352" s="3">
        <v>304489.638251931</v>
      </c>
      <c r="D352" s="3">
        <v>7341</v>
      </c>
      <c r="E352" s="3">
        <f>SalesMasterTable[[#This Row],[Sales]]-SalesMasterTable[[#This Row],[Cost Of Sales]]</f>
        <v>-22243.009573643387</v>
      </c>
    </row>
    <row r="353" spans="1:5" x14ac:dyDescent="0.3">
      <c r="A353" s="2">
        <v>41989</v>
      </c>
      <c r="B353" s="3">
        <v>166037.92572951369</v>
      </c>
      <c r="C353" s="3">
        <v>179571.12907994099</v>
      </c>
      <c r="D353" s="3">
        <v>4308</v>
      </c>
      <c r="E353" s="3">
        <f>SalesMasterTable[[#This Row],[Sales]]-SalesMasterTable[[#This Row],[Cost Of Sales]]</f>
        <v>-13533.203350427299</v>
      </c>
    </row>
    <row r="354" spans="1:5" x14ac:dyDescent="0.3">
      <c r="A354" s="2">
        <v>41990</v>
      </c>
      <c r="B354" s="3">
        <v>148910.99836015861</v>
      </c>
      <c r="C354" s="3">
        <v>161137.52200304749</v>
      </c>
      <c r="D354" s="3">
        <v>3865</v>
      </c>
      <c r="E354" s="3">
        <f>SalesMasterTable[[#This Row],[Sales]]-SalesMasterTable[[#This Row],[Cost Of Sales]]</f>
        <v>-12226.523642888875</v>
      </c>
    </row>
    <row r="355" spans="1:5" x14ac:dyDescent="0.3">
      <c r="A355" s="2">
        <v>41991</v>
      </c>
      <c r="B355" s="3">
        <v>202359.14289987119</v>
      </c>
      <c r="C355" s="3">
        <v>221435.76864963601</v>
      </c>
      <c r="D355" s="3">
        <v>5288</v>
      </c>
      <c r="E355" s="3">
        <f>SalesMasterTable[[#This Row],[Sales]]-SalesMasterTable[[#This Row],[Cost Of Sales]]</f>
        <v>-19076.625749764818</v>
      </c>
    </row>
    <row r="356" spans="1:5" x14ac:dyDescent="0.3">
      <c r="A356" s="2">
        <v>41992</v>
      </c>
      <c r="B356" s="3">
        <v>274343.65434523381</v>
      </c>
      <c r="C356" s="3">
        <v>299516.83776498272</v>
      </c>
      <c r="D356" s="3">
        <v>7141</v>
      </c>
      <c r="E356" s="3">
        <f>SalesMasterTable[[#This Row],[Sales]]-SalesMasterTable[[#This Row],[Cost Of Sales]]</f>
        <v>-25173.183419748908</v>
      </c>
    </row>
    <row r="357" spans="1:5" x14ac:dyDescent="0.3">
      <c r="A357" s="2">
        <v>41993</v>
      </c>
      <c r="B357" s="3">
        <v>316167.07465857267</v>
      </c>
      <c r="C357" s="3">
        <v>346378.30476784823</v>
      </c>
      <c r="D357" s="3">
        <v>8268</v>
      </c>
      <c r="E357" s="3">
        <f>SalesMasterTable[[#This Row],[Sales]]-SalesMasterTable[[#This Row],[Cost Of Sales]]</f>
        <v>-30211.230109275552</v>
      </c>
    </row>
    <row r="358" spans="1:5" x14ac:dyDescent="0.3">
      <c r="A358" s="2">
        <v>41994</v>
      </c>
      <c r="B358" s="3">
        <v>173833.40012841369</v>
      </c>
      <c r="C358" s="3">
        <v>190644.50156869169</v>
      </c>
      <c r="D358" s="3">
        <v>4541</v>
      </c>
      <c r="E358" s="3">
        <f>SalesMasterTable[[#This Row],[Sales]]-SalesMasterTable[[#This Row],[Cost Of Sales]]</f>
        <v>-16811.101440277998</v>
      </c>
    </row>
    <row r="359" spans="1:5" x14ac:dyDescent="0.3">
      <c r="A359" s="2">
        <v>41995</v>
      </c>
      <c r="B359" s="3">
        <v>204565.08183541149</v>
      </c>
      <c r="C359" s="3">
        <v>210188.9094104479</v>
      </c>
      <c r="D359" s="3">
        <v>5014</v>
      </c>
      <c r="E359" s="3">
        <f>SalesMasterTable[[#This Row],[Sales]]-SalesMasterTable[[#This Row],[Cost Of Sales]]</f>
        <v>-5623.8275750364119</v>
      </c>
    </row>
    <row r="360" spans="1:5" x14ac:dyDescent="0.3">
      <c r="A360" s="2">
        <v>41996</v>
      </c>
      <c r="B360" s="3">
        <v>316394.73085730919</v>
      </c>
      <c r="C360" s="3">
        <v>326627.13841637562</v>
      </c>
      <c r="D360" s="3">
        <v>7778</v>
      </c>
      <c r="E360" s="3">
        <f>SalesMasterTable[[#This Row],[Sales]]-SalesMasterTable[[#This Row],[Cost Of Sales]]</f>
        <v>-10232.407559066429</v>
      </c>
    </row>
    <row r="361" spans="1:5" x14ac:dyDescent="0.3">
      <c r="A361" s="2">
        <v>41997</v>
      </c>
      <c r="B361" s="3">
        <v>486230.32019362762</v>
      </c>
      <c r="C361" s="3">
        <v>495909.08956339589</v>
      </c>
      <c r="D361" s="3">
        <v>11809</v>
      </c>
      <c r="E361" s="3">
        <f>SalesMasterTable[[#This Row],[Sales]]-SalesMasterTable[[#This Row],[Cost Of Sales]]</f>
        <v>-9678.7693697682698</v>
      </c>
    </row>
    <row r="362" spans="1:5" x14ac:dyDescent="0.3">
      <c r="A362" s="2">
        <v>41998</v>
      </c>
      <c r="B362" s="3">
        <v>137686.53210060639</v>
      </c>
      <c r="C362" s="3">
        <v>140525.78674110339</v>
      </c>
      <c r="D362" s="3">
        <v>3344</v>
      </c>
      <c r="E362" s="3">
        <f>SalesMasterTable[[#This Row],[Sales]]-SalesMasterTable[[#This Row],[Cost Of Sales]]</f>
        <v>-2839.2546404970053</v>
      </c>
    </row>
    <row r="363" spans="1:5" x14ac:dyDescent="0.3">
      <c r="A363" s="2">
        <v>41999</v>
      </c>
      <c r="B363" s="3">
        <v>48102.962409030253</v>
      </c>
      <c r="C363" s="3">
        <v>49028.365072183813</v>
      </c>
      <c r="D363" s="3">
        <v>1169</v>
      </c>
      <c r="E363" s="3">
        <f>SalesMasterTable[[#This Row],[Sales]]-SalesMasterTable[[#This Row],[Cost Of Sales]]</f>
        <v>-925.40266315355984</v>
      </c>
    </row>
    <row r="364" spans="1:5" x14ac:dyDescent="0.3">
      <c r="A364" s="2">
        <v>42000</v>
      </c>
      <c r="B364" s="3">
        <v>110162.1319825481</v>
      </c>
      <c r="C364" s="3">
        <v>112383.5592473063</v>
      </c>
      <c r="D364" s="3">
        <v>2676</v>
      </c>
      <c r="E364" s="3">
        <f>SalesMasterTable[[#This Row],[Sales]]-SalesMasterTable[[#This Row],[Cost Of Sales]]</f>
        <v>-2221.4272647581965</v>
      </c>
    </row>
    <row r="365" spans="1:5" x14ac:dyDescent="0.3">
      <c r="A365" s="2">
        <v>42001</v>
      </c>
      <c r="B365" s="3">
        <v>69051.33709342037</v>
      </c>
      <c r="C365" s="3">
        <v>70482.717802969084</v>
      </c>
      <c r="D365" s="3">
        <v>1677</v>
      </c>
      <c r="E365" s="3">
        <f>SalesMasterTable[[#This Row],[Sales]]-SalesMasterTable[[#This Row],[Cost Of Sales]]</f>
        <v>-1431.3807095487136</v>
      </c>
    </row>
    <row r="366" spans="1:5" x14ac:dyDescent="0.3">
      <c r="A366" s="2">
        <v>42002</v>
      </c>
      <c r="B366" s="3">
        <v>133307.3689628276</v>
      </c>
      <c r="C366" s="3">
        <v>136003.48252575181</v>
      </c>
      <c r="D366" s="3">
        <v>3237</v>
      </c>
      <c r="E366" s="3">
        <f>SalesMasterTable[[#This Row],[Sales]]-SalesMasterTable[[#This Row],[Cost Of Sales]]</f>
        <v>-2696.1135629242053</v>
      </c>
    </row>
    <row r="367" spans="1:5" x14ac:dyDescent="0.3">
      <c r="A367" s="2">
        <v>42003</v>
      </c>
      <c r="B367" s="3">
        <v>216389.504268855</v>
      </c>
      <c r="C367" s="3">
        <v>235723.76475390821</v>
      </c>
      <c r="D367" s="3">
        <v>5607</v>
      </c>
      <c r="E367" s="3">
        <f>SalesMasterTable[[#This Row],[Sales]]-SalesMasterTable[[#This Row],[Cost Of Sales]]</f>
        <v>-19334.260485053208</v>
      </c>
    </row>
    <row r="368" spans="1:5" x14ac:dyDescent="0.3">
      <c r="A368" s="2">
        <v>42004</v>
      </c>
      <c r="B368" s="3">
        <v>365055.31201272178</v>
      </c>
      <c r="C368" s="3">
        <v>398013.34833037207</v>
      </c>
      <c r="D368" s="3">
        <v>9464</v>
      </c>
      <c r="E368" s="3">
        <f>SalesMasterTable[[#This Row],[Sales]]-SalesMasterTable[[#This Row],[Cost Of Sales]]</f>
        <v>-32958.036317650287</v>
      </c>
    </row>
    <row r="369" spans="1:5" x14ac:dyDescent="0.3">
      <c r="A369" s="2">
        <v>42005</v>
      </c>
      <c r="B369" s="3">
        <v>112161.419616753</v>
      </c>
      <c r="C369" s="3">
        <v>122170.43168462771</v>
      </c>
      <c r="D369" s="3">
        <v>2905</v>
      </c>
      <c r="E369" s="3">
        <f>SalesMasterTable[[#This Row],[Sales]]-SalesMasterTable[[#This Row],[Cost Of Sales]]</f>
        <v>-10009.012067874704</v>
      </c>
    </row>
    <row r="370" spans="1:5" x14ac:dyDescent="0.3">
      <c r="A370" s="2">
        <v>42006</v>
      </c>
      <c r="B370" s="3">
        <v>271101.46167031268</v>
      </c>
      <c r="C370" s="3">
        <v>295019.46942959027</v>
      </c>
      <c r="D370" s="3">
        <v>7023</v>
      </c>
      <c r="E370" s="3">
        <f>SalesMasterTable[[#This Row],[Sales]]-SalesMasterTable[[#This Row],[Cost Of Sales]]</f>
        <v>-23918.007759277592</v>
      </c>
    </row>
    <row r="371" spans="1:5" x14ac:dyDescent="0.3">
      <c r="A371" s="2">
        <v>42007</v>
      </c>
      <c r="B371" s="3">
        <v>245813.288312124</v>
      </c>
      <c r="C371" s="3">
        <v>267734.72525537072</v>
      </c>
      <c r="D371" s="3">
        <v>6371</v>
      </c>
      <c r="E371" s="3">
        <f>SalesMasterTable[[#This Row],[Sales]]-SalesMasterTable[[#This Row],[Cost Of Sales]]</f>
        <v>-21921.436943246721</v>
      </c>
    </row>
    <row r="372" spans="1:5" x14ac:dyDescent="0.3">
      <c r="A372" s="2">
        <v>42008</v>
      </c>
      <c r="B372" s="3">
        <v>178394.81199754871</v>
      </c>
      <c r="C372" s="3">
        <v>194427.44797350231</v>
      </c>
      <c r="D372" s="3">
        <v>4624</v>
      </c>
      <c r="E372" s="3">
        <f>SalesMasterTable[[#This Row],[Sales]]-SalesMasterTable[[#This Row],[Cost Of Sales]]</f>
        <v>-16032.635975953599</v>
      </c>
    </row>
    <row r="373" spans="1:5" x14ac:dyDescent="0.3">
      <c r="A373" s="2">
        <v>42009</v>
      </c>
      <c r="B373" s="3">
        <v>220443.631484265</v>
      </c>
      <c r="C373" s="3">
        <v>239988.0274603873</v>
      </c>
      <c r="D373" s="3">
        <v>5717</v>
      </c>
      <c r="E373" s="3">
        <f>SalesMasterTable[[#This Row],[Sales]]-SalesMasterTable[[#This Row],[Cost Of Sales]]</f>
        <v>-19544.395976122294</v>
      </c>
    </row>
    <row r="374" spans="1:5" x14ac:dyDescent="0.3">
      <c r="A374" s="2">
        <v>42010</v>
      </c>
      <c r="B374" s="3">
        <v>181534.1886726786</v>
      </c>
      <c r="C374" s="3">
        <v>197328.94391081069</v>
      </c>
      <c r="D374" s="3">
        <v>4705</v>
      </c>
      <c r="E374" s="3">
        <f>SalesMasterTable[[#This Row],[Sales]]-SalesMasterTable[[#This Row],[Cost Of Sales]]</f>
        <v>-15794.755238132086</v>
      </c>
    </row>
    <row r="375" spans="1:5" x14ac:dyDescent="0.3">
      <c r="A375" s="2">
        <v>42011</v>
      </c>
      <c r="B375" s="3">
        <v>83176.481393400245</v>
      </c>
      <c r="C375" s="3">
        <v>84728.831196631072</v>
      </c>
      <c r="D375" s="3">
        <v>2020</v>
      </c>
      <c r="E375" s="3">
        <f>SalesMasterTable[[#This Row],[Sales]]-SalesMasterTable[[#This Row],[Cost Of Sales]]</f>
        <v>-1552.3498032308271</v>
      </c>
    </row>
    <row r="376" spans="1:5" x14ac:dyDescent="0.3">
      <c r="A376" s="2">
        <v>42012</v>
      </c>
      <c r="B376" s="3">
        <v>76894.779348705371</v>
      </c>
      <c r="C376" s="3">
        <v>78468.095499687464</v>
      </c>
      <c r="D376" s="3">
        <v>1868</v>
      </c>
      <c r="E376" s="3">
        <f>SalesMasterTable[[#This Row],[Sales]]-SalesMasterTable[[#This Row],[Cost Of Sales]]</f>
        <v>-1573.3161509820929</v>
      </c>
    </row>
    <row r="377" spans="1:5" x14ac:dyDescent="0.3">
      <c r="A377" s="2">
        <v>42013</v>
      </c>
      <c r="B377" s="3">
        <v>123859.3879567376</v>
      </c>
      <c r="C377" s="3">
        <v>126444.1425182809</v>
      </c>
      <c r="D377" s="3">
        <v>3008</v>
      </c>
      <c r="E377" s="3">
        <f>SalesMasterTable[[#This Row],[Sales]]-SalesMasterTable[[#This Row],[Cost Of Sales]]</f>
        <v>-2584.7545615433046</v>
      </c>
    </row>
    <row r="378" spans="1:5" x14ac:dyDescent="0.3">
      <c r="A378" s="2">
        <v>42014</v>
      </c>
      <c r="B378" s="3">
        <v>120807.5741583273</v>
      </c>
      <c r="C378" s="3">
        <v>123392.8040677807</v>
      </c>
      <c r="D378" s="3">
        <v>2934</v>
      </c>
      <c r="E378" s="3">
        <f>SalesMasterTable[[#This Row],[Sales]]-SalesMasterTable[[#This Row],[Cost Of Sales]]</f>
        <v>-2585.2299094533955</v>
      </c>
    </row>
    <row r="379" spans="1:5" x14ac:dyDescent="0.3">
      <c r="A379" s="2">
        <v>42015</v>
      </c>
      <c r="B379" s="3">
        <v>69597.36734933038</v>
      </c>
      <c r="C379" s="3">
        <v>71051.363502932756</v>
      </c>
      <c r="D379" s="3">
        <v>1690</v>
      </c>
      <c r="E379" s="3">
        <f>SalesMasterTable[[#This Row],[Sales]]-SalesMasterTable[[#This Row],[Cost Of Sales]]</f>
        <v>-1453.9961536023766</v>
      </c>
    </row>
    <row r="380" spans="1:5" x14ac:dyDescent="0.3">
      <c r="A380" s="2">
        <v>42016</v>
      </c>
      <c r="B380" s="3">
        <v>84738.294411260125</v>
      </c>
      <c r="C380" s="3">
        <v>86467.537750281685</v>
      </c>
      <c r="D380" s="3">
        <v>2058</v>
      </c>
      <c r="E380" s="3">
        <f>SalesMasterTable[[#This Row],[Sales]]-SalesMasterTable[[#This Row],[Cost Of Sales]]</f>
        <v>-1729.2433390215592</v>
      </c>
    </row>
    <row r="381" spans="1:5" x14ac:dyDescent="0.3">
      <c r="A381" s="2">
        <v>42017</v>
      </c>
      <c r="B381" s="3">
        <v>64653.972138140372</v>
      </c>
      <c r="C381" s="3">
        <v>65980.422089859814</v>
      </c>
      <c r="D381" s="3">
        <v>1570</v>
      </c>
      <c r="E381" s="3">
        <f>SalesMasterTable[[#This Row],[Sales]]-SalesMasterTable[[#This Row],[Cost Of Sales]]</f>
        <v>-1326.4499517194417</v>
      </c>
    </row>
    <row r="382" spans="1:5" x14ac:dyDescent="0.3">
      <c r="A382" s="2">
        <v>42018</v>
      </c>
      <c r="B382" s="3">
        <v>59553.386031020251</v>
      </c>
      <c r="C382" s="3">
        <v>60703.356028777598</v>
      </c>
      <c r="D382" s="3">
        <v>1446</v>
      </c>
      <c r="E382" s="3">
        <f>SalesMasterTable[[#This Row],[Sales]]-SalesMasterTable[[#This Row],[Cost Of Sales]]</f>
        <v>-1149.9699977573473</v>
      </c>
    </row>
    <row r="383" spans="1:5" x14ac:dyDescent="0.3">
      <c r="A383" s="2">
        <v>42019</v>
      </c>
      <c r="B383" s="3">
        <v>79080.756957730366</v>
      </c>
      <c r="C383" s="3">
        <v>80337.748312174546</v>
      </c>
      <c r="D383" s="3">
        <v>1921</v>
      </c>
      <c r="E383" s="3">
        <f>SalesMasterTable[[#This Row],[Sales]]-SalesMasterTable[[#This Row],[Cost Of Sales]]</f>
        <v>-1256.9913544441806</v>
      </c>
    </row>
    <row r="384" spans="1:5" x14ac:dyDescent="0.3">
      <c r="A384" s="2">
        <v>42020</v>
      </c>
      <c r="B384" s="3">
        <v>149444.05678745391</v>
      </c>
      <c r="C384" s="3">
        <v>152030.98648053521</v>
      </c>
      <c r="D384" s="3">
        <v>3629</v>
      </c>
      <c r="E384" s="3">
        <f>SalesMasterTable[[#This Row],[Sales]]-SalesMasterTable[[#This Row],[Cost Of Sales]]</f>
        <v>-2586.9296930812998</v>
      </c>
    </row>
    <row r="385" spans="1:5" x14ac:dyDescent="0.3">
      <c r="A385" s="2">
        <v>42021</v>
      </c>
      <c r="B385" s="3">
        <v>170624.0799358915</v>
      </c>
      <c r="C385" s="3">
        <v>173547.0271100424</v>
      </c>
      <c r="D385" s="3">
        <v>4144</v>
      </c>
      <c r="E385" s="3">
        <f>SalesMasterTable[[#This Row],[Sales]]-SalesMasterTable[[#This Row],[Cost Of Sales]]</f>
        <v>-2922.9471741509042</v>
      </c>
    </row>
    <row r="386" spans="1:5" x14ac:dyDescent="0.3">
      <c r="A386" s="2">
        <v>42022</v>
      </c>
      <c r="B386" s="3">
        <v>74744.283149260489</v>
      </c>
      <c r="C386" s="3">
        <v>76003.928254213824</v>
      </c>
      <c r="D386" s="3">
        <v>1815</v>
      </c>
      <c r="E386" s="3">
        <f>SalesMasterTable[[#This Row],[Sales]]-SalesMasterTable[[#This Row],[Cost Of Sales]]</f>
        <v>-1259.6451049533352</v>
      </c>
    </row>
    <row r="387" spans="1:5" x14ac:dyDescent="0.3">
      <c r="A387" s="2">
        <v>42023</v>
      </c>
      <c r="B387" s="3">
        <v>90144.161401489764</v>
      </c>
      <c r="C387" s="3">
        <v>91110.969347994804</v>
      </c>
      <c r="D387" s="3">
        <v>2189</v>
      </c>
      <c r="E387" s="3">
        <f>SalesMasterTable[[#This Row],[Sales]]-SalesMasterTable[[#This Row],[Cost Of Sales]]</f>
        <v>-966.80794650503958</v>
      </c>
    </row>
    <row r="388" spans="1:5" x14ac:dyDescent="0.3">
      <c r="A388" s="2">
        <v>42024</v>
      </c>
      <c r="B388" s="3">
        <v>97826.808800979037</v>
      </c>
      <c r="C388" s="3">
        <v>99134.30698859354</v>
      </c>
      <c r="D388" s="3">
        <v>2376</v>
      </c>
      <c r="E388" s="3">
        <f>SalesMasterTable[[#This Row],[Sales]]-SalesMasterTable[[#This Row],[Cost Of Sales]]</f>
        <v>-1307.498187614503</v>
      </c>
    </row>
    <row r="389" spans="1:5" x14ac:dyDescent="0.3">
      <c r="A389" s="2">
        <v>42025</v>
      </c>
      <c r="B389" s="3">
        <v>62795.97914592037</v>
      </c>
      <c r="C389" s="3">
        <v>64144.088875245921</v>
      </c>
      <c r="D389" s="3">
        <v>1525</v>
      </c>
      <c r="E389" s="3">
        <f>SalesMasterTable[[#This Row],[Sales]]-SalesMasterTable[[#This Row],[Cost Of Sales]]</f>
        <v>-1348.1097293255516</v>
      </c>
    </row>
    <row r="390" spans="1:5" x14ac:dyDescent="0.3">
      <c r="A390" s="2">
        <v>42026</v>
      </c>
      <c r="B390" s="3">
        <v>66550.989827080368</v>
      </c>
      <c r="C390" s="3">
        <v>67952.150554841501</v>
      </c>
      <c r="D390" s="3">
        <v>1616</v>
      </c>
      <c r="E390" s="3">
        <f>SalesMasterTable[[#This Row],[Sales]]-SalesMasterTable[[#This Row],[Cost Of Sales]]</f>
        <v>-1401.1607277611329</v>
      </c>
    </row>
    <row r="391" spans="1:5" x14ac:dyDescent="0.3">
      <c r="A391" s="2">
        <v>42027</v>
      </c>
      <c r="B391" s="3">
        <v>154670.89070075389</v>
      </c>
      <c r="C391" s="3">
        <v>158031.79104317201</v>
      </c>
      <c r="D391" s="3">
        <v>3757</v>
      </c>
      <c r="E391" s="3">
        <f>SalesMasterTable[[#This Row],[Sales]]-SalesMasterTable[[#This Row],[Cost Of Sales]]</f>
        <v>-3360.9003424181137</v>
      </c>
    </row>
    <row r="392" spans="1:5" x14ac:dyDescent="0.3">
      <c r="A392" s="2">
        <v>42028</v>
      </c>
      <c r="B392" s="3">
        <v>158722.10562536391</v>
      </c>
      <c r="C392" s="3">
        <v>162082.4184385144</v>
      </c>
      <c r="D392" s="3">
        <v>3855</v>
      </c>
      <c r="E392" s="3">
        <f>SalesMasterTable[[#This Row],[Sales]]-SalesMasterTable[[#This Row],[Cost Of Sales]]</f>
        <v>-3360.3128131504927</v>
      </c>
    </row>
    <row r="393" spans="1:5" x14ac:dyDescent="0.3">
      <c r="A393" s="2">
        <v>42029</v>
      </c>
      <c r="B393" s="3">
        <v>78092.276922030491</v>
      </c>
      <c r="C393" s="3">
        <v>79795.0431031607</v>
      </c>
      <c r="D393" s="3">
        <v>1897</v>
      </c>
      <c r="E393" s="3">
        <f>SalesMasterTable[[#This Row],[Sales]]-SalesMasterTable[[#This Row],[Cost Of Sales]]</f>
        <v>-1702.7661811302096</v>
      </c>
    </row>
    <row r="394" spans="1:5" x14ac:dyDescent="0.3">
      <c r="A394" s="2">
        <v>42030</v>
      </c>
      <c r="B394" s="3">
        <v>91830.402043779875</v>
      </c>
      <c r="C394" s="3">
        <v>93808.086746872388</v>
      </c>
      <c r="D394" s="3">
        <v>2230</v>
      </c>
      <c r="E394" s="3">
        <f>SalesMasterTable[[#This Row],[Sales]]-SalesMasterTable[[#This Row],[Cost Of Sales]]</f>
        <v>-1977.6847030925128</v>
      </c>
    </row>
    <row r="395" spans="1:5" x14ac:dyDescent="0.3">
      <c r="A395" s="2">
        <v>42031</v>
      </c>
      <c r="B395" s="3">
        <v>76992.935683210482</v>
      </c>
      <c r="C395" s="3">
        <v>78614.457753375827</v>
      </c>
      <c r="D395" s="3">
        <v>1870</v>
      </c>
      <c r="E395" s="3">
        <f>SalesMasterTable[[#This Row],[Sales]]-SalesMasterTable[[#This Row],[Cost Of Sales]]</f>
        <v>-1621.5220701653452</v>
      </c>
    </row>
    <row r="396" spans="1:5" x14ac:dyDescent="0.3">
      <c r="A396" s="2">
        <v>42032</v>
      </c>
      <c r="B396" s="3">
        <v>59897.71587994037</v>
      </c>
      <c r="C396" s="3">
        <v>61194.180255889572</v>
      </c>
      <c r="D396" s="3">
        <v>1455</v>
      </c>
      <c r="E396" s="3">
        <f>SalesMasterTable[[#This Row],[Sales]]-SalesMasterTable[[#This Row],[Cost Of Sales]]</f>
        <v>-1296.4643759492028</v>
      </c>
    </row>
    <row r="397" spans="1:5" x14ac:dyDescent="0.3">
      <c r="A397" s="2">
        <v>42033</v>
      </c>
      <c r="B397" s="3">
        <v>57310.194042320363</v>
      </c>
      <c r="C397" s="3">
        <v>58531.41098518647</v>
      </c>
      <c r="D397" s="3">
        <v>1392</v>
      </c>
      <c r="E397" s="3">
        <f>SalesMasterTable[[#This Row],[Sales]]-SalesMasterTable[[#This Row],[Cost Of Sales]]</f>
        <v>-1221.2169428661073</v>
      </c>
    </row>
    <row r="398" spans="1:5" x14ac:dyDescent="0.3">
      <c r="A398" s="2">
        <v>42034</v>
      </c>
      <c r="B398" s="3">
        <v>134540.2144657376</v>
      </c>
      <c r="C398" s="3">
        <v>137221.53747357719</v>
      </c>
      <c r="D398" s="3">
        <v>3268</v>
      </c>
      <c r="E398" s="3">
        <f>SalesMasterTable[[#This Row],[Sales]]-SalesMasterTable[[#This Row],[Cost Of Sales]]</f>
        <v>-2681.3230078395864</v>
      </c>
    </row>
    <row r="399" spans="1:5" x14ac:dyDescent="0.3">
      <c r="A399" s="2">
        <v>42035</v>
      </c>
      <c r="B399" s="3">
        <v>200193.61199916029</v>
      </c>
      <c r="C399" s="3">
        <v>203814.73638908501</v>
      </c>
      <c r="D399" s="3">
        <v>4862</v>
      </c>
      <c r="E399" s="3">
        <f>SalesMasterTable[[#This Row],[Sales]]-SalesMasterTable[[#This Row],[Cost Of Sales]]</f>
        <v>-3621.1243899247202</v>
      </c>
    </row>
    <row r="400" spans="1:5" x14ac:dyDescent="0.3">
      <c r="A400" s="2">
        <v>42036</v>
      </c>
      <c r="B400" s="3">
        <v>171469.93052966279</v>
      </c>
      <c r="C400" s="3">
        <v>174652.45798996431</v>
      </c>
      <c r="D400" s="3">
        <v>4165</v>
      </c>
      <c r="E400" s="3">
        <f>SalesMasterTable[[#This Row],[Sales]]-SalesMasterTable[[#This Row],[Cost Of Sales]]</f>
        <v>-3182.5274603015278</v>
      </c>
    </row>
    <row r="401" spans="1:5" x14ac:dyDescent="0.3">
      <c r="A401" s="2">
        <v>42037</v>
      </c>
      <c r="B401" s="3">
        <v>151737.21883246521</v>
      </c>
      <c r="C401" s="3">
        <v>154148.5988130215</v>
      </c>
      <c r="D401" s="3">
        <v>3685</v>
      </c>
      <c r="E401" s="3">
        <f>SalesMasterTable[[#This Row],[Sales]]-SalesMasterTable[[#This Row],[Cost Of Sales]]</f>
        <v>-2411.3799805562885</v>
      </c>
    </row>
    <row r="402" spans="1:5" x14ac:dyDescent="0.3">
      <c r="A402" s="2">
        <v>42038</v>
      </c>
      <c r="B402" s="3">
        <v>102072.4434055789</v>
      </c>
      <c r="C402" s="3">
        <v>103634.964229016</v>
      </c>
      <c r="D402" s="3">
        <v>2479</v>
      </c>
      <c r="E402" s="3">
        <f>SalesMasterTable[[#This Row],[Sales]]-SalesMasterTable[[#This Row],[Cost Of Sales]]</f>
        <v>-1562.5208234370948</v>
      </c>
    </row>
    <row r="403" spans="1:5" x14ac:dyDescent="0.3">
      <c r="A403" s="2">
        <v>42039</v>
      </c>
      <c r="B403" s="3">
        <v>82514.105120030377</v>
      </c>
      <c r="C403" s="3">
        <v>83232.391367362128</v>
      </c>
      <c r="D403" s="3">
        <v>2005</v>
      </c>
      <c r="E403" s="3">
        <f>SalesMasterTable[[#This Row],[Sales]]-SalesMasterTable[[#This Row],[Cost Of Sales]]</f>
        <v>-718.28624733175093</v>
      </c>
    </row>
    <row r="404" spans="1:5" x14ac:dyDescent="0.3">
      <c r="A404" s="2">
        <v>42040</v>
      </c>
      <c r="B404" s="3">
        <v>46211.332458070247</v>
      </c>
      <c r="C404" s="3">
        <v>46407.299117268973</v>
      </c>
      <c r="D404" s="3">
        <v>1122</v>
      </c>
      <c r="E404" s="3">
        <f>SalesMasterTable[[#This Row],[Sales]]-SalesMasterTable[[#This Row],[Cost Of Sales]]</f>
        <v>-195.96665919872612</v>
      </c>
    </row>
    <row r="405" spans="1:5" x14ac:dyDescent="0.3">
      <c r="A405" s="2">
        <v>42041</v>
      </c>
      <c r="B405" s="3">
        <v>85730.414810460134</v>
      </c>
      <c r="C405" s="3">
        <v>85765.709336061569</v>
      </c>
      <c r="D405" s="3">
        <v>2082</v>
      </c>
      <c r="E405" s="3">
        <f>SalesMasterTable[[#This Row],[Sales]]-SalesMasterTable[[#This Row],[Cost Of Sales]]</f>
        <v>-35.294525601435453</v>
      </c>
    </row>
    <row r="406" spans="1:5" x14ac:dyDescent="0.3">
      <c r="A406" s="2">
        <v>42042</v>
      </c>
      <c r="B406" s="3">
        <v>105918.2932906084</v>
      </c>
      <c r="C406" s="3">
        <v>105662.5562409002</v>
      </c>
      <c r="D406" s="3">
        <v>2573</v>
      </c>
      <c r="E406" s="3">
        <f>SalesMasterTable[[#This Row],[Sales]]-SalesMasterTable[[#This Row],[Cost Of Sales]]</f>
        <v>255.73704970820108</v>
      </c>
    </row>
    <row r="407" spans="1:5" x14ac:dyDescent="0.3">
      <c r="A407" s="2">
        <v>42043</v>
      </c>
      <c r="B407" s="3">
        <v>73041.660871220491</v>
      </c>
      <c r="C407" s="3">
        <v>73046.233899676779</v>
      </c>
      <c r="D407" s="3">
        <v>1774</v>
      </c>
      <c r="E407" s="3">
        <f>SalesMasterTable[[#This Row],[Sales]]-SalesMasterTable[[#This Row],[Cost Of Sales]]</f>
        <v>-4.5730284562887391</v>
      </c>
    </row>
    <row r="408" spans="1:5" x14ac:dyDescent="0.3">
      <c r="A408" s="2">
        <v>42044</v>
      </c>
      <c r="B408" s="3">
        <v>97908.547096098671</v>
      </c>
      <c r="C408" s="3">
        <v>97097.936590193072</v>
      </c>
      <c r="D408" s="3">
        <v>2378</v>
      </c>
      <c r="E408" s="3">
        <f>SalesMasterTable[[#This Row],[Sales]]-SalesMasterTable[[#This Row],[Cost Of Sales]]</f>
        <v>810.61050590559898</v>
      </c>
    </row>
    <row r="409" spans="1:5" x14ac:dyDescent="0.3">
      <c r="A409" s="2">
        <v>42045</v>
      </c>
      <c r="B409" s="3">
        <v>138667.4159111364</v>
      </c>
      <c r="C409" s="3">
        <v>148522.8490204199</v>
      </c>
      <c r="D409" s="3">
        <v>3677</v>
      </c>
      <c r="E409" s="3">
        <f>SalesMasterTable[[#This Row],[Sales]]-SalesMasterTable[[#This Row],[Cost Of Sales]]</f>
        <v>-9855.4331092835055</v>
      </c>
    </row>
    <row r="410" spans="1:5" x14ac:dyDescent="0.3">
      <c r="A410" s="2">
        <v>42046</v>
      </c>
      <c r="B410" s="3">
        <v>162162.103518324</v>
      </c>
      <c r="C410" s="3">
        <v>173661.82783508641</v>
      </c>
      <c r="D410" s="3">
        <v>4299</v>
      </c>
      <c r="E410" s="3">
        <f>SalesMasterTable[[#This Row],[Sales]]-SalesMasterTable[[#This Row],[Cost Of Sales]]</f>
        <v>-11499.724316762411</v>
      </c>
    </row>
    <row r="411" spans="1:5" x14ac:dyDescent="0.3">
      <c r="A411" s="2">
        <v>42047</v>
      </c>
      <c r="B411" s="3">
        <v>138520.1268039264</v>
      </c>
      <c r="C411" s="3">
        <v>147756.34279381519</v>
      </c>
      <c r="D411" s="3">
        <v>3674</v>
      </c>
      <c r="E411" s="3">
        <f>SalesMasterTable[[#This Row],[Sales]]-SalesMasterTable[[#This Row],[Cost Of Sales]]</f>
        <v>-9236.2159898887912</v>
      </c>
    </row>
    <row r="412" spans="1:5" x14ac:dyDescent="0.3">
      <c r="A412" s="2">
        <v>42048</v>
      </c>
      <c r="B412" s="3">
        <v>358597.42850915849</v>
      </c>
      <c r="C412" s="3">
        <v>382447.08041708497</v>
      </c>
      <c r="D412" s="3">
        <v>9505</v>
      </c>
      <c r="E412" s="3">
        <f>SalesMasterTable[[#This Row],[Sales]]-SalesMasterTable[[#This Row],[Cost Of Sales]]</f>
        <v>-23849.651907926484</v>
      </c>
    </row>
    <row r="413" spans="1:5" x14ac:dyDescent="0.3">
      <c r="A413" s="2">
        <v>42049</v>
      </c>
      <c r="B413" s="3">
        <v>424009.8825170612</v>
      </c>
      <c r="C413" s="3">
        <v>451548.0275596244</v>
      </c>
      <c r="D413" s="3">
        <v>11237</v>
      </c>
      <c r="E413" s="3">
        <f>SalesMasterTable[[#This Row],[Sales]]-SalesMasterTable[[#This Row],[Cost Of Sales]]</f>
        <v>-27538.145042563207</v>
      </c>
    </row>
    <row r="414" spans="1:5" x14ac:dyDescent="0.3">
      <c r="A414" s="2">
        <v>42050</v>
      </c>
      <c r="B414" s="3">
        <v>203861.47237812541</v>
      </c>
      <c r="C414" s="3">
        <v>217065.61516082729</v>
      </c>
      <c r="D414" s="3">
        <v>5406</v>
      </c>
      <c r="E414" s="3">
        <f>SalesMasterTable[[#This Row],[Sales]]-SalesMasterTable[[#This Row],[Cost Of Sales]]</f>
        <v>-13204.142782701878</v>
      </c>
    </row>
    <row r="415" spans="1:5" x14ac:dyDescent="0.3">
      <c r="A415" s="2">
        <v>42051</v>
      </c>
      <c r="B415" s="3">
        <v>220506.20933281549</v>
      </c>
      <c r="C415" s="3">
        <v>234723.22004532229</v>
      </c>
      <c r="D415" s="3">
        <v>5846</v>
      </c>
      <c r="E415" s="3">
        <f>SalesMasterTable[[#This Row],[Sales]]-SalesMasterTable[[#This Row],[Cost Of Sales]]</f>
        <v>-14217.010712506803</v>
      </c>
    </row>
    <row r="416" spans="1:5" x14ac:dyDescent="0.3">
      <c r="A416" s="2">
        <v>42052</v>
      </c>
      <c r="B416" s="3">
        <v>139935.9369763452</v>
      </c>
      <c r="C416" s="3">
        <v>148697.54369598959</v>
      </c>
      <c r="D416" s="3">
        <v>3713</v>
      </c>
      <c r="E416" s="3">
        <f>SalesMasterTable[[#This Row],[Sales]]-SalesMasterTable[[#This Row],[Cost Of Sales]]</f>
        <v>-8761.606719644391</v>
      </c>
    </row>
    <row r="417" spans="1:5" x14ac:dyDescent="0.3">
      <c r="A417" s="2">
        <v>42053</v>
      </c>
      <c r="B417" s="3">
        <v>161064.75234488389</v>
      </c>
      <c r="C417" s="3">
        <v>170739.36662316829</v>
      </c>
      <c r="D417" s="3">
        <v>4270</v>
      </c>
      <c r="E417" s="3">
        <f>SalesMasterTable[[#This Row],[Sales]]-SalesMasterTable[[#This Row],[Cost Of Sales]]</f>
        <v>-9674.6142782843963</v>
      </c>
    </row>
    <row r="418" spans="1:5" x14ac:dyDescent="0.3">
      <c r="A418" s="2">
        <v>42054</v>
      </c>
      <c r="B418" s="3">
        <v>144328.54518998519</v>
      </c>
      <c r="C418" s="3">
        <v>152824.1148984046</v>
      </c>
      <c r="D418" s="3">
        <v>3827</v>
      </c>
      <c r="E418" s="3">
        <f>SalesMasterTable[[#This Row],[Sales]]-SalesMasterTable[[#This Row],[Cost Of Sales]]</f>
        <v>-8495.5697084194107</v>
      </c>
    </row>
    <row r="419" spans="1:5" x14ac:dyDescent="0.3">
      <c r="A419" s="2">
        <v>42055</v>
      </c>
      <c r="B419" s="3">
        <v>293071.75919640332</v>
      </c>
      <c r="C419" s="3">
        <v>310240.37839534058</v>
      </c>
      <c r="D419" s="3">
        <v>7770</v>
      </c>
      <c r="E419" s="3">
        <f>SalesMasterTable[[#This Row],[Sales]]-SalesMasterTable[[#This Row],[Cost Of Sales]]</f>
        <v>-17168.61919893726</v>
      </c>
    </row>
    <row r="420" spans="1:5" x14ac:dyDescent="0.3">
      <c r="A420" s="2">
        <v>42056</v>
      </c>
      <c r="B420" s="3">
        <v>267782.15396190819</v>
      </c>
      <c r="C420" s="3">
        <v>283430.33683376323</v>
      </c>
      <c r="D420" s="3">
        <v>7102</v>
      </c>
      <c r="E420" s="3">
        <f>SalesMasterTable[[#This Row],[Sales]]-SalesMasterTable[[#This Row],[Cost Of Sales]]</f>
        <v>-15648.182871855039</v>
      </c>
    </row>
    <row r="421" spans="1:5" x14ac:dyDescent="0.3">
      <c r="A421" s="2">
        <v>42057</v>
      </c>
      <c r="B421" s="3">
        <v>136052.68842362519</v>
      </c>
      <c r="C421" s="3">
        <v>144020.1227597401</v>
      </c>
      <c r="D421" s="3">
        <v>3608</v>
      </c>
      <c r="E421" s="3">
        <f>SalesMasterTable[[#This Row],[Sales]]-SalesMasterTable[[#This Row],[Cost Of Sales]]</f>
        <v>-7967.4343361149076</v>
      </c>
    </row>
    <row r="422" spans="1:5" x14ac:dyDescent="0.3">
      <c r="A422" s="2">
        <v>42058</v>
      </c>
      <c r="B422" s="3">
        <v>86703.314090379165</v>
      </c>
      <c r="C422" s="3">
        <v>85730.966539282686</v>
      </c>
      <c r="D422" s="3">
        <v>2150</v>
      </c>
      <c r="E422" s="3">
        <f>SalesMasterTable[[#This Row],[Sales]]-SalesMasterTable[[#This Row],[Cost Of Sales]]</f>
        <v>972.34755109647813</v>
      </c>
    </row>
    <row r="423" spans="1:5" x14ac:dyDescent="0.3">
      <c r="A423" s="2">
        <v>42059</v>
      </c>
      <c r="B423" s="3">
        <v>95474.357369099642</v>
      </c>
      <c r="C423" s="3">
        <v>100867.5240607559</v>
      </c>
      <c r="D423" s="3">
        <v>2530</v>
      </c>
      <c r="E423" s="3">
        <f>SalesMasterTable[[#This Row],[Sales]]-SalesMasterTable[[#This Row],[Cost Of Sales]]</f>
        <v>-5393.1666916562535</v>
      </c>
    </row>
    <row r="424" spans="1:5" x14ac:dyDescent="0.3">
      <c r="A424" s="2">
        <v>42060</v>
      </c>
      <c r="B424" s="3">
        <v>198431.62752698149</v>
      </c>
      <c r="C424" s="3">
        <v>209499.79410912099</v>
      </c>
      <c r="D424" s="3">
        <v>5253</v>
      </c>
      <c r="E424" s="3">
        <f>SalesMasterTable[[#This Row],[Sales]]-SalesMasterTable[[#This Row],[Cost Of Sales]]</f>
        <v>-11068.1665821395</v>
      </c>
    </row>
    <row r="425" spans="1:5" x14ac:dyDescent="0.3">
      <c r="A425" s="2">
        <v>42061</v>
      </c>
      <c r="B425" s="3">
        <v>157291.73399894519</v>
      </c>
      <c r="C425" s="3">
        <v>166305.03762747039</v>
      </c>
      <c r="D425" s="3">
        <v>4171</v>
      </c>
      <c r="E425" s="3">
        <f>SalesMasterTable[[#This Row],[Sales]]-SalesMasterTable[[#This Row],[Cost Of Sales]]</f>
        <v>-9013.3036285252019</v>
      </c>
    </row>
    <row r="426" spans="1:5" x14ac:dyDescent="0.3">
      <c r="A426" s="2">
        <v>42062</v>
      </c>
      <c r="B426" s="3">
        <v>307540.67515623698</v>
      </c>
      <c r="C426" s="3">
        <v>324997.33647802821</v>
      </c>
      <c r="D426" s="3">
        <v>8156</v>
      </c>
      <c r="E426" s="3">
        <f>SalesMasterTable[[#This Row],[Sales]]-SalesMasterTable[[#This Row],[Cost Of Sales]]</f>
        <v>-17456.661321791238</v>
      </c>
    </row>
    <row r="427" spans="1:5" x14ac:dyDescent="0.3">
      <c r="A427" s="2">
        <v>42063</v>
      </c>
      <c r="B427" s="3">
        <v>350898.76351026969</v>
      </c>
      <c r="C427" s="3">
        <v>375030.63545205921</v>
      </c>
      <c r="D427" s="3">
        <v>9296</v>
      </c>
      <c r="E427" s="3">
        <f>SalesMasterTable[[#This Row],[Sales]]-SalesMasterTable[[#This Row],[Cost Of Sales]]</f>
        <v>-24131.871941789519</v>
      </c>
    </row>
    <row r="428" spans="1:5" x14ac:dyDescent="0.3">
      <c r="A428" s="2">
        <v>42064</v>
      </c>
      <c r="B428" s="3">
        <v>256701.54273334061</v>
      </c>
      <c r="C428" s="3">
        <v>276569.25039235951</v>
      </c>
      <c r="D428" s="3">
        <v>6803</v>
      </c>
      <c r="E428" s="3">
        <f>SalesMasterTable[[#This Row],[Sales]]-SalesMasterTable[[#This Row],[Cost Of Sales]]</f>
        <v>-19867.707659018895</v>
      </c>
    </row>
    <row r="429" spans="1:5" x14ac:dyDescent="0.3">
      <c r="A429" s="2">
        <v>42065</v>
      </c>
      <c r="B429" s="3">
        <v>234705.592779103</v>
      </c>
      <c r="C429" s="3">
        <v>252709.82306975979</v>
      </c>
      <c r="D429" s="3">
        <v>6221</v>
      </c>
      <c r="E429" s="3">
        <f>SalesMasterTable[[#This Row],[Sales]]-SalesMasterTable[[#This Row],[Cost Of Sales]]</f>
        <v>-18004.230290656793</v>
      </c>
    </row>
    <row r="430" spans="1:5" x14ac:dyDescent="0.3">
      <c r="A430" s="2">
        <v>42066</v>
      </c>
      <c r="B430" s="3">
        <v>249380.5654475792</v>
      </c>
      <c r="C430" s="3">
        <v>268761.83235694439</v>
      </c>
      <c r="D430" s="3">
        <v>6611</v>
      </c>
      <c r="E430" s="3">
        <f>SalesMasterTable[[#This Row],[Sales]]-SalesMasterTable[[#This Row],[Cost Of Sales]]</f>
        <v>-19381.266909365193</v>
      </c>
    </row>
    <row r="431" spans="1:5" x14ac:dyDescent="0.3">
      <c r="A431" s="2">
        <v>42067</v>
      </c>
      <c r="B431" s="3">
        <v>258211.44416769789</v>
      </c>
      <c r="C431" s="3">
        <v>278825.60667853651</v>
      </c>
      <c r="D431" s="3">
        <v>6843</v>
      </c>
      <c r="E431" s="3">
        <f>SalesMasterTable[[#This Row],[Sales]]-SalesMasterTable[[#This Row],[Cost Of Sales]]</f>
        <v>-20614.162510838622</v>
      </c>
    </row>
    <row r="432" spans="1:5" x14ac:dyDescent="0.3">
      <c r="A432" s="2">
        <v>42068</v>
      </c>
      <c r="B432" s="3">
        <v>145975.83394282509</v>
      </c>
      <c r="C432" s="3">
        <v>157578.00586652799</v>
      </c>
      <c r="D432" s="3">
        <v>3858</v>
      </c>
      <c r="E432" s="3">
        <f>SalesMasterTable[[#This Row],[Sales]]-SalesMasterTable[[#This Row],[Cost Of Sales]]</f>
        <v>-11602.171923702903</v>
      </c>
    </row>
    <row r="433" spans="1:5" x14ac:dyDescent="0.3">
      <c r="A433" s="2">
        <v>42069</v>
      </c>
      <c r="B433" s="3">
        <v>269239.85258366819</v>
      </c>
      <c r="C433" s="3">
        <v>291365.01755439863</v>
      </c>
      <c r="D433" s="3">
        <v>7128</v>
      </c>
      <c r="E433" s="3">
        <f>SalesMasterTable[[#This Row],[Sales]]-SalesMasterTable[[#This Row],[Cost Of Sales]]</f>
        <v>-22125.164970730431</v>
      </c>
    </row>
    <row r="434" spans="1:5" x14ac:dyDescent="0.3">
      <c r="A434" s="2">
        <v>42070</v>
      </c>
      <c r="B434" s="3">
        <v>306920.21160129207</v>
      </c>
      <c r="C434" s="3">
        <v>332242.411551486</v>
      </c>
      <c r="D434" s="3">
        <v>8127</v>
      </c>
      <c r="E434" s="3">
        <f>SalesMasterTable[[#This Row],[Sales]]-SalesMasterTable[[#This Row],[Cost Of Sales]]</f>
        <v>-25322.199950193928</v>
      </c>
    </row>
    <row r="435" spans="1:5" x14ac:dyDescent="0.3">
      <c r="A435" s="2">
        <v>42071</v>
      </c>
      <c r="B435" s="3">
        <v>122106.7956223864</v>
      </c>
      <c r="C435" s="3">
        <v>121394.8122011722</v>
      </c>
      <c r="D435" s="3">
        <v>2966</v>
      </c>
      <c r="E435" s="3">
        <f>SalesMasterTable[[#This Row],[Sales]]-SalesMasterTable[[#This Row],[Cost Of Sales]]</f>
        <v>711.98342121420137</v>
      </c>
    </row>
    <row r="436" spans="1:5" x14ac:dyDescent="0.3">
      <c r="A436" s="2">
        <v>42072</v>
      </c>
      <c r="B436" s="3">
        <v>117661.2807925471</v>
      </c>
      <c r="C436" s="3">
        <v>116861.1582735515</v>
      </c>
      <c r="D436" s="3">
        <v>2858</v>
      </c>
      <c r="E436" s="3">
        <f>SalesMasterTable[[#This Row],[Sales]]-SalesMasterTable[[#This Row],[Cost Of Sales]]</f>
        <v>800.12251899560215</v>
      </c>
    </row>
    <row r="437" spans="1:5" x14ac:dyDescent="0.3">
      <c r="A437" s="2">
        <v>42073</v>
      </c>
      <c r="B437" s="3">
        <v>62499.799171560371</v>
      </c>
      <c r="C437" s="3">
        <v>62073.872654165207</v>
      </c>
      <c r="D437" s="3">
        <v>1518</v>
      </c>
      <c r="E437" s="3">
        <f>SalesMasterTable[[#This Row],[Sales]]-SalesMasterTable[[#This Row],[Cost Of Sales]]</f>
        <v>425.92651739516441</v>
      </c>
    </row>
    <row r="438" spans="1:5" x14ac:dyDescent="0.3">
      <c r="A438" s="2">
        <v>42074</v>
      </c>
      <c r="B438" s="3">
        <v>57063.98412427037</v>
      </c>
      <c r="C438" s="3">
        <v>56638.281370608107</v>
      </c>
      <c r="D438" s="3">
        <v>1386</v>
      </c>
      <c r="E438" s="3">
        <f>SalesMasterTable[[#This Row],[Sales]]-SalesMasterTable[[#This Row],[Cost Of Sales]]</f>
        <v>425.70275366226269</v>
      </c>
    </row>
    <row r="439" spans="1:5" x14ac:dyDescent="0.3">
      <c r="A439" s="2">
        <v>42075</v>
      </c>
      <c r="B439" s="3">
        <v>48008.482841660247</v>
      </c>
      <c r="C439" s="3">
        <v>47681.672078871583</v>
      </c>
      <c r="D439" s="3">
        <v>1166</v>
      </c>
      <c r="E439" s="3">
        <f>SalesMasterTable[[#This Row],[Sales]]-SalesMasterTable[[#This Row],[Cost Of Sales]]</f>
        <v>326.81076278866385</v>
      </c>
    </row>
    <row r="440" spans="1:5" x14ac:dyDescent="0.3">
      <c r="A440" s="2">
        <v>42076</v>
      </c>
      <c r="B440" s="3">
        <v>117446.83911330831</v>
      </c>
      <c r="C440" s="3">
        <v>116681.1415516587</v>
      </c>
      <c r="D440" s="3">
        <v>2853</v>
      </c>
      <c r="E440" s="3">
        <f>SalesMasterTable[[#This Row],[Sales]]-SalesMasterTable[[#This Row],[Cost Of Sales]]</f>
        <v>765.69756164960563</v>
      </c>
    </row>
    <row r="441" spans="1:5" x14ac:dyDescent="0.3">
      <c r="A441" s="2">
        <v>42077</v>
      </c>
      <c r="B441" s="3">
        <v>150591.5479008352</v>
      </c>
      <c r="C441" s="3">
        <v>149573.8275926896</v>
      </c>
      <c r="D441" s="3">
        <v>3657</v>
      </c>
      <c r="E441" s="3">
        <f>SalesMasterTable[[#This Row],[Sales]]-SalesMasterTable[[#This Row],[Cost Of Sales]]</f>
        <v>1017.7203081455955</v>
      </c>
    </row>
    <row r="442" spans="1:5" x14ac:dyDescent="0.3">
      <c r="A442" s="2">
        <v>42078</v>
      </c>
      <c r="B442" s="3">
        <v>67152.474953640369</v>
      </c>
      <c r="C442" s="3">
        <v>66802.983217839879</v>
      </c>
      <c r="D442" s="3">
        <v>1631</v>
      </c>
      <c r="E442" s="3">
        <f>SalesMasterTable[[#This Row],[Sales]]-SalesMasterTable[[#This Row],[Cost Of Sales]]</f>
        <v>349.49173580048955</v>
      </c>
    </row>
    <row r="443" spans="1:5" x14ac:dyDescent="0.3">
      <c r="A443" s="2">
        <v>42079</v>
      </c>
      <c r="B443" s="3">
        <v>80635.289248590489</v>
      </c>
      <c r="C443" s="3">
        <v>80121.290522541603</v>
      </c>
      <c r="D443" s="3">
        <v>1959</v>
      </c>
      <c r="E443" s="3">
        <f>SalesMasterTable[[#This Row],[Sales]]-SalesMasterTable[[#This Row],[Cost Of Sales]]</f>
        <v>513.99872604888515</v>
      </c>
    </row>
    <row r="444" spans="1:5" x14ac:dyDescent="0.3">
      <c r="A444" s="2">
        <v>42080</v>
      </c>
      <c r="B444" s="3">
        <v>50669.637098340369</v>
      </c>
      <c r="C444" s="3">
        <v>50308.957054208033</v>
      </c>
      <c r="D444" s="3">
        <v>1230</v>
      </c>
      <c r="E444" s="3">
        <f>SalesMasterTable[[#This Row],[Sales]]-SalesMasterTable[[#This Row],[Cost Of Sales]]</f>
        <v>360.68004413233575</v>
      </c>
    </row>
    <row r="445" spans="1:5" x14ac:dyDescent="0.3">
      <c r="A445" s="2">
        <v>42081</v>
      </c>
      <c r="B445" s="3">
        <v>48648.992664940248</v>
      </c>
      <c r="C445" s="3">
        <v>48362.068791947771</v>
      </c>
      <c r="D445" s="3">
        <v>1182</v>
      </c>
      <c r="E445" s="3">
        <f>SalesMasterTable[[#This Row],[Sales]]-SalesMasterTable[[#This Row],[Cost Of Sales]]</f>
        <v>286.92387299247639</v>
      </c>
    </row>
    <row r="446" spans="1:5" x14ac:dyDescent="0.3">
      <c r="A446" s="2">
        <v>42082</v>
      </c>
      <c r="B446" s="3">
        <v>43213.177617650254</v>
      </c>
      <c r="C446" s="3">
        <v>42981.216847754557</v>
      </c>
      <c r="D446" s="3">
        <v>1050</v>
      </c>
      <c r="E446" s="3">
        <f>SalesMasterTable[[#This Row],[Sales]]-SalesMasterTable[[#This Row],[Cost Of Sales]]</f>
        <v>231.96076989569701</v>
      </c>
    </row>
    <row r="447" spans="1:5" x14ac:dyDescent="0.3">
      <c r="A447" s="2">
        <v>42083</v>
      </c>
      <c r="B447" s="3">
        <v>96881.018094589395</v>
      </c>
      <c r="C447" s="3">
        <v>96453.287284883205</v>
      </c>
      <c r="D447" s="3">
        <v>2353</v>
      </c>
      <c r="E447" s="3">
        <f>SalesMasterTable[[#This Row],[Sales]]-SalesMasterTable[[#This Row],[Cost Of Sales]]</f>
        <v>427.73080970619048</v>
      </c>
    </row>
    <row r="448" spans="1:5" x14ac:dyDescent="0.3">
      <c r="A448" s="2">
        <v>42084</v>
      </c>
      <c r="B448" s="3">
        <v>121360.8851412364</v>
      </c>
      <c r="C448" s="3">
        <v>120829.2879710704</v>
      </c>
      <c r="D448" s="3">
        <v>2947</v>
      </c>
      <c r="E448" s="3">
        <f>SalesMasterTable[[#This Row],[Sales]]-SalesMasterTable[[#This Row],[Cost Of Sales]]</f>
        <v>531.59717016600189</v>
      </c>
    </row>
    <row r="449" spans="1:5" x14ac:dyDescent="0.3">
      <c r="A449" s="2">
        <v>42085</v>
      </c>
      <c r="B449" s="3">
        <v>66954.366371970376</v>
      </c>
      <c r="C449" s="3">
        <v>66756.376443642119</v>
      </c>
      <c r="D449" s="3">
        <v>1626</v>
      </c>
      <c r="E449" s="3">
        <f>SalesMasterTable[[#This Row],[Sales]]-SalesMasterTable[[#This Row],[Cost Of Sales]]</f>
        <v>197.98992832825752</v>
      </c>
    </row>
    <row r="450" spans="1:5" x14ac:dyDescent="0.3">
      <c r="A450" s="2">
        <v>42086</v>
      </c>
      <c r="B450" s="3">
        <v>81342.150763930375</v>
      </c>
      <c r="C450" s="3">
        <v>81132.012897235923</v>
      </c>
      <c r="D450" s="3">
        <v>1976</v>
      </c>
      <c r="E450" s="3">
        <f>SalesMasterTable[[#This Row],[Sales]]-SalesMasterTable[[#This Row],[Cost Of Sales]]</f>
        <v>210.13786669445108</v>
      </c>
    </row>
    <row r="451" spans="1:5" x14ac:dyDescent="0.3">
      <c r="A451" s="2">
        <v>42087</v>
      </c>
      <c r="B451" s="3">
        <v>125060.7079117364</v>
      </c>
      <c r="C451" s="3">
        <v>136375.1527135167</v>
      </c>
      <c r="D451" s="3">
        <v>3312</v>
      </c>
      <c r="E451" s="3">
        <f>SalesMasterTable[[#This Row],[Sales]]-SalesMasterTable[[#This Row],[Cost Of Sales]]</f>
        <v>-11314.444801780293</v>
      </c>
    </row>
    <row r="452" spans="1:5" x14ac:dyDescent="0.3">
      <c r="A452" s="2">
        <v>42088</v>
      </c>
      <c r="B452" s="3">
        <v>253218.83124198421</v>
      </c>
      <c r="C452" s="3">
        <v>276194.82948404271</v>
      </c>
      <c r="D452" s="3">
        <v>6704</v>
      </c>
      <c r="E452" s="3">
        <f>SalesMasterTable[[#This Row],[Sales]]-SalesMasterTable[[#This Row],[Cost Of Sales]]</f>
        <v>-22975.9982420585</v>
      </c>
    </row>
    <row r="453" spans="1:5" x14ac:dyDescent="0.3">
      <c r="A453" s="2">
        <v>42089</v>
      </c>
      <c r="B453" s="3">
        <v>229184.47188046671</v>
      </c>
      <c r="C453" s="3">
        <v>250361.15020932569</v>
      </c>
      <c r="D453" s="3">
        <v>6077</v>
      </c>
      <c r="E453" s="3">
        <f>SalesMasterTable[[#This Row],[Sales]]-SalesMasterTable[[#This Row],[Cost Of Sales]]</f>
        <v>-21176.67832885898</v>
      </c>
    </row>
    <row r="454" spans="1:5" x14ac:dyDescent="0.3">
      <c r="A454" s="2">
        <v>42090</v>
      </c>
      <c r="B454" s="3">
        <v>354191.35095056967</v>
      </c>
      <c r="C454" s="3">
        <v>386464.65132698609</v>
      </c>
      <c r="D454" s="3">
        <v>9386</v>
      </c>
      <c r="E454" s="3">
        <f>SalesMasterTable[[#This Row],[Sales]]-SalesMasterTable[[#This Row],[Cost Of Sales]]</f>
        <v>-32273.300376416417</v>
      </c>
    </row>
    <row r="455" spans="1:5" x14ac:dyDescent="0.3">
      <c r="A455" s="2">
        <v>42091</v>
      </c>
      <c r="B455" s="3">
        <v>459484.66663548641</v>
      </c>
      <c r="C455" s="3">
        <v>501362.57249034831</v>
      </c>
      <c r="D455" s="3">
        <v>12181</v>
      </c>
      <c r="E455" s="3">
        <f>SalesMasterTable[[#This Row],[Sales]]-SalesMasterTable[[#This Row],[Cost Of Sales]]</f>
        <v>-41877.905854861892</v>
      </c>
    </row>
    <row r="456" spans="1:5" x14ac:dyDescent="0.3">
      <c r="A456" s="2">
        <v>42092</v>
      </c>
      <c r="B456" s="3">
        <v>224102.88847081421</v>
      </c>
      <c r="C456" s="3">
        <v>244359.80746223289</v>
      </c>
      <c r="D456" s="3">
        <v>5937</v>
      </c>
      <c r="E456" s="3">
        <f>SalesMasterTable[[#This Row],[Sales]]-SalesMasterTable[[#This Row],[Cost Of Sales]]</f>
        <v>-20256.918991418672</v>
      </c>
    </row>
    <row r="457" spans="1:5" x14ac:dyDescent="0.3">
      <c r="A457" s="2">
        <v>42093</v>
      </c>
      <c r="B457" s="3">
        <v>215203.5587823579</v>
      </c>
      <c r="C457" s="3">
        <v>234819.44742668921</v>
      </c>
      <c r="D457" s="3">
        <v>5706</v>
      </c>
      <c r="E457" s="3">
        <f>SalesMasterTable[[#This Row],[Sales]]-SalesMasterTable[[#This Row],[Cost Of Sales]]</f>
        <v>-19615.888644331309</v>
      </c>
    </row>
    <row r="458" spans="1:5" x14ac:dyDescent="0.3">
      <c r="A458" s="2">
        <v>42094</v>
      </c>
      <c r="B458" s="3">
        <v>355534.91204206698</v>
      </c>
      <c r="C458" s="3">
        <v>386988.91474848392</v>
      </c>
      <c r="D458" s="3">
        <v>9421</v>
      </c>
      <c r="E458" s="3">
        <f>SalesMasterTable[[#This Row],[Sales]]-SalesMasterTable[[#This Row],[Cost Of Sales]]</f>
        <v>-31454.002706416941</v>
      </c>
    </row>
    <row r="459" spans="1:5" x14ac:dyDescent="0.3">
      <c r="A459" s="2">
        <v>42095</v>
      </c>
      <c r="B459" s="3">
        <v>498894.34393015638</v>
      </c>
      <c r="C459" s="3">
        <v>542483.83580550889</v>
      </c>
      <c r="D459" s="3">
        <v>13207</v>
      </c>
      <c r="E459" s="3">
        <f>SalesMasterTable[[#This Row],[Sales]]-SalesMasterTable[[#This Row],[Cost Of Sales]]</f>
        <v>-43589.491875352513</v>
      </c>
    </row>
    <row r="460" spans="1:5" x14ac:dyDescent="0.3">
      <c r="A460" s="2">
        <v>42096</v>
      </c>
      <c r="B460" s="3">
        <v>715032.18987024296</v>
      </c>
      <c r="C460" s="3">
        <v>777522.19275101577</v>
      </c>
      <c r="D460" s="3">
        <v>18936</v>
      </c>
      <c r="E460" s="3">
        <f>SalesMasterTable[[#This Row],[Sales]]-SalesMasterTable[[#This Row],[Cost Of Sales]]</f>
        <v>-62490.002880772809</v>
      </c>
    </row>
    <row r="461" spans="1:5" x14ac:dyDescent="0.3">
      <c r="A461" s="2">
        <v>42097</v>
      </c>
      <c r="B461" s="3">
        <v>510289.21560512908</v>
      </c>
      <c r="C461" s="3">
        <v>554159.81941342691</v>
      </c>
      <c r="D461" s="3">
        <v>13503</v>
      </c>
      <c r="E461" s="3">
        <f>SalesMasterTable[[#This Row],[Sales]]-SalesMasterTable[[#This Row],[Cost Of Sales]]</f>
        <v>-43870.603808297834</v>
      </c>
    </row>
    <row r="462" spans="1:5" x14ac:dyDescent="0.3">
      <c r="A462" s="2">
        <v>42098</v>
      </c>
      <c r="B462" s="3">
        <v>400302.03949241102</v>
      </c>
      <c r="C462" s="3">
        <v>434872.72891034582</v>
      </c>
      <c r="D462" s="3">
        <v>10600</v>
      </c>
      <c r="E462" s="3">
        <f>SalesMasterTable[[#This Row],[Sales]]-SalesMasterTable[[#This Row],[Cost Of Sales]]</f>
        <v>-34570.689417934802</v>
      </c>
    </row>
    <row r="463" spans="1:5" x14ac:dyDescent="0.3">
      <c r="A463" s="2">
        <v>42099</v>
      </c>
      <c r="B463" s="3">
        <v>135578.20344503759</v>
      </c>
      <c r="C463" s="3">
        <v>147335.92505366591</v>
      </c>
      <c r="D463" s="3">
        <v>3591</v>
      </c>
      <c r="E463" s="3">
        <f>SalesMasterTable[[#This Row],[Sales]]-SalesMasterTable[[#This Row],[Cost Of Sales]]</f>
        <v>-11757.721608628315</v>
      </c>
    </row>
    <row r="464" spans="1:5" x14ac:dyDescent="0.3">
      <c r="A464" s="2">
        <v>42100</v>
      </c>
      <c r="B464" s="3">
        <v>182466.2552086603</v>
      </c>
      <c r="C464" s="3">
        <v>198405.2291123257</v>
      </c>
      <c r="D464" s="3">
        <v>4836</v>
      </c>
      <c r="E464" s="3">
        <f>SalesMasterTable[[#This Row],[Sales]]-SalesMasterTable[[#This Row],[Cost Of Sales]]</f>
        <v>-15938.973903665406</v>
      </c>
    </row>
    <row r="465" spans="1:5" x14ac:dyDescent="0.3">
      <c r="A465" s="2">
        <v>42101</v>
      </c>
      <c r="B465" s="3">
        <v>176814.2025694703</v>
      </c>
      <c r="C465" s="3">
        <v>178390.14906155379</v>
      </c>
      <c r="D465" s="3">
        <v>4348</v>
      </c>
      <c r="E465" s="3">
        <f>SalesMasterTable[[#This Row],[Sales]]-SalesMasterTable[[#This Row],[Cost Of Sales]]</f>
        <v>-1575.9464920834871</v>
      </c>
    </row>
    <row r="466" spans="1:5" x14ac:dyDescent="0.3">
      <c r="A466" s="2">
        <v>42102</v>
      </c>
      <c r="B466" s="3">
        <v>100917.67156519881</v>
      </c>
      <c r="C466" s="3">
        <v>100579.12894836511</v>
      </c>
      <c r="D466" s="3">
        <v>2451</v>
      </c>
      <c r="E466" s="3">
        <f>SalesMasterTable[[#This Row],[Sales]]-SalesMasterTable[[#This Row],[Cost Of Sales]]</f>
        <v>338.54261683369987</v>
      </c>
    </row>
    <row r="467" spans="1:5" x14ac:dyDescent="0.3">
      <c r="A467" s="2">
        <v>42103</v>
      </c>
      <c r="B467" s="3">
        <v>74690.672729450496</v>
      </c>
      <c r="C467" s="3">
        <v>74427.585972183966</v>
      </c>
      <c r="D467" s="3">
        <v>1814</v>
      </c>
      <c r="E467" s="3">
        <f>SalesMasterTable[[#This Row],[Sales]]-SalesMasterTable[[#This Row],[Cost Of Sales]]</f>
        <v>263.08675726653019</v>
      </c>
    </row>
    <row r="468" spans="1:5" x14ac:dyDescent="0.3">
      <c r="A468" s="2">
        <v>42104</v>
      </c>
      <c r="B468" s="3">
        <v>114067.0771017275</v>
      </c>
      <c r="C468" s="3">
        <v>113653.97356322029</v>
      </c>
      <c r="D468" s="3">
        <v>2770</v>
      </c>
      <c r="E468" s="3">
        <f>SalesMasterTable[[#This Row],[Sales]]-SalesMasterTable[[#This Row],[Cost Of Sales]]</f>
        <v>413.10353850720276</v>
      </c>
    </row>
    <row r="469" spans="1:5" x14ac:dyDescent="0.3">
      <c r="A469" s="2">
        <v>42105</v>
      </c>
      <c r="B469" s="3">
        <v>126507.8009411664</v>
      </c>
      <c r="C469" s="3">
        <v>126043.76915933751</v>
      </c>
      <c r="D469" s="3">
        <v>3072</v>
      </c>
      <c r="E469" s="3">
        <f>SalesMasterTable[[#This Row],[Sales]]-SalesMasterTable[[#This Row],[Cost Of Sales]]</f>
        <v>464.03178182888951</v>
      </c>
    </row>
    <row r="470" spans="1:5" x14ac:dyDescent="0.3">
      <c r="A470" s="2">
        <v>42106</v>
      </c>
      <c r="B470" s="3">
        <v>79648.629394640506</v>
      </c>
      <c r="C470" s="3">
        <v>79349.402451342714</v>
      </c>
      <c r="D470" s="3">
        <v>1934</v>
      </c>
      <c r="E470" s="3">
        <f>SalesMasterTable[[#This Row],[Sales]]-SalesMasterTable[[#This Row],[Cost Of Sales]]</f>
        <v>299.22694329779188</v>
      </c>
    </row>
    <row r="471" spans="1:5" x14ac:dyDescent="0.3">
      <c r="A471" s="2">
        <v>42107</v>
      </c>
      <c r="B471" s="3">
        <v>83137.432427590247</v>
      </c>
      <c r="C471" s="3">
        <v>82700.354170302948</v>
      </c>
      <c r="D471" s="3">
        <v>2019</v>
      </c>
      <c r="E471" s="3">
        <f>SalesMasterTable[[#This Row],[Sales]]-SalesMasterTable[[#This Row],[Cost Of Sales]]</f>
        <v>437.07825728729949</v>
      </c>
    </row>
    <row r="472" spans="1:5" x14ac:dyDescent="0.3">
      <c r="A472" s="2">
        <v>42108</v>
      </c>
      <c r="B472" s="3">
        <v>40776.027061670247</v>
      </c>
      <c r="C472" s="3">
        <v>39940.199579223197</v>
      </c>
      <c r="D472" s="3">
        <v>979</v>
      </c>
      <c r="E472" s="3">
        <f>SalesMasterTable[[#This Row],[Sales]]-SalesMasterTable[[#This Row],[Cost Of Sales]]</f>
        <v>835.82748244704999</v>
      </c>
    </row>
    <row r="473" spans="1:5" x14ac:dyDescent="0.3">
      <c r="A473" s="2">
        <v>42109</v>
      </c>
      <c r="B473" s="3">
        <v>58278.457926050367</v>
      </c>
      <c r="C473" s="3">
        <v>56969.922594239448</v>
      </c>
      <c r="D473" s="3">
        <v>1398</v>
      </c>
      <c r="E473" s="3">
        <f>SalesMasterTable[[#This Row],[Sales]]-SalesMasterTable[[#This Row],[Cost Of Sales]]</f>
        <v>1308.5353318109192</v>
      </c>
    </row>
    <row r="474" spans="1:5" x14ac:dyDescent="0.3">
      <c r="A474" s="2">
        <v>42110</v>
      </c>
      <c r="B474" s="3">
        <v>50000.101443420237</v>
      </c>
      <c r="C474" s="3">
        <v>48827.885381172753</v>
      </c>
      <c r="D474" s="3">
        <v>1198</v>
      </c>
      <c r="E474" s="3">
        <f>SalesMasterTable[[#This Row],[Sales]]-SalesMasterTable[[#This Row],[Cost Of Sales]]</f>
        <v>1172.2160622474839</v>
      </c>
    </row>
    <row r="475" spans="1:5" x14ac:dyDescent="0.3">
      <c r="A475" s="2">
        <v>42111</v>
      </c>
      <c r="B475" s="3">
        <v>103911.9190821282</v>
      </c>
      <c r="C475" s="3">
        <v>101408.94958672021</v>
      </c>
      <c r="D475" s="3">
        <v>2485</v>
      </c>
      <c r="E475" s="3">
        <f>SalesMasterTable[[#This Row],[Sales]]-SalesMasterTable[[#This Row],[Cost Of Sales]]</f>
        <v>2502.9694954079896</v>
      </c>
    </row>
    <row r="476" spans="1:5" x14ac:dyDescent="0.3">
      <c r="A476" s="2">
        <v>42112</v>
      </c>
      <c r="B476" s="3">
        <v>132843.22261657639</v>
      </c>
      <c r="C476" s="3">
        <v>129545.5321235172</v>
      </c>
      <c r="D476" s="3">
        <v>3172</v>
      </c>
      <c r="E476" s="3">
        <f>SalesMasterTable[[#This Row],[Sales]]-SalesMasterTable[[#This Row],[Cost Of Sales]]</f>
        <v>3297.6904930591845</v>
      </c>
    </row>
    <row r="477" spans="1:5" x14ac:dyDescent="0.3">
      <c r="A477" s="2">
        <v>42113</v>
      </c>
      <c r="B477" s="3">
        <v>62786.611277180004</v>
      </c>
      <c r="C477" s="3">
        <v>61213.255905066573</v>
      </c>
      <c r="D477" s="3">
        <v>1497</v>
      </c>
      <c r="E477" s="3">
        <f>SalesMasterTable[[#This Row],[Sales]]-SalesMasterTable[[#This Row],[Cost Of Sales]]</f>
        <v>1573.3553721134303</v>
      </c>
    </row>
    <row r="478" spans="1:5" x14ac:dyDescent="0.3">
      <c r="A478" s="2">
        <v>42114</v>
      </c>
      <c r="B478" s="3">
        <v>57233.406641560126</v>
      </c>
      <c r="C478" s="3">
        <v>55706.875425596532</v>
      </c>
      <c r="D478" s="3">
        <v>1365</v>
      </c>
      <c r="E478" s="3">
        <f>SalesMasterTable[[#This Row],[Sales]]-SalesMasterTable[[#This Row],[Cost Of Sales]]</f>
        <v>1526.5312159635941</v>
      </c>
    </row>
    <row r="479" spans="1:5" x14ac:dyDescent="0.3">
      <c r="A479" s="2">
        <v>42115</v>
      </c>
      <c r="B479" s="3">
        <v>56874.345455010007</v>
      </c>
      <c r="C479" s="3">
        <v>55172.171225548656</v>
      </c>
      <c r="D479" s="3">
        <v>1353</v>
      </c>
      <c r="E479" s="3">
        <f>SalesMasterTable[[#This Row],[Sales]]-SalesMasterTable[[#This Row],[Cost Of Sales]]</f>
        <v>1702.1742294613505</v>
      </c>
    </row>
    <row r="480" spans="1:5" x14ac:dyDescent="0.3">
      <c r="A480" s="2">
        <v>42116</v>
      </c>
      <c r="B480" s="3">
        <v>132737.73701689861</v>
      </c>
      <c r="C480" s="3">
        <v>140263.9301023919</v>
      </c>
      <c r="D480" s="3">
        <v>3439</v>
      </c>
      <c r="E480" s="3">
        <f>SalesMasterTable[[#This Row],[Sales]]-SalesMasterTable[[#This Row],[Cost Of Sales]]</f>
        <v>-7526.1930854932871</v>
      </c>
    </row>
    <row r="481" spans="1:5" x14ac:dyDescent="0.3">
      <c r="A481" s="2">
        <v>42117</v>
      </c>
      <c r="B481" s="3">
        <v>60310.338948120007</v>
      </c>
      <c r="C481" s="3">
        <v>58446.054929901373</v>
      </c>
      <c r="D481" s="3">
        <v>1434</v>
      </c>
      <c r="E481" s="3">
        <f>SalesMasterTable[[#This Row],[Sales]]-SalesMasterTable[[#This Row],[Cost Of Sales]]</f>
        <v>1864.2840182186337</v>
      </c>
    </row>
    <row r="482" spans="1:5" x14ac:dyDescent="0.3">
      <c r="A482" s="2">
        <v>42118</v>
      </c>
      <c r="B482" s="3">
        <v>343587.00847871922</v>
      </c>
      <c r="C482" s="3">
        <v>362390.59604190831</v>
      </c>
      <c r="D482" s="3">
        <v>8892</v>
      </c>
      <c r="E482" s="3">
        <f>SalesMasterTable[[#This Row],[Sales]]-SalesMasterTable[[#This Row],[Cost Of Sales]]</f>
        <v>-18803.587563189096</v>
      </c>
    </row>
    <row r="483" spans="1:5" x14ac:dyDescent="0.3">
      <c r="A483" s="2">
        <v>42119</v>
      </c>
      <c r="B483" s="3">
        <v>496882.31502370269</v>
      </c>
      <c r="C483" s="3">
        <v>535306.00987018819</v>
      </c>
      <c r="D483" s="3">
        <v>13144</v>
      </c>
      <c r="E483" s="3">
        <f>SalesMasterTable[[#This Row],[Sales]]-SalesMasterTable[[#This Row],[Cost Of Sales]]</f>
        <v>-38423.694846485509</v>
      </c>
    </row>
    <row r="484" spans="1:5" x14ac:dyDescent="0.3">
      <c r="A484" s="2">
        <v>42120</v>
      </c>
      <c r="B484" s="3">
        <v>200369.82986166119</v>
      </c>
      <c r="C484" s="3">
        <v>210964.76808699651</v>
      </c>
      <c r="D484" s="3">
        <v>5179</v>
      </c>
      <c r="E484" s="3">
        <f>SalesMasterTable[[#This Row],[Sales]]-SalesMasterTable[[#This Row],[Cost Of Sales]]</f>
        <v>-10594.938225335325</v>
      </c>
    </row>
    <row r="485" spans="1:5" x14ac:dyDescent="0.3">
      <c r="A485" s="2">
        <v>42121</v>
      </c>
      <c r="B485" s="3">
        <v>194028.06181921621</v>
      </c>
      <c r="C485" s="3">
        <v>204053.49893464721</v>
      </c>
      <c r="D485" s="3">
        <v>5014</v>
      </c>
      <c r="E485" s="3">
        <f>SalesMasterTable[[#This Row],[Sales]]-SalesMasterTable[[#This Row],[Cost Of Sales]]</f>
        <v>-10025.437115431007</v>
      </c>
    </row>
    <row r="486" spans="1:5" x14ac:dyDescent="0.3">
      <c r="A486" s="2">
        <v>42122</v>
      </c>
      <c r="B486" s="3">
        <v>190560.57918183241</v>
      </c>
      <c r="C486" s="3">
        <v>200804.03684509991</v>
      </c>
      <c r="D486" s="3">
        <v>4936</v>
      </c>
      <c r="E486" s="3">
        <f>SalesMasterTable[[#This Row],[Sales]]-SalesMasterTable[[#This Row],[Cost Of Sales]]</f>
        <v>-10243.457663267502</v>
      </c>
    </row>
    <row r="487" spans="1:5" x14ac:dyDescent="0.3">
      <c r="A487" s="2">
        <v>42123</v>
      </c>
      <c r="B487" s="3">
        <v>198985.3996226124</v>
      </c>
      <c r="C487" s="3">
        <v>209483.87580877281</v>
      </c>
      <c r="D487" s="3">
        <v>5150</v>
      </c>
      <c r="E487" s="3">
        <f>SalesMasterTable[[#This Row],[Sales]]-SalesMasterTable[[#This Row],[Cost Of Sales]]</f>
        <v>-10498.476186160406</v>
      </c>
    </row>
    <row r="488" spans="1:5" x14ac:dyDescent="0.3">
      <c r="A488" s="2">
        <v>42124</v>
      </c>
      <c r="B488" s="3">
        <v>385482.8720257082</v>
      </c>
      <c r="C488" s="3">
        <v>406252.00759341638</v>
      </c>
      <c r="D488" s="3">
        <v>9986</v>
      </c>
      <c r="E488" s="3">
        <f>SalesMasterTable[[#This Row],[Sales]]-SalesMasterTable[[#This Row],[Cost Of Sales]]</f>
        <v>-20769.135567708174</v>
      </c>
    </row>
    <row r="489" spans="1:5" x14ac:dyDescent="0.3">
      <c r="A489" s="2">
        <v>42125</v>
      </c>
      <c r="B489" s="3">
        <v>499703.41471803008</v>
      </c>
      <c r="C489" s="3">
        <v>526206.93717221648</v>
      </c>
      <c r="D489" s="3">
        <v>12937</v>
      </c>
      <c r="E489" s="3">
        <f>SalesMasterTable[[#This Row],[Sales]]-SalesMasterTable[[#This Row],[Cost Of Sales]]</f>
        <v>-26503.522454186401</v>
      </c>
    </row>
    <row r="490" spans="1:5" x14ac:dyDescent="0.3">
      <c r="A490" s="2">
        <v>42126</v>
      </c>
      <c r="B490" s="3">
        <v>461667.00388101261</v>
      </c>
      <c r="C490" s="3">
        <v>496852.8019930757</v>
      </c>
      <c r="D490" s="3">
        <v>12217</v>
      </c>
      <c r="E490" s="3">
        <f>SalesMasterTable[[#This Row],[Sales]]-SalesMasterTable[[#This Row],[Cost Of Sales]]</f>
        <v>-35185.798112063087</v>
      </c>
    </row>
    <row r="491" spans="1:5" x14ac:dyDescent="0.3">
      <c r="A491" s="2">
        <v>42127</v>
      </c>
      <c r="B491" s="3">
        <v>259541.60872151391</v>
      </c>
      <c r="C491" s="3">
        <v>273280.04637040471</v>
      </c>
      <c r="D491" s="3">
        <v>6721</v>
      </c>
      <c r="E491" s="3">
        <f>SalesMasterTable[[#This Row],[Sales]]-SalesMasterTable[[#This Row],[Cost Of Sales]]</f>
        <v>-13738.437648890802</v>
      </c>
    </row>
    <row r="492" spans="1:5" x14ac:dyDescent="0.3">
      <c r="A492" s="2">
        <v>42128</v>
      </c>
      <c r="B492" s="3">
        <v>320309.27440158668</v>
      </c>
      <c r="C492" s="3">
        <v>336742.60236538568</v>
      </c>
      <c r="D492" s="3">
        <v>8283</v>
      </c>
      <c r="E492" s="3">
        <f>SalesMasterTable[[#This Row],[Sales]]-SalesMasterTable[[#This Row],[Cost Of Sales]]</f>
        <v>-16433.327963799005</v>
      </c>
    </row>
    <row r="493" spans="1:5" x14ac:dyDescent="0.3">
      <c r="A493" s="2">
        <v>42129</v>
      </c>
      <c r="B493" s="3">
        <v>239922.99815095021</v>
      </c>
      <c r="C493" s="3">
        <v>251700.96640120179</v>
      </c>
      <c r="D493" s="3">
        <v>6191</v>
      </c>
      <c r="E493" s="3">
        <f>SalesMasterTable[[#This Row],[Sales]]-SalesMasterTable[[#This Row],[Cost Of Sales]]</f>
        <v>-11777.968250251579</v>
      </c>
    </row>
    <row r="494" spans="1:5" x14ac:dyDescent="0.3">
      <c r="A494" s="2">
        <v>42130</v>
      </c>
      <c r="B494" s="3">
        <v>224994.1950701554</v>
      </c>
      <c r="C494" s="3">
        <v>242259.85953966621</v>
      </c>
      <c r="D494" s="3">
        <v>5959</v>
      </c>
      <c r="E494" s="3">
        <f>SalesMasterTable[[#This Row],[Sales]]-SalesMasterTable[[#This Row],[Cost Of Sales]]</f>
        <v>-17265.664469510812</v>
      </c>
    </row>
    <row r="495" spans="1:5" x14ac:dyDescent="0.3">
      <c r="A495" s="2">
        <v>42131</v>
      </c>
      <c r="B495" s="3">
        <v>117197.9717299037</v>
      </c>
      <c r="C495" s="3">
        <v>115769.08632788141</v>
      </c>
      <c r="D495" s="3">
        <v>2848</v>
      </c>
      <c r="E495" s="3">
        <f>SalesMasterTable[[#This Row],[Sales]]-SalesMasterTable[[#This Row],[Cost Of Sales]]</f>
        <v>1428.8854020222934</v>
      </c>
    </row>
    <row r="496" spans="1:5" x14ac:dyDescent="0.3">
      <c r="A496" s="2">
        <v>42132</v>
      </c>
      <c r="B496" s="3">
        <v>330589.1998128597</v>
      </c>
      <c r="C496" s="3">
        <v>355565.04173447768</v>
      </c>
      <c r="D496" s="3">
        <v>8748</v>
      </c>
      <c r="E496" s="3">
        <f>SalesMasterTable[[#This Row],[Sales]]-SalesMasterTable[[#This Row],[Cost Of Sales]]</f>
        <v>-24975.841921617975</v>
      </c>
    </row>
    <row r="497" spans="1:5" x14ac:dyDescent="0.3">
      <c r="A497" s="2">
        <v>42133</v>
      </c>
      <c r="B497" s="3">
        <v>389972.11975571001</v>
      </c>
      <c r="C497" s="3">
        <v>419827.1365222265</v>
      </c>
      <c r="D497" s="3">
        <v>10329</v>
      </c>
      <c r="E497" s="3">
        <f>SalesMasterTable[[#This Row],[Sales]]-SalesMasterTable[[#This Row],[Cost Of Sales]]</f>
        <v>-29855.016766516492</v>
      </c>
    </row>
    <row r="498" spans="1:5" x14ac:dyDescent="0.3">
      <c r="A498" s="2">
        <v>42134</v>
      </c>
      <c r="B498" s="3">
        <v>166536.00026357031</v>
      </c>
      <c r="C498" s="3">
        <v>179243.05183339989</v>
      </c>
      <c r="D498" s="3">
        <v>4410</v>
      </c>
      <c r="E498" s="3">
        <f>SalesMasterTable[[#This Row],[Sales]]-SalesMasterTable[[#This Row],[Cost Of Sales]]</f>
        <v>-12707.051569829579</v>
      </c>
    </row>
    <row r="499" spans="1:5" x14ac:dyDescent="0.3">
      <c r="A499" s="2">
        <v>42135</v>
      </c>
      <c r="B499" s="3">
        <v>198442.91265382789</v>
      </c>
      <c r="C499" s="3">
        <v>213676.42842593021</v>
      </c>
      <c r="D499" s="3">
        <v>5257</v>
      </c>
      <c r="E499" s="3">
        <f>SalesMasterTable[[#This Row],[Sales]]-SalesMasterTable[[#This Row],[Cost Of Sales]]</f>
        <v>-15233.515772102313</v>
      </c>
    </row>
    <row r="500" spans="1:5" x14ac:dyDescent="0.3">
      <c r="A500" s="2">
        <v>42136</v>
      </c>
      <c r="B500" s="3">
        <v>193182.15055271279</v>
      </c>
      <c r="C500" s="3">
        <v>208039.1734455548</v>
      </c>
      <c r="D500" s="3">
        <v>5118</v>
      </c>
      <c r="E500" s="3">
        <f>SalesMasterTable[[#This Row],[Sales]]-SalesMasterTable[[#This Row],[Cost Of Sales]]</f>
        <v>-14857.022892842011</v>
      </c>
    </row>
    <row r="501" spans="1:5" x14ac:dyDescent="0.3">
      <c r="A501" s="2">
        <v>42137</v>
      </c>
      <c r="B501" s="3">
        <v>166403.12699582271</v>
      </c>
      <c r="C501" s="3">
        <v>179221.57229364</v>
      </c>
      <c r="D501" s="3">
        <v>4410</v>
      </c>
      <c r="E501" s="3">
        <f>SalesMasterTable[[#This Row],[Sales]]-SalesMasterTable[[#This Row],[Cost Of Sales]]</f>
        <v>-12818.445297817292</v>
      </c>
    </row>
    <row r="502" spans="1:5" x14ac:dyDescent="0.3">
      <c r="A502" s="2">
        <v>42138</v>
      </c>
      <c r="B502" s="3">
        <v>149178.60148103401</v>
      </c>
      <c r="C502" s="3">
        <v>160620.2071408729</v>
      </c>
      <c r="D502" s="3">
        <v>3952</v>
      </c>
      <c r="E502" s="3">
        <f>SalesMasterTable[[#This Row],[Sales]]-SalesMasterTable[[#This Row],[Cost Of Sales]]</f>
        <v>-11441.605659838882</v>
      </c>
    </row>
    <row r="503" spans="1:5" x14ac:dyDescent="0.3">
      <c r="A503" s="2">
        <v>42139</v>
      </c>
      <c r="B503" s="3">
        <v>380592.57758342719</v>
      </c>
      <c r="C503" s="3">
        <v>409812.43266368861</v>
      </c>
      <c r="D503" s="3">
        <v>10084</v>
      </c>
      <c r="E503" s="3">
        <f>SalesMasterTable[[#This Row],[Sales]]-SalesMasterTable[[#This Row],[Cost Of Sales]]</f>
        <v>-29219.855080261419</v>
      </c>
    </row>
    <row r="504" spans="1:5" x14ac:dyDescent="0.3">
      <c r="A504" s="2">
        <v>42140</v>
      </c>
      <c r="B504" s="3">
        <v>413700.17893234122</v>
      </c>
      <c r="C504" s="3">
        <v>445569.71910740522</v>
      </c>
      <c r="D504" s="3">
        <v>10964</v>
      </c>
      <c r="E504" s="3">
        <f>SalesMasterTable[[#This Row],[Sales]]-SalesMasterTable[[#This Row],[Cost Of Sales]]</f>
        <v>-31869.540175064001</v>
      </c>
    </row>
    <row r="505" spans="1:5" x14ac:dyDescent="0.3">
      <c r="A505" s="2">
        <v>42141</v>
      </c>
      <c r="B505" s="3">
        <v>177159.67306561911</v>
      </c>
      <c r="C505" s="3">
        <v>190811.57794423791</v>
      </c>
      <c r="D505" s="3">
        <v>4695</v>
      </c>
      <c r="E505" s="3">
        <f>SalesMasterTable[[#This Row],[Sales]]-SalesMasterTable[[#This Row],[Cost Of Sales]]</f>
        <v>-13651.904878618807</v>
      </c>
    </row>
    <row r="506" spans="1:5" x14ac:dyDescent="0.3">
      <c r="A506" s="2">
        <v>42142</v>
      </c>
      <c r="B506" s="3">
        <v>196420.7635368479</v>
      </c>
      <c r="C506" s="3">
        <v>211510.78612034491</v>
      </c>
      <c r="D506" s="3">
        <v>5205</v>
      </c>
      <c r="E506" s="3">
        <f>SalesMasterTable[[#This Row],[Sales]]-SalesMasterTable[[#This Row],[Cost Of Sales]]</f>
        <v>-15090.022583497019</v>
      </c>
    </row>
    <row r="507" spans="1:5" x14ac:dyDescent="0.3">
      <c r="A507" s="2">
        <v>42143</v>
      </c>
      <c r="B507" s="3">
        <v>137940.87216380521</v>
      </c>
      <c r="C507" s="3">
        <v>147846.05216339661</v>
      </c>
      <c r="D507" s="3">
        <v>3638</v>
      </c>
      <c r="E507" s="3">
        <f>SalesMasterTable[[#This Row],[Sales]]-SalesMasterTable[[#This Row],[Cost Of Sales]]</f>
        <v>-9905.1799995914043</v>
      </c>
    </row>
    <row r="508" spans="1:5" x14ac:dyDescent="0.3">
      <c r="A508" s="2">
        <v>42144</v>
      </c>
      <c r="B508" s="3">
        <v>166176.2838115927</v>
      </c>
      <c r="C508" s="3">
        <v>178568.18048077749</v>
      </c>
      <c r="D508" s="3">
        <v>4394</v>
      </c>
      <c r="E508" s="3">
        <f>SalesMasterTable[[#This Row],[Sales]]-SalesMasterTable[[#This Row],[Cost Of Sales]]</f>
        <v>-12391.896669184789</v>
      </c>
    </row>
    <row r="509" spans="1:5" x14ac:dyDescent="0.3">
      <c r="A509" s="2">
        <v>42145</v>
      </c>
      <c r="B509" s="3">
        <v>84604.377572639161</v>
      </c>
      <c r="C509" s="3">
        <v>81763.267389330111</v>
      </c>
      <c r="D509" s="3">
        <v>2012</v>
      </c>
      <c r="E509" s="3">
        <f>SalesMasterTable[[#This Row],[Sales]]-SalesMasterTable[[#This Row],[Cost Of Sales]]</f>
        <v>2841.1101833090506</v>
      </c>
    </row>
    <row r="510" spans="1:5" x14ac:dyDescent="0.3">
      <c r="A510" s="2">
        <v>42146</v>
      </c>
      <c r="B510" s="3">
        <v>321821.02028676088</v>
      </c>
      <c r="C510" s="3">
        <v>346487.52033416741</v>
      </c>
      <c r="D510" s="3">
        <v>8526</v>
      </c>
      <c r="E510" s="3">
        <f>SalesMasterTable[[#This Row],[Sales]]-SalesMasterTable[[#This Row],[Cost Of Sales]]</f>
        <v>-24666.500047406531</v>
      </c>
    </row>
    <row r="511" spans="1:5" x14ac:dyDescent="0.3">
      <c r="A511" s="2">
        <v>42147</v>
      </c>
      <c r="B511" s="3">
        <v>418715.41064993001</v>
      </c>
      <c r="C511" s="3">
        <v>450936.27926429448</v>
      </c>
      <c r="D511" s="3">
        <v>11096</v>
      </c>
      <c r="E511" s="3">
        <f>SalesMasterTable[[#This Row],[Sales]]-SalesMasterTable[[#This Row],[Cost Of Sales]]</f>
        <v>-32220.868614364474</v>
      </c>
    </row>
    <row r="512" spans="1:5" x14ac:dyDescent="0.3">
      <c r="A512" s="2">
        <v>42148</v>
      </c>
      <c r="B512" s="3">
        <v>169541.26594736151</v>
      </c>
      <c r="C512" s="3">
        <v>182419.1414416233</v>
      </c>
      <c r="D512" s="3">
        <v>4489</v>
      </c>
      <c r="E512" s="3">
        <f>SalesMasterTable[[#This Row],[Sales]]-SalesMasterTable[[#This Row],[Cost Of Sales]]</f>
        <v>-12877.875494261796</v>
      </c>
    </row>
    <row r="513" spans="1:5" x14ac:dyDescent="0.3">
      <c r="A513" s="2">
        <v>42149</v>
      </c>
      <c r="B513" s="3">
        <v>256434.50993607429</v>
      </c>
      <c r="C513" s="3">
        <v>276173.7924514967</v>
      </c>
      <c r="D513" s="3">
        <v>6795</v>
      </c>
      <c r="E513" s="3">
        <f>SalesMasterTable[[#This Row],[Sales]]-SalesMasterTable[[#This Row],[Cost Of Sales]]</f>
        <v>-19739.282515422412</v>
      </c>
    </row>
    <row r="514" spans="1:5" x14ac:dyDescent="0.3">
      <c r="A514" s="2">
        <v>42150</v>
      </c>
      <c r="B514" s="3">
        <v>199385.91241487031</v>
      </c>
      <c r="C514" s="3">
        <v>214719.75281922091</v>
      </c>
      <c r="D514" s="3">
        <v>5283</v>
      </c>
      <c r="E514" s="3">
        <f>SalesMasterTable[[#This Row],[Sales]]-SalesMasterTable[[#This Row],[Cost Of Sales]]</f>
        <v>-15333.840404350602</v>
      </c>
    </row>
    <row r="515" spans="1:5" x14ac:dyDescent="0.3">
      <c r="A515" s="2">
        <v>42151</v>
      </c>
      <c r="B515" s="3">
        <v>243554.22433855539</v>
      </c>
      <c r="C515" s="3">
        <v>262251.08007940761</v>
      </c>
      <c r="D515" s="3">
        <v>6453</v>
      </c>
      <c r="E515" s="3">
        <f>SalesMasterTable[[#This Row],[Sales]]-SalesMasterTable[[#This Row],[Cost Of Sales]]</f>
        <v>-18696.855740852217</v>
      </c>
    </row>
    <row r="516" spans="1:5" x14ac:dyDescent="0.3">
      <c r="A516" s="2">
        <v>42152</v>
      </c>
      <c r="B516" s="3">
        <v>217746.01291984669</v>
      </c>
      <c r="C516" s="3">
        <v>234483.41700980731</v>
      </c>
      <c r="D516" s="3">
        <v>5770</v>
      </c>
      <c r="E516" s="3">
        <f>SalesMasterTable[[#This Row],[Sales]]-SalesMasterTable[[#This Row],[Cost Of Sales]]</f>
        <v>-16737.404089960619</v>
      </c>
    </row>
    <row r="517" spans="1:5" x14ac:dyDescent="0.3">
      <c r="A517" s="2">
        <v>42153</v>
      </c>
      <c r="B517" s="3">
        <v>472160.75210974878</v>
      </c>
      <c r="C517" s="3">
        <v>508265.14697374182</v>
      </c>
      <c r="D517" s="3">
        <v>12507</v>
      </c>
      <c r="E517" s="3">
        <f>SalesMasterTable[[#This Row],[Sales]]-SalesMasterTable[[#This Row],[Cost Of Sales]]</f>
        <v>-36104.394863993046</v>
      </c>
    </row>
    <row r="518" spans="1:5" x14ac:dyDescent="0.3">
      <c r="A518" s="2">
        <v>42154</v>
      </c>
      <c r="B518" s="3">
        <v>546135.46241509903</v>
      </c>
      <c r="C518" s="3">
        <v>588250.18115078332</v>
      </c>
      <c r="D518" s="3">
        <v>14475</v>
      </c>
      <c r="E518" s="3">
        <f>SalesMasterTable[[#This Row],[Sales]]-SalesMasterTable[[#This Row],[Cost Of Sales]]</f>
        <v>-42114.718735684291</v>
      </c>
    </row>
    <row r="519" spans="1:5" x14ac:dyDescent="0.3">
      <c r="A519" s="2">
        <v>42155</v>
      </c>
      <c r="B519" s="3">
        <v>264637.36527971062</v>
      </c>
      <c r="C519" s="3">
        <v>284828.65965624881</v>
      </c>
      <c r="D519" s="3">
        <v>7009</v>
      </c>
      <c r="E519" s="3">
        <f>SalesMasterTable[[#This Row],[Sales]]-SalesMasterTable[[#This Row],[Cost Of Sales]]</f>
        <v>-20191.294376538193</v>
      </c>
    </row>
    <row r="520" spans="1:5" x14ac:dyDescent="0.3">
      <c r="A520" s="2">
        <v>42156</v>
      </c>
      <c r="B520" s="3">
        <v>440905.99870597001</v>
      </c>
      <c r="C520" s="3">
        <v>474967.32763121481</v>
      </c>
      <c r="D520" s="3">
        <v>11688</v>
      </c>
      <c r="E520" s="3">
        <f>SalesMasterTable[[#This Row],[Sales]]-SalesMasterTable[[#This Row],[Cost Of Sales]]</f>
        <v>-34061.328925244801</v>
      </c>
    </row>
    <row r="521" spans="1:5" x14ac:dyDescent="0.3">
      <c r="A521" s="2">
        <v>42157</v>
      </c>
      <c r="B521" s="3">
        <v>334318.89783315209</v>
      </c>
      <c r="C521" s="3">
        <v>360168.82707700803</v>
      </c>
      <c r="D521" s="3">
        <v>8863</v>
      </c>
      <c r="E521" s="3">
        <f>SalesMasterTable[[#This Row],[Sales]]-SalesMasterTable[[#This Row],[Cost Of Sales]]</f>
        <v>-25849.929243855935</v>
      </c>
    </row>
    <row r="522" spans="1:5" x14ac:dyDescent="0.3">
      <c r="A522" s="2">
        <v>42158</v>
      </c>
      <c r="B522" s="3">
        <v>269835.82862680301</v>
      </c>
      <c r="C522" s="3">
        <v>290492.10628032242</v>
      </c>
      <c r="D522" s="3">
        <v>7148</v>
      </c>
      <c r="E522" s="3">
        <f>SalesMasterTable[[#This Row],[Sales]]-SalesMasterTable[[#This Row],[Cost Of Sales]]</f>
        <v>-20656.277653519413</v>
      </c>
    </row>
    <row r="523" spans="1:5" x14ac:dyDescent="0.3">
      <c r="A523" s="2">
        <v>42159</v>
      </c>
      <c r="B523" s="3">
        <v>201146.4892798303</v>
      </c>
      <c r="C523" s="3">
        <v>216428.50043796099</v>
      </c>
      <c r="D523" s="3">
        <v>5326</v>
      </c>
      <c r="E523" s="3">
        <f>SalesMasterTable[[#This Row],[Sales]]-SalesMasterTable[[#This Row],[Cost Of Sales]]</f>
        <v>-15282.011158130685</v>
      </c>
    </row>
    <row r="524" spans="1:5" x14ac:dyDescent="0.3">
      <c r="A524" s="2">
        <v>42160</v>
      </c>
      <c r="B524" s="3">
        <v>293461.08393818582</v>
      </c>
      <c r="C524" s="3">
        <v>315937.86219659372</v>
      </c>
      <c r="D524" s="3">
        <v>7775</v>
      </c>
      <c r="E524" s="3">
        <f>SalesMasterTable[[#This Row],[Sales]]-SalesMasterTable[[#This Row],[Cost Of Sales]]</f>
        <v>-22476.778258407896</v>
      </c>
    </row>
    <row r="525" spans="1:5" x14ac:dyDescent="0.3">
      <c r="A525" s="2">
        <v>42161</v>
      </c>
      <c r="B525" s="3">
        <v>349413.00982046733</v>
      </c>
      <c r="C525" s="3">
        <v>376094.7218058327</v>
      </c>
      <c r="D525" s="3">
        <v>9255</v>
      </c>
      <c r="E525" s="3">
        <f>SalesMasterTable[[#This Row],[Sales]]-SalesMasterTable[[#This Row],[Cost Of Sales]]</f>
        <v>-26681.711985365371</v>
      </c>
    </row>
    <row r="526" spans="1:5" x14ac:dyDescent="0.3">
      <c r="A526" s="2">
        <v>42162</v>
      </c>
      <c r="B526" s="3">
        <v>179602.91516319031</v>
      </c>
      <c r="C526" s="3">
        <v>193348.59144622891</v>
      </c>
      <c r="D526" s="3">
        <v>4758</v>
      </c>
      <c r="E526" s="3">
        <f>SalesMasterTable[[#This Row],[Sales]]-SalesMasterTable[[#This Row],[Cost Of Sales]]</f>
        <v>-13745.6762830386</v>
      </c>
    </row>
    <row r="527" spans="1:5" x14ac:dyDescent="0.3">
      <c r="A527" s="2">
        <v>42163</v>
      </c>
      <c r="B527" s="3">
        <v>109810.54567571809</v>
      </c>
      <c r="C527" s="3">
        <v>106166.08162125781</v>
      </c>
      <c r="D527" s="3">
        <v>2613</v>
      </c>
      <c r="E527" s="3">
        <f>SalesMasterTable[[#This Row],[Sales]]-SalesMasterTable[[#This Row],[Cost Of Sales]]</f>
        <v>3644.464054460288</v>
      </c>
    </row>
    <row r="528" spans="1:5" x14ac:dyDescent="0.3">
      <c r="A528" s="2">
        <v>42164</v>
      </c>
      <c r="B528" s="3">
        <v>76956.920353649635</v>
      </c>
      <c r="C528" s="3">
        <v>74212.790574549421</v>
      </c>
      <c r="D528" s="3">
        <v>1830</v>
      </c>
      <c r="E528" s="3">
        <f>SalesMasterTable[[#This Row],[Sales]]-SalesMasterTable[[#This Row],[Cost Of Sales]]</f>
        <v>2744.1297791002144</v>
      </c>
    </row>
    <row r="529" spans="1:5" x14ac:dyDescent="0.3">
      <c r="A529" s="2">
        <v>42165</v>
      </c>
      <c r="B529" s="3">
        <v>71199.588402039517</v>
      </c>
      <c r="C529" s="3">
        <v>68669.394963916289</v>
      </c>
      <c r="D529" s="3">
        <v>1694</v>
      </c>
      <c r="E529" s="3">
        <f>SalesMasterTable[[#This Row],[Sales]]-SalesMasterTable[[#This Row],[Cost Of Sales]]</f>
        <v>2530.1934381232277</v>
      </c>
    </row>
    <row r="530" spans="1:5" x14ac:dyDescent="0.3">
      <c r="A530" s="2">
        <v>42166</v>
      </c>
      <c r="B530" s="3">
        <v>68988.346670324769</v>
      </c>
      <c r="C530" s="3">
        <v>66539.165195767971</v>
      </c>
      <c r="D530" s="3">
        <v>1642</v>
      </c>
      <c r="E530" s="3">
        <f>SalesMasterTable[[#This Row],[Sales]]-SalesMasterTable[[#This Row],[Cost Of Sales]]</f>
        <v>2449.1814745567972</v>
      </c>
    </row>
    <row r="531" spans="1:5" x14ac:dyDescent="0.3">
      <c r="A531" s="2">
        <v>42167</v>
      </c>
      <c r="B531" s="3">
        <v>155156.87922800641</v>
      </c>
      <c r="C531" s="3">
        <v>149423.24358090671</v>
      </c>
      <c r="D531" s="3">
        <v>3690</v>
      </c>
      <c r="E531" s="3">
        <f>SalesMasterTable[[#This Row],[Sales]]-SalesMasterTable[[#This Row],[Cost Of Sales]]</f>
        <v>5733.635647099698</v>
      </c>
    </row>
    <row r="532" spans="1:5" x14ac:dyDescent="0.3">
      <c r="A532" s="2">
        <v>42168</v>
      </c>
      <c r="B532" s="3">
        <v>185109.5231460139</v>
      </c>
      <c r="C532" s="3">
        <v>178347.369376849</v>
      </c>
      <c r="D532" s="3">
        <v>4404</v>
      </c>
      <c r="E532" s="3">
        <f>SalesMasterTable[[#This Row],[Sales]]-SalesMasterTable[[#This Row],[Cost Of Sales]]</f>
        <v>6762.1537691648991</v>
      </c>
    </row>
    <row r="533" spans="1:5" x14ac:dyDescent="0.3">
      <c r="A533" s="2">
        <v>42169</v>
      </c>
      <c r="B533" s="3">
        <v>83779.544010808924</v>
      </c>
      <c r="C533" s="3">
        <v>80659.821812082024</v>
      </c>
      <c r="D533" s="3">
        <v>1992</v>
      </c>
      <c r="E533" s="3">
        <f>SalesMasterTable[[#This Row],[Sales]]-SalesMasterTable[[#This Row],[Cost Of Sales]]</f>
        <v>3119.7221987269004</v>
      </c>
    </row>
    <row r="534" spans="1:5" x14ac:dyDescent="0.3">
      <c r="A534" s="2">
        <v>42170</v>
      </c>
      <c r="B534" s="3">
        <v>149501.57453075761</v>
      </c>
      <c r="C534" s="3">
        <v>143962.87189290189</v>
      </c>
      <c r="D534" s="3">
        <v>3557</v>
      </c>
      <c r="E534" s="3">
        <f>SalesMasterTable[[#This Row],[Sales]]-SalesMasterTable[[#This Row],[Cost Of Sales]]</f>
        <v>5538.7026378557202</v>
      </c>
    </row>
    <row r="535" spans="1:5" x14ac:dyDescent="0.3">
      <c r="A535" s="2">
        <v>42171</v>
      </c>
      <c r="B535" s="3">
        <v>100477.29679260369</v>
      </c>
      <c r="C535" s="3">
        <v>96810.103581569099</v>
      </c>
      <c r="D535" s="3">
        <v>2395</v>
      </c>
      <c r="E535" s="3">
        <f>SalesMasterTable[[#This Row],[Sales]]-SalesMasterTable[[#This Row],[Cost Of Sales]]</f>
        <v>3667.1932110345952</v>
      </c>
    </row>
    <row r="536" spans="1:5" x14ac:dyDescent="0.3">
      <c r="A536" s="2">
        <v>42172</v>
      </c>
      <c r="B536" s="3">
        <v>89072.705347079172</v>
      </c>
      <c r="C536" s="3">
        <v>85639.307745994563</v>
      </c>
      <c r="D536" s="3">
        <v>2120</v>
      </c>
      <c r="E536" s="3">
        <f>SalesMasterTable[[#This Row],[Sales]]-SalesMasterTable[[#This Row],[Cost Of Sales]]</f>
        <v>3433.3976010846091</v>
      </c>
    </row>
    <row r="537" spans="1:5" x14ac:dyDescent="0.3">
      <c r="A537" s="2">
        <v>42173</v>
      </c>
      <c r="B537" s="3">
        <v>78746.595857519525</v>
      </c>
      <c r="C537" s="3">
        <v>75673.78198741567</v>
      </c>
      <c r="D537" s="3">
        <v>1875</v>
      </c>
      <c r="E537" s="3">
        <f>SalesMasterTable[[#This Row],[Sales]]-SalesMasterTable[[#This Row],[Cost Of Sales]]</f>
        <v>3072.8138701038552</v>
      </c>
    </row>
    <row r="538" spans="1:5" x14ac:dyDescent="0.3">
      <c r="A538" s="2">
        <v>42174</v>
      </c>
      <c r="B538" s="3">
        <v>141913.38242954639</v>
      </c>
      <c r="C538" s="3">
        <v>136017.75039375731</v>
      </c>
      <c r="D538" s="3">
        <v>3376</v>
      </c>
      <c r="E538" s="3">
        <f>SalesMasterTable[[#This Row],[Sales]]-SalesMasterTable[[#This Row],[Cost Of Sales]]</f>
        <v>5895.63203578908</v>
      </c>
    </row>
    <row r="539" spans="1:5" x14ac:dyDescent="0.3">
      <c r="A539" s="2">
        <v>42175</v>
      </c>
      <c r="B539" s="3">
        <v>169304.27828351519</v>
      </c>
      <c r="C539" s="3">
        <v>162287.90922482399</v>
      </c>
      <c r="D539" s="3">
        <v>4027</v>
      </c>
      <c r="E539" s="3">
        <f>SalesMasterTable[[#This Row],[Sales]]-SalesMasterTable[[#This Row],[Cost Of Sales]]</f>
        <v>7016.369058691198</v>
      </c>
    </row>
    <row r="540" spans="1:5" x14ac:dyDescent="0.3">
      <c r="A540" s="2">
        <v>42176</v>
      </c>
      <c r="B540" s="3">
        <v>89512.242836068428</v>
      </c>
      <c r="C540" s="3">
        <v>85781.807031229662</v>
      </c>
      <c r="D540" s="3">
        <v>2128</v>
      </c>
      <c r="E540" s="3">
        <f>SalesMasterTable[[#This Row],[Sales]]-SalesMasterTable[[#This Row],[Cost Of Sales]]</f>
        <v>3730.4358048387658</v>
      </c>
    </row>
    <row r="541" spans="1:5" x14ac:dyDescent="0.3">
      <c r="A541" s="2">
        <v>42177</v>
      </c>
      <c r="B541" s="3">
        <v>85984.075339139163</v>
      </c>
      <c r="C541" s="3">
        <v>82427.231536907115</v>
      </c>
      <c r="D541" s="3">
        <v>2046</v>
      </c>
      <c r="E541" s="3">
        <f>SalesMasterTable[[#This Row],[Sales]]-SalesMasterTable[[#This Row],[Cost Of Sales]]</f>
        <v>3556.8438022320479</v>
      </c>
    </row>
    <row r="542" spans="1:5" x14ac:dyDescent="0.3">
      <c r="A542" s="2">
        <v>42178</v>
      </c>
      <c r="B542" s="3">
        <v>64956.462075899639</v>
      </c>
      <c r="C542" s="3">
        <v>62169.777124857188</v>
      </c>
      <c r="D542" s="3">
        <v>1546</v>
      </c>
      <c r="E542" s="3">
        <f>SalesMasterTable[[#This Row],[Sales]]-SalesMasterTable[[#This Row],[Cost Of Sales]]</f>
        <v>2786.6849510424508</v>
      </c>
    </row>
    <row r="543" spans="1:5" x14ac:dyDescent="0.3">
      <c r="A543" s="2">
        <v>42179</v>
      </c>
      <c r="B543" s="3">
        <v>106613.4328354785</v>
      </c>
      <c r="C543" s="3">
        <v>113428.4742746674</v>
      </c>
      <c r="D543" s="3">
        <v>2822</v>
      </c>
      <c r="E543" s="3">
        <f>SalesMasterTable[[#This Row],[Sales]]-SalesMasterTable[[#This Row],[Cost Of Sales]]</f>
        <v>-6815.0414391889062</v>
      </c>
    </row>
    <row r="544" spans="1:5" x14ac:dyDescent="0.3">
      <c r="A544" s="2">
        <v>42180</v>
      </c>
      <c r="B544" s="3">
        <v>183843.81729524271</v>
      </c>
      <c r="C544" s="3">
        <v>195365.7307199428</v>
      </c>
      <c r="D544" s="3">
        <v>4865</v>
      </c>
      <c r="E544" s="3">
        <f>SalesMasterTable[[#This Row],[Sales]]-SalesMasterTable[[#This Row],[Cost Of Sales]]</f>
        <v>-11521.913424700091</v>
      </c>
    </row>
    <row r="545" spans="1:5" x14ac:dyDescent="0.3">
      <c r="A545" s="2">
        <v>42181</v>
      </c>
      <c r="B545" s="3">
        <v>319579.79409435572</v>
      </c>
      <c r="C545" s="3">
        <v>339241.69180245663</v>
      </c>
      <c r="D545" s="3">
        <v>8450</v>
      </c>
      <c r="E545" s="3">
        <f>SalesMasterTable[[#This Row],[Sales]]-SalesMasterTable[[#This Row],[Cost Of Sales]]</f>
        <v>-19661.897708100907</v>
      </c>
    </row>
    <row r="546" spans="1:5" x14ac:dyDescent="0.3">
      <c r="A546" s="2">
        <v>42182</v>
      </c>
      <c r="B546" s="3">
        <v>369245.75870664971</v>
      </c>
      <c r="C546" s="3">
        <v>392017.97345098661</v>
      </c>
      <c r="D546" s="3">
        <v>9770</v>
      </c>
      <c r="E546" s="3">
        <f>SalesMasterTable[[#This Row],[Sales]]-SalesMasterTable[[#This Row],[Cost Of Sales]]</f>
        <v>-22772.214744336903</v>
      </c>
    </row>
    <row r="547" spans="1:5" x14ac:dyDescent="0.3">
      <c r="A547" s="2">
        <v>42183</v>
      </c>
      <c r="B547" s="3">
        <v>185648.49109673029</v>
      </c>
      <c r="C547" s="3">
        <v>197095.1087429694</v>
      </c>
      <c r="D547" s="3">
        <v>4914</v>
      </c>
      <c r="E547" s="3">
        <f>SalesMasterTable[[#This Row],[Sales]]-SalesMasterTable[[#This Row],[Cost Of Sales]]</f>
        <v>-11446.617646239116</v>
      </c>
    </row>
    <row r="548" spans="1:5" x14ac:dyDescent="0.3">
      <c r="A548" s="2">
        <v>42184</v>
      </c>
      <c r="B548" s="3">
        <v>165557.76178385271</v>
      </c>
      <c r="C548" s="3">
        <v>175871.11092052259</v>
      </c>
      <c r="D548" s="3">
        <v>4385</v>
      </c>
      <c r="E548" s="3">
        <f>SalesMasterTable[[#This Row],[Sales]]-SalesMasterTable[[#This Row],[Cost Of Sales]]</f>
        <v>-10313.349136669887</v>
      </c>
    </row>
    <row r="549" spans="1:5" x14ac:dyDescent="0.3">
      <c r="A549" s="2">
        <v>42185</v>
      </c>
      <c r="B549" s="3">
        <v>212465.0832049415</v>
      </c>
      <c r="C549" s="3">
        <v>225678.93452530191</v>
      </c>
      <c r="D549" s="3">
        <v>5627</v>
      </c>
      <c r="E549" s="3">
        <f>SalesMasterTable[[#This Row],[Sales]]-SalesMasterTable[[#This Row],[Cost Of Sales]]</f>
        <v>-13213.851320360409</v>
      </c>
    </row>
    <row r="550" spans="1:5" x14ac:dyDescent="0.3">
      <c r="A550" s="2">
        <v>42186</v>
      </c>
      <c r="B550" s="3">
        <v>305231.90808635822</v>
      </c>
      <c r="C550" s="3">
        <v>324248.84149134008</v>
      </c>
      <c r="D550" s="3">
        <v>8086</v>
      </c>
      <c r="E550" s="3">
        <f>SalesMasterTable[[#This Row],[Sales]]-SalesMasterTable[[#This Row],[Cost Of Sales]]</f>
        <v>-19016.933404981857</v>
      </c>
    </row>
    <row r="551" spans="1:5" x14ac:dyDescent="0.3">
      <c r="A551" s="2">
        <v>42187</v>
      </c>
      <c r="B551" s="3">
        <v>250481.61765724421</v>
      </c>
      <c r="C551" s="3">
        <v>266061.92835854058</v>
      </c>
      <c r="D551" s="3">
        <v>6639</v>
      </c>
      <c r="E551" s="3">
        <f>SalesMasterTable[[#This Row],[Sales]]-SalesMasterTable[[#This Row],[Cost Of Sales]]</f>
        <v>-15580.310701296374</v>
      </c>
    </row>
    <row r="552" spans="1:5" x14ac:dyDescent="0.3">
      <c r="A552" s="2">
        <v>42188</v>
      </c>
      <c r="B552" s="3">
        <v>268410.4807020094</v>
      </c>
      <c r="C552" s="3">
        <v>284592.99466123187</v>
      </c>
      <c r="D552" s="3">
        <v>7104</v>
      </c>
      <c r="E552" s="3">
        <f>SalesMasterTable[[#This Row],[Sales]]-SalesMasterTable[[#This Row],[Cost Of Sales]]</f>
        <v>-16182.513959222473</v>
      </c>
    </row>
    <row r="553" spans="1:5" x14ac:dyDescent="0.3">
      <c r="A553" s="2">
        <v>42189</v>
      </c>
      <c r="B553" s="3">
        <v>316365.49873839208</v>
      </c>
      <c r="C553" s="3">
        <v>335025.07636012638</v>
      </c>
      <c r="D553" s="3">
        <v>8364</v>
      </c>
      <c r="E553" s="3">
        <f>SalesMasterTable[[#This Row],[Sales]]-SalesMasterTable[[#This Row],[Cost Of Sales]]</f>
        <v>-18659.577621734294</v>
      </c>
    </row>
    <row r="554" spans="1:5" x14ac:dyDescent="0.3">
      <c r="A554" s="2">
        <v>42190</v>
      </c>
      <c r="B554" s="3">
        <v>156873.04365826401</v>
      </c>
      <c r="C554" s="3">
        <v>165968.6245016396</v>
      </c>
      <c r="D554" s="3">
        <v>4146</v>
      </c>
      <c r="E554" s="3">
        <f>SalesMasterTable[[#This Row],[Sales]]-SalesMasterTable[[#This Row],[Cost Of Sales]]</f>
        <v>-9095.5808433755883</v>
      </c>
    </row>
    <row r="555" spans="1:5" x14ac:dyDescent="0.3">
      <c r="A555" s="2">
        <v>42191</v>
      </c>
      <c r="B555" s="3">
        <v>173987.75154080149</v>
      </c>
      <c r="C555" s="3">
        <v>184188.97897635491</v>
      </c>
      <c r="D555" s="3">
        <v>4601</v>
      </c>
      <c r="E555" s="3">
        <f>SalesMasterTable[[#This Row],[Sales]]-SalesMasterTable[[#This Row],[Cost Of Sales]]</f>
        <v>-10201.227435553417</v>
      </c>
    </row>
    <row r="556" spans="1:5" x14ac:dyDescent="0.3">
      <c r="A556" s="2">
        <v>42192</v>
      </c>
      <c r="B556" s="3">
        <v>135753.76604209639</v>
      </c>
      <c r="C556" s="3">
        <v>143799.59868752939</v>
      </c>
      <c r="D556" s="3">
        <v>3593</v>
      </c>
      <c r="E556" s="3">
        <f>SalesMasterTable[[#This Row],[Sales]]-SalesMasterTable[[#This Row],[Cost Of Sales]]</f>
        <v>-8045.8326454329945</v>
      </c>
    </row>
    <row r="557" spans="1:5" x14ac:dyDescent="0.3">
      <c r="A557" s="2">
        <v>42193</v>
      </c>
      <c r="B557" s="3">
        <v>84426.509412029525</v>
      </c>
      <c r="C557" s="3">
        <v>84588.963035420922</v>
      </c>
      <c r="D557" s="3">
        <v>2114</v>
      </c>
      <c r="E557" s="3">
        <f>SalesMasterTable[[#This Row],[Sales]]-SalesMasterTable[[#This Row],[Cost Of Sales]]</f>
        <v>-162.45362339139683</v>
      </c>
    </row>
    <row r="558" spans="1:5" x14ac:dyDescent="0.3">
      <c r="A558" s="2">
        <v>42194</v>
      </c>
      <c r="B558" s="3">
        <v>70815.190285530247</v>
      </c>
      <c r="C558" s="3">
        <v>71913.068580605148</v>
      </c>
      <c r="D558" s="3">
        <v>1797</v>
      </c>
      <c r="E558" s="3">
        <f>SalesMasterTable[[#This Row],[Sales]]-SalesMasterTable[[#This Row],[Cost Of Sales]]</f>
        <v>-1097.878295074901</v>
      </c>
    </row>
    <row r="559" spans="1:5" x14ac:dyDescent="0.3">
      <c r="A559" s="2">
        <v>42195</v>
      </c>
      <c r="B559" s="3">
        <v>125983.15175354639</v>
      </c>
      <c r="C559" s="3">
        <v>127884.5872444484</v>
      </c>
      <c r="D559" s="3">
        <v>3195</v>
      </c>
      <c r="E559" s="3">
        <f>SalesMasterTable[[#This Row],[Sales]]-SalesMasterTable[[#This Row],[Cost Of Sales]]</f>
        <v>-1901.4354909020039</v>
      </c>
    </row>
    <row r="560" spans="1:5" x14ac:dyDescent="0.3">
      <c r="A560" s="2">
        <v>42196</v>
      </c>
      <c r="B560" s="3">
        <v>142378.1840412264</v>
      </c>
      <c r="C560" s="3">
        <v>143924.56511903761</v>
      </c>
      <c r="D560" s="3">
        <v>3595</v>
      </c>
      <c r="E560" s="3">
        <f>SalesMasterTable[[#This Row],[Sales]]-SalesMasterTable[[#This Row],[Cost Of Sales]]</f>
        <v>-1546.3810778112093</v>
      </c>
    </row>
    <row r="561" spans="1:5" x14ac:dyDescent="0.3">
      <c r="A561" s="2">
        <v>42197</v>
      </c>
      <c r="B561" s="3">
        <v>57427.680707010128</v>
      </c>
      <c r="C561" s="3">
        <v>58723.040531751663</v>
      </c>
      <c r="D561" s="3">
        <v>1467</v>
      </c>
      <c r="E561" s="3">
        <f>SalesMasterTable[[#This Row],[Sales]]-SalesMasterTable[[#This Row],[Cost Of Sales]]</f>
        <v>-1295.3598247415357</v>
      </c>
    </row>
    <row r="562" spans="1:5" x14ac:dyDescent="0.3">
      <c r="A562" s="2">
        <v>42198</v>
      </c>
      <c r="B562" s="3">
        <v>63331.33100223037</v>
      </c>
      <c r="C562" s="3">
        <v>64690.059069980809</v>
      </c>
      <c r="D562" s="3">
        <v>1610</v>
      </c>
      <c r="E562" s="3">
        <f>SalesMasterTable[[#This Row],[Sales]]-SalesMasterTable[[#This Row],[Cost Of Sales]]</f>
        <v>-1358.7280677504386</v>
      </c>
    </row>
    <row r="563" spans="1:5" x14ac:dyDescent="0.3">
      <c r="A563" s="2">
        <v>42199</v>
      </c>
      <c r="B563" s="3">
        <v>51241.02855330037</v>
      </c>
      <c r="C563" s="3">
        <v>52509.916219996157</v>
      </c>
      <c r="D563" s="3">
        <v>1307</v>
      </c>
      <c r="E563" s="3">
        <f>SalesMasterTable[[#This Row],[Sales]]-SalesMasterTable[[#This Row],[Cost Of Sales]]</f>
        <v>-1268.8876666957876</v>
      </c>
    </row>
    <row r="564" spans="1:5" x14ac:dyDescent="0.3">
      <c r="A564" s="2">
        <v>42200</v>
      </c>
      <c r="B564" s="3">
        <v>80326.440809250256</v>
      </c>
      <c r="C564" s="3">
        <v>81730.270702131005</v>
      </c>
      <c r="D564" s="3">
        <v>2050</v>
      </c>
      <c r="E564" s="3">
        <f>SalesMasterTable[[#This Row],[Sales]]-SalesMasterTable[[#This Row],[Cost Of Sales]]</f>
        <v>-1403.829892880749</v>
      </c>
    </row>
    <row r="565" spans="1:5" x14ac:dyDescent="0.3">
      <c r="A565" s="2">
        <v>42201</v>
      </c>
      <c r="B565" s="3">
        <v>71912.565728060246</v>
      </c>
      <c r="C565" s="3">
        <v>73762.629173268782</v>
      </c>
      <c r="D565" s="3">
        <v>1849</v>
      </c>
      <c r="E565" s="3">
        <f>SalesMasterTable[[#This Row],[Sales]]-SalesMasterTable[[#This Row],[Cost Of Sales]]</f>
        <v>-1850.063445208536</v>
      </c>
    </row>
    <row r="566" spans="1:5" x14ac:dyDescent="0.3">
      <c r="A566" s="2">
        <v>42202</v>
      </c>
      <c r="B566" s="3">
        <v>119204.3095347464</v>
      </c>
      <c r="C566" s="3">
        <v>122669.6994279253</v>
      </c>
      <c r="D566" s="3">
        <v>3070</v>
      </c>
      <c r="E566" s="3">
        <f>SalesMasterTable[[#This Row],[Sales]]-SalesMasterTable[[#This Row],[Cost Of Sales]]</f>
        <v>-3465.3898931789008</v>
      </c>
    </row>
    <row r="567" spans="1:5" x14ac:dyDescent="0.3">
      <c r="A567" s="2">
        <v>42203</v>
      </c>
      <c r="B567" s="3">
        <v>129441.27865673639</v>
      </c>
      <c r="C567" s="3">
        <v>132493.4315208937</v>
      </c>
      <c r="D567" s="3">
        <v>3322</v>
      </c>
      <c r="E567" s="3">
        <f>SalesMasterTable[[#This Row],[Sales]]-SalesMasterTable[[#This Row],[Cost Of Sales]]</f>
        <v>-3052.1528641573095</v>
      </c>
    </row>
    <row r="568" spans="1:5" x14ac:dyDescent="0.3">
      <c r="A568" s="2">
        <v>42204</v>
      </c>
      <c r="B568" s="3">
        <v>77645.749935120242</v>
      </c>
      <c r="C568" s="3">
        <v>79555.63473624234</v>
      </c>
      <c r="D568" s="3">
        <v>1982</v>
      </c>
      <c r="E568" s="3">
        <f>SalesMasterTable[[#This Row],[Sales]]-SalesMasterTable[[#This Row],[Cost Of Sales]]</f>
        <v>-1909.884801122098</v>
      </c>
    </row>
    <row r="569" spans="1:5" x14ac:dyDescent="0.3">
      <c r="A569" s="2">
        <v>42205</v>
      </c>
      <c r="B569" s="3">
        <v>69926.650362450004</v>
      </c>
      <c r="C569" s="3">
        <v>71362.517838136861</v>
      </c>
      <c r="D569" s="3">
        <v>1787</v>
      </c>
      <c r="E569" s="3">
        <f>SalesMasterTable[[#This Row],[Sales]]-SalesMasterTable[[#This Row],[Cost Of Sales]]</f>
        <v>-1435.8674756868568</v>
      </c>
    </row>
    <row r="570" spans="1:5" x14ac:dyDescent="0.3">
      <c r="A570" s="2">
        <v>42206</v>
      </c>
      <c r="B570" s="3">
        <v>71973.044300340131</v>
      </c>
      <c r="C570" s="3">
        <v>73851.78839873473</v>
      </c>
      <c r="D570" s="3">
        <v>1846</v>
      </c>
      <c r="E570" s="3">
        <f>SalesMasterTable[[#This Row],[Sales]]-SalesMasterTable[[#This Row],[Cost Of Sales]]</f>
        <v>-1878.7440983945999</v>
      </c>
    </row>
    <row r="571" spans="1:5" x14ac:dyDescent="0.3">
      <c r="A571" s="2">
        <v>42207</v>
      </c>
      <c r="B571" s="3">
        <v>44304.898362210253</v>
      </c>
      <c r="C571" s="3">
        <v>45468.836976009428</v>
      </c>
      <c r="D571" s="3">
        <v>1142</v>
      </c>
      <c r="E571" s="3">
        <f>SalesMasterTable[[#This Row],[Sales]]-SalesMasterTable[[#This Row],[Cost Of Sales]]</f>
        <v>-1163.9386137991751</v>
      </c>
    </row>
    <row r="572" spans="1:5" x14ac:dyDescent="0.3">
      <c r="A572" s="2">
        <v>42208</v>
      </c>
      <c r="B572" s="3">
        <v>66799.723730490499</v>
      </c>
      <c r="C572" s="3">
        <v>69323.647871911555</v>
      </c>
      <c r="D572" s="3">
        <v>1734</v>
      </c>
      <c r="E572" s="3">
        <f>SalesMasterTable[[#This Row],[Sales]]-SalesMasterTable[[#This Row],[Cost Of Sales]]</f>
        <v>-2523.9241414210555</v>
      </c>
    </row>
    <row r="573" spans="1:5" x14ac:dyDescent="0.3">
      <c r="A573" s="2">
        <v>42209</v>
      </c>
      <c r="B573" s="3">
        <v>125689.59284090641</v>
      </c>
      <c r="C573" s="3">
        <v>130428.2263951168</v>
      </c>
      <c r="D573" s="3">
        <v>3259</v>
      </c>
      <c r="E573" s="3">
        <f>SalesMasterTable[[#This Row],[Sales]]-SalesMasterTable[[#This Row],[Cost Of Sales]]</f>
        <v>-4738.6335542103916</v>
      </c>
    </row>
    <row r="574" spans="1:5" x14ac:dyDescent="0.3">
      <c r="A574" s="2">
        <v>42210</v>
      </c>
      <c r="B574" s="3">
        <v>138624.94500363519</v>
      </c>
      <c r="C574" s="3">
        <v>143537.39521883641</v>
      </c>
      <c r="D574" s="3">
        <v>3572</v>
      </c>
      <c r="E574" s="3">
        <f>SalesMasterTable[[#This Row],[Sales]]-SalesMasterTable[[#This Row],[Cost Of Sales]]</f>
        <v>-4912.4502152012137</v>
      </c>
    </row>
    <row r="575" spans="1:5" x14ac:dyDescent="0.3">
      <c r="A575" s="2">
        <v>42211</v>
      </c>
      <c r="B575" s="3">
        <v>81715.045331780377</v>
      </c>
      <c r="C575" s="3">
        <v>85089.22343005694</v>
      </c>
      <c r="D575" s="3">
        <v>2109</v>
      </c>
      <c r="E575" s="3">
        <f>SalesMasterTable[[#This Row],[Sales]]-SalesMasterTable[[#This Row],[Cost Of Sales]]</f>
        <v>-3374.1780982765631</v>
      </c>
    </row>
    <row r="576" spans="1:5" x14ac:dyDescent="0.3">
      <c r="A576" s="2">
        <v>42212</v>
      </c>
      <c r="B576" s="3">
        <v>86842.861357880131</v>
      </c>
      <c r="C576" s="3">
        <v>90242.794097153615</v>
      </c>
      <c r="D576" s="3">
        <v>2242</v>
      </c>
      <c r="E576" s="3">
        <f>SalesMasterTable[[#This Row],[Sales]]-SalesMasterTable[[#This Row],[Cost Of Sales]]</f>
        <v>-3399.9327392734849</v>
      </c>
    </row>
    <row r="577" spans="1:5" x14ac:dyDescent="0.3">
      <c r="A577" s="2">
        <v>42213</v>
      </c>
      <c r="B577" s="3">
        <v>56976.785283900383</v>
      </c>
      <c r="C577" s="3">
        <v>59094.076857821427</v>
      </c>
      <c r="D577" s="3">
        <v>1474</v>
      </c>
      <c r="E577" s="3">
        <f>SalesMasterTable[[#This Row],[Sales]]-SalesMasterTable[[#This Row],[Cost Of Sales]]</f>
        <v>-2117.2915739210439</v>
      </c>
    </row>
    <row r="578" spans="1:5" x14ac:dyDescent="0.3">
      <c r="A578" s="2">
        <v>42214</v>
      </c>
      <c r="B578" s="3">
        <v>53433.668027530373</v>
      </c>
      <c r="C578" s="3">
        <v>55516.525562079609</v>
      </c>
      <c r="D578" s="3">
        <v>1381</v>
      </c>
      <c r="E578" s="3">
        <f>SalesMasterTable[[#This Row],[Sales]]-SalesMasterTable[[#This Row],[Cost Of Sales]]</f>
        <v>-2082.8575345492354</v>
      </c>
    </row>
    <row r="579" spans="1:5" x14ac:dyDescent="0.3">
      <c r="A579" s="2">
        <v>42215</v>
      </c>
      <c r="B579" s="3">
        <v>55134.081818380357</v>
      </c>
      <c r="C579" s="3">
        <v>57064.750696012437</v>
      </c>
      <c r="D579" s="3">
        <v>1423</v>
      </c>
      <c r="E579" s="3">
        <f>SalesMasterTable[[#This Row],[Sales]]-SalesMasterTable[[#This Row],[Cost Of Sales]]</f>
        <v>-1930.6688776320807</v>
      </c>
    </row>
    <row r="580" spans="1:5" x14ac:dyDescent="0.3">
      <c r="A580" s="2">
        <v>42216</v>
      </c>
      <c r="B580" s="3">
        <v>145033.61079266519</v>
      </c>
      <c r="C580" s="3">
        <v>149876.87328204009</v>
      </c>
      <c r="D580" s="3">
        <v>3740</v>
      </c>
      <c r="E580" s="3">
        <f>SalesMasterTable[[#This Row],[Sales]]-SalesMasterTable[[#This Row],[Cost Of Sales]]</f>
        <v>-4843.2624893749016</v>
      </c>
    </row>
    <row r="581" spans="1:5" x14ac:dyDescent="0.3">
      <c r="A581" s="2">
        <v>42217</v>
      </c>
      <c r="B581" s="3">
        <v>173306.90648994269</v>
      </c>
      <c r="C581" s="3">
        <v>178699.97587509951</v>
      </c>
      <c r="D581" s="3">
        <v>4453</v>
      </c>
      <c r="E581" s="3">
        <f>SalesMasterTable[[#This Row],[Sales]]-SalesMasterTable[[#This Row],[Cost Of Sales]]</f>
        <v>-5393.0693851568212</v>
      </c>
    </row>
    <row r="582" spans="1:5" x14ac:dyDescent="0.3">
      <c r="A582" s="2">
        <v>42218</v>
      </c>
      <c r="B582" s="3">
        <v>88154.338712390003</v>
      </c>
      <c r="C582" s="3">
        <v>90828.661699823351</v>
      </c>
      <c r="D582" s="3">
        <v>2258</v>
      </c>
      <c r="E582" s="3">
        <f>SalesMasterTable[[#This Row],[Sales]]-SalesMasterTable[[#This Row],[Cost Of Sales]]</f>
        <v>-2674.3229874333483</v>
      </c>
    </row>
    <row r="583" spans="1:5" x14ac:dyDescent="0.3">
      <c r="A583" s="2">
        <v>42219</v>
      </c>
      <c r="B583" s="3">
        <v>81142.027847790378</v>
      </c>
      <c r="C583" s="3">
        <v>83114.57680933841</v>
      </c>
      <c r="D583" s="3">
        <v>2074</v>
      </c>
      <c r="E583" s="3">
        <f>SalesMasterTable[[#This Row],[Sales]]-SalesMasterTable[[#This Row],[Cost Of Sales]]</f>
        <v>-1972.5489615480328</v>
      </c>
    </row>
    <row r="584" spans="1:5" x14ac:dyDescent="0.3">
      <c r="A584" s="2">
        <v>42220</v>
      </c>
      <c r="B584" s="3">
        <v>77672.882777740495</v>
      </c>
      <c r="C584" s="3">
        <v>80417.746442173302</v>
      </c>
      <c r="D584" s="3">
        <v>2007</v>
      </c>
      <c r="E584" s="3">
        <f>SalesMasterTable[[#This Row],[Sales]]-SalesMasterTable[[#This Row],[Cost Of Sales]]</f>
        <v>-2744.8636644328071</v>
      </c>
    </row>
    <row r="585" spans="1:5" x14ac:dyDescent="0.3">
      <c r="A585" s="2">
        <v>42221</v>
      </c>
      <c r="B585" s="3">
        <v>75483.422554300487</v>
      </c>
      <c r="C585" s="3">
        <v>78024.284675030634</v>
      </c>
      <c r="D585" s="3">
        <v>1948</v>
      </c>
      <c r="E585" s="3">
        <f>SalesMasterTable[[#This Row],[Sales]]-SalesMasterTable[[#This Row],[Cost Of Sales]]</f>
        <v>-2540.8621207301476</v>
      </c>
    </row>
    <row r="586" spans="1:5" x14ac:dyDescent="0.3">
      <c r="A586" s="2">
        <v>42222</v>
      </c>
      <c r="B586" s="3">
        <v>74354.570102040496</v>
      </c>
      <c r="C586" s="3">
        <v>76978.305238407411</v>
      </c>
      <c r="D586" s="3">
        <v>1922</v>
      </c>
      <c r="E586" s="3">
        <f>SalesMasterTable[[#This Row],[Sales]]-SalesMasterTable[[#This Row],[Cost Of Sales]]</f>
        <v>-2623.735136366915</v>
      </c>
    </row>
    <row r="587" spans="1:5" x14ac:dyDescent="0.3">
      <c r="A587" s="2">
        <v>42223</v>
      </c>
      <c r="B587" s="3">
        <v>120326.876292698</v>
      </c>
      <c r="C587" s="3">
        <v>123707.76157316699</v>
      </c>
      <c r="D587" s="3">
        <v>3088</v>
      </c>
      <c r="E587" s="3">
        <f>SalesMasterTable[[#This Row],[Sales]]-SalesMasterTable[[#This Row],[Cost Of Sales]]</f>
        <v>-3380.8852804689959</v>
      </c>
    </row>
    <row r="588" spans="1:5" x14ac:dyDescent="0.3">
      <c r="A588" s="2">
        <v>42224</v>
      </c>
      <c r="B588" s="3">
        <v>131867.9935040164</v>
      </c>
      <c r="C588" s="3">
        <v>135721.426030331</v>
      </c>
      <c r="D588" s="3">
        <v>3388</v>
      </c>
      <c r="E588" s="3">
        <f>SalesMasterTable[[#This Row],[Sales]]-SalesMasterTable[[#This Row],[Cost Of Sales]]</f>
        <v>-3853.432526314602</v>
      </c>
    </row>
    <row r="589" spans="1:5" x14ac:dyDescent="0.3">
      <c r="A589" s="2">
        <v>42225</v>
      </c>
      <c r="B589" s="3">
        <v>75504.002742620491</v>
      </c>
      <c r="C589" s="3">
        <v>77978.694471478811</v>
      </c>
      <c r="D589" s="3">
        <v>1944</v>
      </c>
      <c r="E589" s="3">
        <f>SalesMasterTable[[#This Row],[Sales]]-SalesMasterTable[[#This Row],[Cost Of Sales]]</f>
        <v>-2474.6917288583209</v>
      </c>
    </row>
    <row r="590" spans="1:5" x14ac:dyDescent="0.3">
      <c r="A590" s="2">
        <v>42226</v>
      </c>
      <c r="B590" s="3">
        <v>69968.077699080488</v>
      </c>
      <c r="C590" s="3">
        <v>72665.725527117203</v>
      </c>
      <c r="D590" s="3">
        <v>1812</v>
      </c>
      <c r="E590" s="3">
        <f>SalesMasterTable[[#This Row],[Sales]]-SalesMasterTable[[#This Row],[Cost Of Sales]]</f>
        <v>-2697.6478280367155</v>
      </c>
    </row>
    <row r="591" spans="1:5" x14ac:dyDescent="0.3">
      <c r="A591" s="2">
        <v>42227</v>
      </c>
      <c r="B591" s="3">
        <v>60187.149047280371</v>
      </c>
      <c r="C591" s="3">
        <v>62538.493277924979</v>
      </c>
      <c r="D591" s="3">
        <v>1563</v>
      </c>
      <c r="E591" s="3">
        <f>SalesMasterTable[[#This Row],[Sales]]-SalesMasterTable[[#This Row],[Cost Of Sales]]</f>
        <v>-2351.3442306446086</v>
      </c>
    </row>
    <row r="592" spans="1:5" x14ac:dyDescent="0.3">
      <c r="A592" s="2">
        <v>42228</v>
      </c>
      <c r="B592" s="3">
        <v>44698.700751095254</v>
      </c>
      <c r="C592" s="3">
        <v>46849.567146474838</v>
      </c>
      <c r="D592" s="3">
        <v>1171</v>
      </c>
      <c r="E592" s="3">
        <f>SalesMasterTable[[#This Row],[Sales]]-SalesMasterTable[[#This Row],[Cost Of Sales]]</f>
        <v>-2150.866395379584</v>
      </c>
    </row>
    <row r="593" spans="1:5" x14ac:dyDescent="0.3">
      <c r="A593" s="2">
        <v>42229</v>
      </c>
      <c r="B593" s="3">
        <v>39463.409059930251</v>
      </c>
      <c r="C593" s="3">
        <v>41414.418370139807</v>
      </c>
      <c r="D593" s="3">
        <v>1035</v>
      </c>
      <c r="E593" s="3">
        <f>SalesMasterTable[[#This Row],[Sales]]-SalesMasterTable[[#This Row],[Cost Of Sales]]</f>
        <v>-1951.0093102095561</v>
      </c>
    </row>
    <row r="594" spans="1:5" x14ac:dyDescent="0.3">
      <c r="A594" s="2">
        <v>42230</v>
      </c>
      <c r="B594" s="3">
        <v>85794.096902620251</v>
      </c>
      <c r="C594" s="3">
        <v>89898.894227499957</v>
      </c>
      <c r="D594" s="3">
        <v>2247</v>
      </c>
      <c r="E594" s="3">
        <f>SalesMasterTable[[#This Row],[Sales]]-SalesMasterTable[[#This Row],[Cost Of Sales]]</f>
        <v>-4104.7973248797061</v>
      </c>
    </row>
    <row r="595" spans="1:5" x14ac:dyDescent="0.3">
      <c r="A595" s="2">
        <v>42231</v>
      </c>
      <c r="B595" s="3">
        <v>117288.0100538017</v>
      </c>
      <c r="C595" s="3">
        <v>122504.35720229719</v>
      </c>
      <c r="D595" s="3">
        <v>3068</v>
      </c>
      <c r="E595" s="3">
        <f>SalesMasterTable[[#This Row],[Sales]]-SalesMasterTable[[#This Row],[Cost Of Sales]]</f>
        <v>-5216.3471484954935</v>
      </c>
    </row>
    <row r="596" spans="1:5" x14ac:dyDescent="0.3">
      <c r="A596" s="2">
        <v>42232</v>
      </c>
      <c r="B596" s="3">
        <v>71056.061003780487</v>
      </c>
      <c r="C596" s="3">
        <v>74589.172866250257</v>
      </c>
      <c r="D596" s="3">
        <v>1866</v>
      </c>
      <c r="E596" s="3">
        <f>SalesMasterTable[[#This Row],[Sales]]-SalesMasterTable[[#This Row],[Cost Of Sales]]</f>
        <v>-3533.1118624697701</v>
      </c>
    </row>
    <row r="597" spans="1:5" x14ac:dyDescent="0.3">
      <c r="A597" s="2">
        <v>42233</v>
      </c>
      <c r="B597" s="3">
        <v>64394.074453330373</v>
      </c>
      <c r="C597" s="3">
        <v>67505.254139283716</v>
      </c>
      <c r="D597" s="3">
        <v>1690</v>
      </c>
      <c r="E597" s="3">
        <f>SalesMasterTable[[#This Row],[Sales]]-SalesMasterTable[[#This Row],[Cost Of Sales]]</f>
        <v>-3111.1796859533424</v>
      </c>
    </row>
    <row r="598" spans="1:5" x14ac:dyDescent="0.3">
      <c r="A598" s="2">
        <v>42234</v>
      </c>
      <c r="B598" s="3">
        <v>35165.972082725253</v>
      </c>
      <c r="C598" s="3">
        <v>36841.967322813813</v>
      </c>
      <c r="D598" s="3">
        <v>922</v>
      </c>
      <c r="E598" s="3">
        <f>SalesMasterTable[[#This Row],[Sales]]-SalesMasterTable[[#This Row],[Cost Of Sales]]</f>
        <v>-1675.9952400885595</v>
      </c>
    </row>
    <row r="599" spans="1:5" x14ac:dyDescent="0.3">
      <c r="A599" s="2">
        <v>42235</v>
      </c>
      <c r="B599" s="3">
        <v>23234.183195130121</v>
      </c>
      <c r="C599" s="3">
        <v>24104.085977912531</v>
      </c>
      <c r="D599" s="3">
        <v>604</v>
      </c>
      <c r="E599" s="3">
        <f>SalesMasterTable[[#This Row],[Sales]]-SalesMasterTable[[#This Row],[Cost Of Sales]]</f>
        <v>-869.90278278241021</v>
      </c>
    </row>
    <row r="600" spans="1:5" x14ac:dyDescent="0.3">
      <c r="A600" s="2">
        <v>42236</v>
      </c>
      <c r="B600" s="3">
        <v>24754.95718180012</v>
      </c>
      <c r="C600" s="3">
        <v>25407.174070346191</v>
      </c>
      <c r="D600" s="3">
        <v>643</v>
      </c>
      <c r="E600" s="3">
        <f>SalesMasterTable[[#This Row],[Sales]]-SalesMasterTable[[#This Row],[Cost Of Sales]]</f>
        <v>-652.21688854607055</v>
      </c>
    </row>
    <row r="601" spans="1:5" x14ac:dyDescent="0.3">
      <c r="A601" s="2">
        <v>42237</v>
      </c>
      <c r="B601" s="3">
        <v>76691.283029055499</v>
      </c>
      <c r="C601" s="3">
        <v>78691.956315552306</v>
      </c>
      <c r="D601" s="3">
        <v>2006</v>
      </c>
      <c r="E601" s="3">
        <f>SalesMasterTable[[#This Row],[Sales]]-SalesMasterTable[[#This Row],[Cost Of Sales]]</f>
        <v>-2000.6732864968071</v>
      </c>
    </row>
    <row r="602" spans="1:5" x14ac:dyDescent="0.3">
      <c r="A602" s="2">
        <v>42238</v>
      </c>
      <c r="B602" s="3">
        <v>102231.2117923578</v>
      </c>
      <c r="C602" s="3">
        <v>104713.0074997764</v>
      </c>
      <c r="D602" s="3">
        <v>2677</v>
      </c>
      <c r="E602" s="3">
        <f>SalesMasterTable[[#This Row],[Sales]]-SalesMasterTable[[#This Row],[Cost Of Sales]]</f>
        <v>-2481.7957074185979</v>
      </c>
    </row>
    <row r="603" spans="1:5" x14ac:dyDescent="0.3">
      <c r="A603" s="2">
        <v>42239</v>
      </c>
      <c r="B603" s="3">
        <v>56974.868025790369</v>
      </c>
      <c r="C603" s="3">
        <v>57548.985153409623</v>
      </c>
      <c r="D603" s="3">
        <v>1467</v>
      </c>
      <c r="E603" s="3">
        <f>SalesMasterTable[[#This Row],[Sales]]-SalesMasterTable[[#This Row],[Cost Of Sales]]</f>
        <v>-574.11712761925446</v>
      </c>
    </row>
    <row r="604" spans="1:5" x14ac:dyDescent="0.3">
      <c r="A604" s="2">
        <v>42240</v>
      </c>
      <c r="B604" s="3">
        <v>59442.73111516537</v>
      </c>
      <c r="C604" s="3">
        <v>59785.428614563789</v>
      </c>
      <c r="D604" s="3">
        <v>1528</v>
      </c>
      <c r="E604" s="3">
        <f>SalesMasterTable[[#This Row],[Sales]]-SalesMasterTable[[#This Row],[Cost Of Sales]]</f>
        <v>-342.69749939841859</v>
      </c>
    </row>
    <row r="605" spans="1:5" x14ac:dyDescent="0.3">
      <c r="A605" s="2">
        <v>42241</v>
      </c>
      <c r="B605" s="3">
        <v>217683.362264025</v>
      </c>
      <c r="C605" s="3">
        <v>246975.73076564309</v>
      </c>
      <c r="D605" s="3">
        <v>6360</v>
      </c>
      <c r="E605" s="3">
        <f>SalesMasterTable[[#This Row],[Sales]]-SalesMasterTable[[#This Row],[Cost Of Sales]]</f>
        <v>-29292.368501618097</v>
      </c>
    </row>
    <row r="606" spans="1:5" x14ac:dyDescent="0.3">
      <c r="A606" s="2">
        <v>42242</v>
      </c>
      <c r="B606" s="3">
        <v>275458.8068961961</v>
      </c>
      <c r="C606" s="3">
        <v>307092.27437902818</v>
      </c>
      <c r="D606" s="3">
        <v>8035</v>
      </c>
      <c r="E606" s="3">
        <f>SalesMasterTable[[#This Row],[Sales]]-SalesMasterTable[[#This Row],[Cost Of Sales]]</f>
        <v>-31633.467482832086</v>
      </c>
    </row>
    <row r="607" spans="1:5" x14ac:dyDescent="0.3">
      <c r="A607" s="2">
        <v>42243</v>
      </c>
      <c r="B607" s="3">
        <v>228731.86548652739</v>
      </c>
      <c r="C607" s="3">
        <v>252845.44555357669</v>
      </c>
      <c r="D607" s="3">
        <v>6675</v>
      </c>
      <c r="E607" s="3">
        <f>SalesMasterTable[[#This Row],[Sales]]-SalesMasterTable[[#This Row],[Cost Of Sales]]</f>
        <v>-24113.580067049304</v>
      </c>
    </row>
    <row r="608" spans="1:5" x14ac:dyDescent="0.3">
      <c r="A608" s="2">
        <v>42244</v>
      </c>
      <c r="B608" s="3">
        <v>387639.11999952199</v>
      </c>
      <c r="C608" s="3">
        <v>426783.30221814412</v>
      </c>
      <c r="D608" s="3">
        <v>11330</v>
      </c>
      <c r="E608" s="3">
        <f>SalesMasterTable[[#This Row],[Sales]]-SalesMasterTable[[#This Row],[Cost Of Sales]]</f>
        <v>-39144.182218622125</v>
      </c>
    </row>
    <row r="609" spans="1:5" x14ac:dyDescent="0.3">
      <c r="A609" s="2">
        <v>42245</v>
      </c>
      <c r="B609" s="3">
        <v>461188.00485173479</v>
      </c>
      <c r="C609" s="3">
        <v>504578.18875722651</v>
      </c>
      <c r="D609" s="3">
        <v>13484</v>
      </c>
      <c r="E609" s="3">
        <f>SalesMasterTable[[#This Row],[Sales]]-SalesMasterTable[[#This Row],[Cost Of Sales]]</f>
        <v>-43390.183905491722</v>
      </c>
    </row>
    <row r="610" spans="1:5" x14ac:dyDescent="0.3">
      <c r="A610" s="2">
        <v>42246</v>
      </c>
      <c r="B610" s="3">
        <v>202249.67716942501</v>
      </c>
      <c r="C610" s="3">
        <v>220152.1867539582</v>
      </c>
      <c r="D610" s="3">
        <v>5913</v>
      </c>
      <c r="E610" s="3">
        <f>SalesMasterTable[[#This Row],[Sales]]-SalesMasterTable[[#This Row],[Cost Of Sales]]</f>
        <v>-17902.509584533196</v>
      </c>
    </row>
    <row r="611" spans="1:5" x14ac:dyDescent="0.3">
      <c r="A611" s="2">
        <v>42247</v>
      </c>
      <c r="B611" s="3">
        <v>332559.76497908588</v>
      </c>
      <c r="C611" s="3">
        <v>361970.285938652</v>
      </c>
      <c r="D611" s="3">
        <v>9721</v>
      </c>
      <c r="E611" s="3">
        <f>SalesMasterTable[[#This Row],[Sales]]-SalesMasterTable[[#This Row],[Cost Of Sales]]</f>
        <v>-29410.520959566114</v>
      </c>
    </row>
    <row r="612" spans="1:5" x14ac:dyDescent="0.3">
      <c r="A612" s="2">
        <v>42248</v>
      </c>
      <c r="B612" s="3">
        <v>384806.77158197842</v>
      </c>
      <c r="C612" s="3">
        <v>418101.5975483603</v>
      </c>
      <c r="D612" s="3">
        <v>11257</v>
      </c>
      <c r="E612" s="3">
        <f>SalesMasterTable[[#This Row],[Sales]]-SalesMasterTable[[#This Row],[Cost Of Sales]]</f>
        <v>-33294.825966381875</v>
      </c>
    </row>
    <row r="613" spans="1:5" x14ac:dyDescent="0.3">
      <c r="A613" s="2">
        <v>42249</v>
      </c>
      <c r="B613" s="3">
        <v>345776.25028037588</v>
      </c>
      <c r="C613" s="3">
        <v>373816.16840063431</v>
      </c>
      <c r="D613" s="3">
        <v>10102</v>
      </c>
      <c r="E613" s="3">
        <f>SalesMasterTable[[#This Row],[Sales]]-SalesMasterTable[[#This Row],[Cost Of Sales]]</f>
        <v>-28039.91812025843</v>
      </c>
    </row>
    <row r="614" spans="1:5" x14ac:dyDescent="0.3">
      <c r="A614" s="2">
        <v>42250</v>
      </c>
      <c r="B614" s="3">
        <v>271551.09510075609</v>
      </c>
      <c r="C614" s="3">
        <v>293343.87397356221</v>
      </c>
      <c r="D614" s="3">
        <v>7938</v>
      </c>
      <c r="E614" s="3">
        <f>SalesMasterTable[[#This Row],[Sales]]-SalesMasterTable[[#This Row],[Cost Of Sales]]</f>
        <v>-21792.778872806113</v>
      </c>
    </row>
    <row r="615" spans="1:5" x14ac:dyDescent="0.3">
      <c r="A615" s="2">
        <v>42251</v>
      </c>
      <c r="B615" s="3">
        <v>340440.20546208572</v>
      </c>
      <c r="C615" s="3">
        <v>366359.65859248448</v>
      </c>
      <c r="D615" s="3">
        <v>9936</v>
      </c>
      <c r="E615" s="3">
        <f>SalesMasterTable[[#This Row],[Sales]]-SalesMasterTable[[#This Row],[Cost Of Sales]]</f>
        <v>-25919.453130398761</v>
      </c>
    </row>
    <row r="616" spans="1:5" x14ac:dyDescent="0.3">
      <c r="A616" s="2">
        <v>42252</v>
      </c>
      <c r="B616" s="3">
        <v>364416.73158213811</v>
      </c>
      <c r="C616" s="3">
        <v>392128.30126516859</v>
      </c>
      <c r="D616" s="3">
        <v>10643</v>
      </c>
      <c r="E616" s="3">
        <f>SalesMasterTable[[#This Row],[Sales]]-SalesMasterTable[[#This Row],[Cost Of Sales]]</f>
        <v>-27711.569683030481</v>
      </c>
    </row>
    <row r="617" spans="1:5" x14ac:dyDescent="0.3">
      <c r="A617" s="2">
        <v>42253</v>
      </c>
      <c r="B617" s="3">
        <v>164719.6044916152</v>
      </c>
      <c r="C617" s="3">
        <v>176647.84265184921</v>
      </c>
      <c r="D617" s="3">
        <v>4800</v>
      </c>
      <c r="E617" s="3">
        <f>SalesMasterTable[[#This Row],[Sales]]-SalesMasterTable[[#This Row],[Cost Of Sales]]</f>
        <v>-11928.238160234003</v>
      </c>
    </row>
    <row r="618" spans="1:5" x14ac:dyDescent="0.3">
      <c r="A618" s="2">
        <v>42254</v>
      </c>
      <c r="B618" s="3">
        <v>178921.0993487364</v>
      </c>
      <c r="C618" s="3">
        <v>192507.52873248939</v>
      </c>
      <c r="D618" s="3">
        <v>5228</v>
      </c>
      <c r="E618" s="3">
        <f>SalesMasterTable[[#This Row],[Sales]]-SalesMasterTable[[#This Row],[Cost Of Sales]]</f>
        <v>-13586.429383752984</v>
      </c>
    </row>
    <row r="619" spans="1:5" x14ac:dyDescent="0.3">
      <c r="A619" s="2">
        <v>42255</v>
      </c>
      <c r="B619" s="3">
        <v>70286.997810770496</v>
      </c>
      <c r="C619" s="3">
        <v>66639.698052811495</v>
      </c>
      <c r="D619" s="3">
        <v>1810</v>
      </c>
      <c r="E619" s="3">
        <f>SalesMasterTable[[#This Row],[Sales]]-SalesMasterTable[[#This Row],[Cost Of Sales]]</f>
        <v>3647.299757959001</v>
      </c>
    </row>
    <row r="620" spans="1:5" x14ac:dyDescent="0.3">
      <c r="A620" s="2">
        <v>42256</v>
      </c>
      <c r="B620" s="3">
        <v>76013.677901710485</v>
      </c>
      <c r="C620" s="3">
        <v>72211.103174650692</v>
      </c>
      <c r="D620" s="3">
        <v>1961</v>
      </c>
      <c r="E620" s="3">
        <f>SalesMasterTable[[#This Row],[Sales]]-SalesMasterTable[[#This Row],[Cost Of Sales]]</f>
        <v>3802.5747270597931</v>
      </c>
    </row>
    <row r="621" spans="1:5" x14ac:dyDescent="0.3">
      <c r="A621" s="2">
        <v>42257</v>
      </c>
      <c r="B621" s="3">
        <v>48406.787146740236</v>
      </c>
      <c r="C621" s="3">
        <v>45316.542733610833</v>
      </c>
      <c r="D621" s="3">
        <v>1232</v>
      </c>
      <c r="E621" s="3">
        <f>SalesMasterTable[[#This Row],[Sales]]-SalesMasterTable[[#This Row],[Cost Of Sales]]</f>
        <v>3090.2444131294033</v>
      </c>
    </row>
    <row r="622" spans="1:5" x14ac:dyDescent="0.3">
      <c r="A622" s="2">
        <v>42258</v>
      </c>
      <c r="B622" s="3">
        <v>85940.026940790005</v>
      </c>
      <c r="C622" s="3">
        <v>81559.845623271962</v>
      </c>
      <c r="D622" s="3">
        <v>2194</v>
      </c>
      <c r="E622" s="3">
        <f>SalesMasterTable[[#This Row],[Sales]]-SalesMasterTable[[#This Row],[Cost Of Sales]]</f>
        <v>4380.1813175180432</v>
      </c>
    </row>
    <row r="623" spans="1:5" x14ac:dyDescent="0.3">
      <c r="A623" s="2">
        <v>42259</v>
      </c>
      <c r="B623" s="3">
        <v>57381.751454185367</v>
      </c>
      <c r="C623" s="3">
        <v>54340.891509322857</v>
      </c>
      <c r="D623" s="3">
        <v>1469</v>
      </c>
      <c r="E623" s="3">
        <f>SalesMasterTable[[#This Row],[Sales]]-SalesMasterTable[[#This Row],[Cost Of Sales]]</f>
        <v>3040.85994486251</v>
      </c>
    </row>
    <row r="624" spans="1:5" x14ac:dyDescent="0.3">
      <c r="A624" s="2">
        <v>42260</v>
      </c>
      <c r="B624" s="3">
        <v>32479.796394255129</v>
      </c>
      <c r="C624" s="3">
        <v>30763.688117313319</v>
      </c>
      <c r="D624" s="3">
        <v>829</v>
      </c>
      <c r="E624" s="3">
        <f>SalesMasterTable[[#This Row],[Sales]]-SalesMasterTable[[#This Row],[Cost Of Sales]]</f>
        <v>1716.1082769418099</v>
      </c>
    </row>
    <row r="625" spans="1:5" x14ac:dyDescent="0.3">
      <c r="A625" s="2">
        <v>42261</v>
      </c>
      <c r="B625" s="3">
        <v>52160.18393341537</v>
      </c>
      <c r="C625" s="3">
        <v>49656.007748568787</v>
      </c>
      <c r="D625" s="3">
        <v>1329</v>
      </c>
      <c r="E625" s="3">
        <f>SalesMasterTable[[#This Row],[Sales]]-SalesMasterTable[[#This Row],[Cost Of Sales]]</f>
        <v>2504.1761848465831</v>
      </c>
    </row>
    <row r="626" spans="1:5" x14ac:dyDescent="0.3">
      <c r="A626" s="2">
        <v>42262</v>
      </c>
      <c r="B626" s="3">
        <v>51002.839569495241</v>
      </c>
      <c r="C626" s="3">
        <v>48601.967504707303</v>
      </c>
      <c r="D626" s="3">
        <v>1300</v>
      </c>
      <c r="E626" s="3">
        <f>SalesMasterTable[[#This Row],[Sales]]-SalesMasterTable[[#This Row],[Cost Of Sales]]</f>
        <v>2400.8720647879381</v>
      </c>
    </row>
    <row r="627" spans="1:5" x14ac:dyDescent="0.3">
      <c r="A627" s="2">
        <v>42263</v>
      </c>
      <c r="B627" s="3">
        <v>30194.715956215121</v>
      </c>
      <c r="C627" s="3">
        <v>28605.46079761381</v>
      </c>
      <c r="D627" s="3">
        <v>773</v>
      </c>
      <c r="E627" s="3">
        <f>SalesMasterTable[[#This Row],[Sales]]-SalesMasterTable[[#This Row],[Cost Of Sales]]</f>
        <v>1589.2551586013105</v>
      </c>
    </row>
    <row r="628" spans="1:5" x14ac:dyDescent="0.3">
      <c r="A628" s="2">
        <v>42264</v>
      </c>
      <c r="B628" s="3">
        <v>29751.222605555118</v>
      </c>
      <c r="C628" s="3">
        <v>28084.235128364078</v>
      </c>
      <c r="D628" s="3">
        <v>760</v>
      </c>
      <c r="E628" s="3">
        <f>SalesMasterTable[[#This Row],[Sales]]-SalesMasterTable[[#This Row],[Cost Of Sales]]</f>
        <v>1666.9874771910399</v>
      </c>
    </row>
    <row r="629" spans="1:5" x14ac:dyDescent="0.3">
      <c r="A629" s="2">
        <v>42265</v>
      </c>
      <c r="B629" s="3">
        <v>68504.63943753537</v>
      </c>
      <c r="C629" s="3">
        <v>64881.975648256928</v>
      </c>
      <c r="D629" s="3">
        <v>1755</v>
      </c>
      <c r="E629" s="3">
        <f>SalesMasterTable[[#This Row],[Sales]]-SalesMasterTable[[#This Row],[Cost Of Sales]]</f>
        <v>3622.663789278442</v>
      </c>
    </row>
    <row r="630" spans="1:5" x14ac:dyDescent="0.3">
      <c r="A630" s="2">
        <v>42266</v>
      </c>
      <c r="B630" s="3">
        <v>68996.561757290488</v>
      </c>
      <c r="C630" s="3">
        <v>65211.57177094122</v>
      </c>
      <c r="D630" s="3">
        <v>1766</v>
      </c>
      <c r="E630" s="3">
        <f>SalesMasterTable[[#This Row],[Sales]]-SalesMasterTable[[#This Row],[Cost Of Sales]]</f>
        <v>3784.9899863492683</v>
      </c>
    </row>
    <row r="631" spans="1:5" x14ac:dyDescent="0.3">
      <c r="A631" s="2">
        <v>42267</v>
      </c>
      <c r="B631" s="3">
        <v>41855.928759400253</v>
      </c>
      <c r="C631" s="3">
        <v>39629.451872277546</v>
      </c>
      <c r="D631" s="3">
        <v>1078</v>
      </c>
      <c r="E631" s="3">
        <f>SalesMasterTable[[#This Row],[Sales]]-SalesMasterTable[[#This Row],[Cost Of Sales]]</f>
        <v>2226.4768871227061</v>
      </c>
    </row>
    <row r="632" spans="1:5" x14ac:dyDescent="0.3">
      <c r="A632" s="2">
        <v>42268</v>
      </c>
      <c r="B632" s="3">
        <v>44303.466485900237</v>
      </c>
      <c r="C632" s="3">
        <v>41485.458718801397</v>
      </c>
      <c r="D632" s="3">
        <v>1124</v>
      </c>
      <c r="E632" s="3">
        <f>SalesMasterTable[[#This Row],[Sales]]-SalesMasterTable[[#This Row],[Cost Of Sales]]</f>
        <v>2818.0077670988394</v>
      </c>
    </row>
    <row r="633" spans="1:5" x14ac:dyDescent="0.3">
      <c r="A633" s="2">
        <v>42269</v>
      </c>
      <c r="B633" s="3">
        <v>46599.298130810253</v>
      </c>
      <c r="C633" s="3">
        <v>43806.73201043591</v>
      </c>
      <c r="D633" s="3">
        <v>1182</v>
      </c>
      <c r="E633" s="3">
        <f>SalesMasterTable[[#This Row],[Sales]]-SalesMasterTable[[#This Row],[Cost Of Sales]]</f>
        <v>2792.5661203743439</v>
      </c>
    </row>
    <row r="634" spans="1:5" x14ac:dyDescent="0.3">
      <c r="A634" s="2">
        <v>42270</v>
      </c>
      <c r="B634" s="3">
        <v>125182.7571653476</v>
      </c>
      <c r="C634" s="3">
        <v>138583.8378162164</v>
      </c>
      <c r="D634" s="3">
        <v>3725</v>
      </c>
      <c r="E634" s="3">
        <f>SalesMasterTable[[#This Row],[Sales]]-SalesMasterTable[[#This Row],[Cost Of Sales]]</f>
        <v>-13401.080650868797</v>
      </c>
    </row>
    <row r="635" spans="1:5" x14ac:dyDescent="0.3">
      <c r="A635" s="2">
        <v>42271</v>
      </c>
      <c r="B635" s="3">
        <v>150036.8050416176</v>
      </c>
      <c r="C635" s="3">
        <v>167704.85540677371</v>
      </c>
      <c r="D635" s="3">
        <v>4492</v>
      </c>
      <c r="E635" s="3">
        <f>SalesMasterTable[[#This Row],[Sales]]-SalesMasterTable[[#This Row],[Cost Of Sales]]</f>
        <v>-17668.050365156116</v>
      </c>
    </row>
    <row r="636" spans="1:5" x14ac:dyDescent="0.3">
      <c r="A636" s="2">
        <v>42272</v>
      </c>
      <c r="B636" s="3">
        <v>368037.69194465881</v>
      </c>
      <c r="C636" s="3">
        <v>413540.807164328</v>
      </c>
      <c r="D636" s="3">
        <v>11030</v>
      </c>
      <c r="E636" s="3">
        <f>SalesMasterTable[[#This Row],[Sales]]-SalesMasterTable[[#This Row],[Cost Of Sales]]</f>
        <v>-45503.115219669184</v>
      </c>
    </row>
    <row r="637" spans="1:5" x14ac:dyDescent="0.3">
      <c r="A637" s="2">
        <v>42273</v>
      </c>
      <c r="B637" s="3">
        <v>351319.63806908001</v>
      </c>
      <c r="C637" s="3">
        <v>397626.58505845559</v>
      </c>
      <c r="D637" s="3">
        <v>10528</v>
      </c>
      <c r="E637" s="3">
        <f>SalesMasterTable[[#This Row],[Sales]]-SalesMasterTable[[#This Row],[Cost Of Sales]]</f>
        <v>-46306.946989375574</v>
      </c>
    </row>
    <row r="638" spans="1:5" x14ac:dyDescent="0.3">
      <c r="A638" s="2">
        <v>42274</v>
      </c>
      <c r="B638" s="3">
        <v>163289.93666880389</v>
      </c>
      <c r="C638" s="3">
        <v>185404.04401051009</v>
      </c>
      <c r="D638" s="3">
        <v>4895</v>
      </c>
      <c r="E638" s="3">
        <f>SalesMasterTable[[#This Row],[Sales]]-SalesMasterTable[[#This Row],[Cost Of Sales]]</f>
        <v>-22114.1073417062</v>
      </c>
    </row>
    <row r="639" spans="1:5" x14ac:dyDescent="0.3">
      <c r="A639" s="2">
        <v>42275</v>
      </c>
      <c r="B639" s="3">
        <v>190892.45898757639</v>
      </c>
      <c r="C639" s="3">
        <v>216571.0595214621</v>
      </c>
      <c r="D639" s="3">
        <v>5720</v>
      </c>
      <c r="E639" s="3">
        <f>SalesMasterTable[[#This Row],[Sales]]-SalesMasterTable[[#This Row],[Cost Of Sales]]</f>
        <v>-25678.600533885707</v>
      </c>
    </row>
    <row r="640" spans="1:5" x14ac:dyDescent="0.3">
      <c r="A640" s="2">
        <v>42276</v>
      </c>
      <c r="B640" s="3">
        <v>143082.1332657676</v>
      </c>
      <c r="C640" s="3">
        <v>162929.01847235279</v>
      </c>
      <c r="D640" s="3">
        <v>4288</v>
      </c>
      <c r="E640" s="3">
        <f>SalesMasterTable[[#This Row],[Sales]]-SalesMasterTable[[#This Row],[Cost Of Sales]]</f>
        <v>-19846.885206585197</v>
      </c>
    </row>
    <row r="641" spans="1:5" x14ac:dyDescent="0.3">
      <c r="A641" s="2">
        <v>42277</v>
      </c>
      <c r="B641" s="3">
        <v>323548.78534206882</v>
      </c>
      <c r="C641" s="3">
        <v>368434.8859088649</v>
      </c>
      <c r="D641" s="3">
        <v>9693</v>
      </c>
      <c r="E641" s="3">
        <f>SalesMasterTable[[#This Row],[Sales]]-SalesMasterTable[[#This Row],[Cost Of Sales]]</f>
        <v>-44886.100566796085</v>
      </c>
    </row>
    <row r="642" spans="1:5" x14ac:dyDescent="0.3">
      <c r="A642" s="2">
        <v>42278</v>
      </c>
      <c r="B642" s="3">
        <v>402312.33315894648</v>
      </c>
      <c r="C642" s="3">
        <v>459285.80452600669</v>
      </c>
      <c r="D642" s="3">
        <v>12065</v>
      </c>
      <c r="E642" s="3">
        <f>SalesMasterTable[[#This Row],[Sales]]-SalesMasterTable[[#This Row],[Cost Of Sales]]</f>
        <v>-56973.471367060207</v>
      </c>
    </row>
    <row r="643" spans="1:5" x14ac:dyDescent="0.3">
      <c r="A643" s="2">
        <v>42279</v>
      </c>
      <c r="B643" s="3">
        <v>393635.17485489399</v>
      </c>
      <c r="C643" s="3">
        <v>448390.96576197422</v>
      </c>
      <c r="D643" s="3">
        <v>11758</v>
      </c>
      <c r="E643" s="3">
        <f>SalesMasterTable[[#This Row],[Sales]]-SalesMasterTable[[#This Row],[Cost Of Sales]]</f>
        <v>-54755.790907080227</v>
      </c>
    </row>
    <row r="644" spans="1:5" x14ac:dyDescent="0.3">
      <c r="A644" s="2">
        <v>42280</v>
      </c>
      <c r="B644" s="3">
        <v>451100.06007685699</v>
      </c>
      <c r="C644" s="3">
        <v>515549.38991623401</v>
      </c>
      <c r="D644" s="3">
        <v>13508</v>
      </c>
      <c r="E644" s="3">
        <f>SalesMasterTable[[#This Row],[Sales]]-SalesMasterTable[[#This Row],[Cost Of Sales]]</f>
        <v>-64449.329839377024</v>
      </c>
    </row>
    <row r="645" spans="1:5" x14ac:dyDescent="0.3">
      <c r="A645" s="2">
        <v>42281</v>
      </c>
      <c r="B645" s="3">
        <v>202902.62490132521</v>
      </c>
      <c r="C645" s="3">
        <v>232360.32715548939</v>
      </c>
      <c r="D645" s="3">
        <v>6085</v>
      </c>
      <c r="E645" s="3">
        <f>SalesMasterTable[[#This Row],[Sales]]-SalesMasterTable[[#This Row],[Cost Of Sales]]</f>
        <v>-29457.702254164178</v>
      </c>
    </row>
    <row r="646" spans="1:5" x14ac:dyDescent="0.3">
      <c r="A646" s="2">
        <v>42282</v>
      </c>
      <c r="B646" s="3">
        <v>294557.64636622381</v>
      </c>
      <c r="C646" s="3">
        <v>336897.92240040551</v>
      </c>
      <c r="D646" s="3">
        <v>8828</v>
      </c>
      <c r="E646" s="3">
        <f>SalesMasterTable[[#This Row],[Sales]]-SalesMasterTable[[#This Row],[Cost Of Sales]]</f>
        <v>-42340.276034181705</v>
      </c>
    </row>
    <row r="647" spans="1:5" x14ac:dyDescent="0.3">
      <c r="A647" s="2">
        <v>42283</v>
      </c>
      <c r="B647" s="3">
        <v>221618.32824753021</v>
      </c>
      <c r="C647" s="3">
        <v>253291.062286083</v>
      </c>
      <c r="D647" s="3">
        <v>6636</v>
      </c>
      <c r="E647" s="3">
        <f>SalesMasterTable[[#This Row],[Sales]]-SalesMasterTable[[#This Row],[Cost Of Sales]]</f>
        <v>-31672.734038552793</v>
      </c>
    </row>
    <row r="648" spans="1:5" x14ac:dyDescent="0.3">
      <c r="A648" s="2">
        <v>42284</v>
      </c>
      <c r="B648" s="3">
        <v>63968.38248018537</v>
      </c>
      <c r="C648" s="3">
        <v>61942.842677746637</v>
      </c>
      <c r="D648" s="3">
        <v>1622</v>
      </c>
      <c r="E648" s="3">
        <f>SalesMasterTable[[#This Row],[Sales]]-SalesMasterTable[[#This Row],[Cost Of Sales]]</f>
        <v>2025.5398024387323</v>
      </c>
    </row>
    <row r="649" spans="1:5" x14ac:dyDescent="0.3">
      <c r="A649" s="2">
        <v>42285</v>
      </c>
      <c r="B649" s="3">
        <v>59609.544705280372</v>
      </c>
      <c r="C649" s="3">
        <v>57736.476659462976</v>
      </c>
      <c r="D649" s="3">
        <v>1512</v>
      </c>
      <c r="E649" s="3">
        <f>SalesMasterTable[[#This Row],[Sales]]-SalesMasterTable[[#This Row],[Cost Of Sales]]</f>
        <v>1873.0680458173956</v>
      </c>
    </row>
    <row r="650" spans="1:5" x14ac:dyDescent="0.3">
      <c r="A650" s="2">
        <v>42286</v>
      </c>
      <c r="B650" s="3">
        <v>126588.25297451641</v>
      </c>
      <c r="C650" s="3">
        <v>122622.36311479039</v>
      </c>
      <c r="D650" s="3">
        <v>3211</v>
      </c>
      <c r="E650" s="3">
        <f>SalesMasterTable[[#This Row],[Sales]]-SalesMasterTable[[#This Row],[Cost Of Sales]]</f>
        <v>3965.8898597260122</v>
      </c>
    </row>
    <row r="651" spans="1:5" x14ac:dyDescent="0.3">
      <c r="A651" s="2">
        <v>42287</v>
      </c>
      <c r="B651" s="3">
        <v>119755.01159048091</v>
      </c>
      <c r="C651" s="3">
        <v>116003.6869136254</v>
      </c>
      <c r="D651" s="3">
        <v>3037</v>
      </c>
      <c r="E651" s="3">
        <f>SalesMasterTable[[#This Row],[Sales]]-SalesMasterTable[[#This Row],[Cost Of Sales]]</f>
        <v>3751.3246768555109</v>
      </c>
    </row>
    <row r="652" spans="1:5" x14ac:dyDescent="0.3">
      <c r="A652" s="2">
        <v>42288</v>
      </c>
      <c r="B652" s="3">
        <v>57413.410482090367</v>
      </c>
      <c r="C652" s="3">
        <v>55617.584643929717</v>
      </c>
      <c r="D652" s="3">
        <v>1456</v>
      </c>
      <c r="E652" s="3">
        <f>SalesMasterTable[[#This Row],[Sales]]-SalesMasterTable[[#This Row],[Cost Of Sales]]</f>
        <v>1795.8258381606502</v>
      </c>
    </row>
    <row r="653" spans="1:5" x14ac:dyDescent="0.3">
      <c r="A653" s="2">
        <v>42289</v>
      </c>
      <c r="B653" s="3">
        <v>57749.13693860537</v>
      </c>
      <c r="C653" s="3">
        <v>55933.008575846157</v>
      </c>
      <c r="D653" s="3">
        <v>1465</v>
      </c>
      <c r="E653" s="3">
        <f>SalesMasterTable[[#This Row],[Sales]]-SalesMasterTable[[#This Row],[Cost Of Sales]]</f>
        <v>1816.1283627592129</v>
      </c>
    </row>
    <row r="654" spans="1:5" x14ac:dyDescent="0.3">
      <c r="A654" s="2">
        <v>42290</v>
      </c>
      <c r="B654" s="3">
        <v>40140.82003455524</v>
      </c>
      <c r="C654" s="3">
        <v>38881.088441786422</v>
      </c>
      <c r="D654" s="3">
        <v>1018</v>
      </c>
      <c r="E654" s="3">
        <f>SalesMasterTable[[#This Row],[Sales]]-SalesMasterTable[[#This Row],[Cost Of Sales]]</f>
        <v>1259.7315927688178</v>
      </c>
    </row>
    <row r="655" spans="1:5" x14ac:dyDescent="0.3">
      <c r="A655" s="2">
        <v>42291</v>
      </c>
      <c r="B655" s="3">
        <v>42195.817364850249</v>
      </c>
      <c r="C655" s="3">
        <v>40869.24947226706</v>
      </c>
      <c r="D655" s="3">
        <v>1070</v>
      </c>
      <c r="E655" s="3">
        <f>SalesMasterTable[[#This Row],[Sales]]-SalesMasterTable[[#This Row],[Cost Of Sales]]</f>
        <v>1326.567892583189</v>
      </c>
    </row>
    <row r="656" spans="1:5" x14ac:dyDescent="0.3">
      <c r="A656" s="2">
        <v>42292</v>
      </c>
      <c r="B656" s="3">
        <v>53490.797465390373</v>
      </c>
      <c r="C656" s="3">
        <v>51799.165903400812</v>
      </c>
      <c r="D656" s="3">
        <v>1357</v>
      </c>
      <c r="E656" s="3">
        <f>SalesMasterTable[[#This Row],[Sales]]-SalesMasterTable[[#This Row],[Cost Of Sales]]</f>
        <v>1691.6315619895613</v>
      </c>
    </row>
    <row r="657" spans="1:5" x14ac:dyDescent="0.3">
      <c r="A657" s="2">
        <v>42293</v>
      </c>
      <c r="B657" s="3">
        <v>110809.3158055775</v>
      </c>
      <c r="C657" s="3">
        <v>107331.98051512289</v>
      </c>
      <c r="D657" s="3">
        <v>2810</v>
      </c>
      <c r="E657" s="3">
        <f>SalesMasterTable[[#This Row],[Sales]]-SalesMasterTable[[#This Row],[Cost Of Sales]]</f>
        <v>3477.3352904546045</v>
      </c>
    </row>
    <row r="658" spans="1:5" x14ac:dyDescent="0.3">
      <c r="A658" s="2">
        <v>42294</v>
      </c>
      <c r="B658" s="3">
        <v>111527.01346960261</v>
      </c>
      <c r="C658" s="3">
        <v>108023.60734392131</v>
      </c>
      <c r="D658" s="3">
        <v>2829</v>
      </c>
      <c r="E658" s="3">
        <f>SalesMasterTable[[#This Row],[Sales]]-SalesMasterTable[[#This Row],[Cost Of Sales]]</f>
        <v>3503.4061256813002</v>
      </c>
    </row>
    <row r="659" spans="1:5" x14ac:dyDescent="0.3">
      <c r="A659" s="2">
        <v>42295</v>
      </c>
      <c r="B659" s="3">
        <v>59808.138668750369</v>
      </c>
      <c r="C659" s="3">
        <v>57937.458655969502</v>
      </c>
      <c r="D659" s="3">
        <v>1517</v>
      </c>
      <c r="E659" s="3">
        <f>SalesMasterTable[[#This Row],[Sales]]-SalesMasterTable[[#This Row],[Cost Of Sales]]</f>
        <v>1870.6800127808674</v>
      </c>
    </row>
    <row r="660" spans="1:5" x14ac:dyDescent="0.3">
      <c r="A660" s="2">
        <v>42296</v>
      </c>
      <c r="B660" s="3">
        <v>55166.226228085383</v>
      </c>
      <c r="C660" s="3">
        <v>53436.897092784871</v>
      </c>
      <c r="D660" s="3">
        <v>1399</v>
      </c>
      <c r="E660" s="3">
        <f>SalesMasterTable[[#This Row],[Sales]]-SalesMasterTable[[#This Row],[Cost Of Sales]]</f>
        <v>1729.3291353005116</v>
      </c>
    </row>
    <row r="661" spans="1:5" x14ac:dyDescent="0.3">
      <c r="A661" s="2">
        <v>42297</v>
      </c>
      <c r="B661" s="3">
        <v>42054.680471955253</v>
      </c>
      <c r="C661" s="3">
        <v>40736.150475592272</v>
      </c>
      <c r="D661" s="3">
        <v>1067</v>
      </c>
      <c r="E661" s="3">
        <f>SalesMasterTable[[#This Row],[Sales]]-SalesMasterTable[[#This Row],[Cost Of Sales]]</f>
        <v>1318.5299963629805</v>
      </c>
    </row>
    <row r="662" spans="1:5" x14ac:dyDescent="0.3">
      <c r="A662" s="2">
        <v>42298</v>
      </c>
      <c r="B662" s="3">
        <v>53678.179109280252</v>
      </c>
      <c r="C662" s="3">
        <v>51999.860868195567</v>
      </c>
      <c r="D662" s="3">
        <v>1361</v>
      </c>
      <c r="E662" s="3">
        <f>SalesMasterTable[[#This Row],[Sales]]-SalesMasterTable[[#This Row],[Cost Of Sales]]</f>
        <v>1678.3182410846857</v>
      </c>
    </row>
    <row r="663" spans="1:5" x14ac:dyDescent="0.3">
      <c r="A663" s="2">
        <v>42299</v>
      </c>
      <c r="B663" s="3">
        <v>55930.168643105368</v>
      </c>
      <c r="C663" s="3">
        <v>54177.690061877343</v>
      </c>
      <c r="D663" s="3">
        <v>1419</v>
      </c>
      <c r="E663" s="3">
        <f>SalesMasterTable[[#This Row],[Sales]]-SalesMasterTable[[#This Row],[Cost Of Sales]]</f>
        <v>1752.4785812280243</v>
      </c>
    </row>
    <row r="664" spans="1:5" x14ac:dyDescent="0.3">
      <c r="A664" s="2">
        <v>42300</v>
      </c>
      <c r="B664" s="3">
        <v>185771.00146306361</v>
      </c>
      <c r="C664" s="3">
        <v>192527.0110099228</v>
      </c>
      <c r="D664" s="3">
        <v>5042</v>
      </c>
      <c r="E664" s="3">
        <f>SalesMasterTable[[#This Row],[Sales]]-SalesMasterTable[[#This Row],[Cost Of Sales]]</f>
        <v>-6756.0095468591899</v>
      </c>
    </row>
    <row r="665" spans="1:5" x14ac:dyDescent="0.3">
      <c r="A665" s="2">
        <v>42301</v>
      </c>
      <c r="B665" s="3">
        <v>253116.91319854019</v>
      </c>
      <c r="C665" s="3">
        <v>262409.56942291622</v>
      </c>
      <c r="D665" s="3">
        <v>6872</v>
      </c>
      <c r="E665" s="3">
        <f>SalesMasterTable[[#This Row],[Sales]]-SalesMasterTable[[#This Row],[Cost Of Sales]]</f>
        <v>-9292.6562243760272</v>
      </c>
    </row>
    <row r="666" spans="1:5" x14ac:dyDescent="0.3">
      <c r="A666" s="2">
        <v>42302</v>
      </c>
      <c r="B666" s="3">
        <v>118618.4537021529</v>
      </c>
      <c r="C666" s="3">
        <v>122915.26701698839</v>
      </c>
      <c r="D666" s="3">
        <v>3218</v>
      </c>
      <c r="E666" s="3">
        <f>SalesMasterTable[[#This Row],[Sales]]-SalesMasterTable[[#This Row],[Cost Of Sales]]</f>
        <v>-4296.8133148354973</v>
      </c>
    </row>
    <row r="667" spans="1:5" x14ac:dyDescent="0.3">
      <c r="A667" s="2">
        <v>42303</v>
      </c>
      <c r="B667" s="3">
        <v>123320.78404237361</v>
      </c>
      <c r="C667" s="3">
        <v>128133.7786088713</v>
      </c>
      <c r="D667" s="3">
        <v>3347</v>
      </c>
      <c r="E667" s="3">
        <f>SalesMasterTable[[#This Row],[Sales]]-SalesMasterTable[[#This Row],[Cost Of Sales]]</f>
        <v>-4812.9945664976985</v>
      </c>
    </row>
    <row r="668" spans="1:5" x14ac:dyDescent="0.3">
      <c r="A668" s="2">
        <v>42304</v>
      </c>
      <c r="B668" s="3">
        <v>117051.2772154027</v>
      </c>
      <c r="C668" s="3">
        <v>122175.0002727018</v>
      </c>
      <c r="D668" s="3">
        <v>3177</v>
      </c>
      <c r="E668" s="3">
        <f>SalesMasterTable[[#This Row],[Sales]]-SalesMasterTable[[#This Row],[Cost Of Sales]]</f>
        <v>-5123.7230572990957</v>
      </c>
    </row>
    <row r="669" spans="1:5" x14ac:dyDescent="0.3">
      <c r="A669" s="2">
        <v>42305</v>
      </c>
      <c r="B669" s="3">
        <v>159299.98906190021</v>
      </c>
      <c r="C669" s="3">
        <v>174699.07672381031</v>
      </c>
      <c r="D669" s="3">
        <v>4532</v>
      </c>
      <c r="E669" s="3">
        <f>SalesMasterTable[[#This Row],[Sales]]-SalesMasterTable[[#This Row],[Cost Of Sales]]</f>
        <v>-15399.087661910104</v>
      </c>
    </row>
    <row r="670" spans="1:5" x14ac:dyDescent="0.3">
      <c r="A670" s="2">
        <v>42306</v>
      </c>
      <c r="B670" s="3">
        <v>119047.4098679029</v>
      </c>
      <c r="C670" s="3">
        <v>124349.2654892959</v>
      </c>
      <c r="D670" s="3">
        <v>3231</v>
      </c>
      <c r="E670" s="3">
        <f>SalesMasterTable[[#This Row],[Sales]]-SalesMasterTable[[#This Row],[Cost Of Sales]]</f>
        <v>-5301.8556213929987</v>
      </c>
    </row>
    <row r="671" spans="1:5" x14ac:dyDescent="0.3">
      <c r="A671" s="2">
        <v>42307</v>
      </c>
      <c r="B671" s="3">
        <v>285081.97432843532</v>
      </c>
      <c r="C671" s="3">
        <v>297627.69071540632</v>
      </c>
      <c r="D671" s="3">
        <v>7731</v>
      </c>
      <c r="E671" s="3">
        <f>SalesMasterTable[[#This Row],[Sales]]-SalesMasterTable[[#This Row],[Cost Of Sales]]</f>
        <v>-12545.716386971006</v>
      </c>
    </row>
    <row r="672" spans="1:5" x14ac:dyDescent="0.3">
      <c r="A672" s="2">
        <v>42308</v>
      </c>
      <c r="B672" s="3">
        <v>391656.21258357138</v>
      </c>
      <c r="C672" s="3">
        <v>429832.83476080548</v>
      </c>
      <c r="D672" s="3">
        <v>11148</v>
      </c>
      <c r="E672" s="3">
        <f>SalesMasterTable[[#This Row],[Sales]]-SalesMasterTable[[#This Row],[Cost Of Sales]]</f>
        <v>-38176.622177234094</v>
      </c>
    </row>
    <row r="673" spans="1:5" x14ac:dyDescent="0.3">
      <c r="A673" s="2">
        <v>42309</v>
      </c>
      <c r="B673" s="3">
        <v>274814.77805485041</v>
      </c>
      <c r="C673" s="3">
        <v>287978.17491181649</v>
      </c>
      <c r="D673" s="3">
        <v>7459</v>
      </c>
      <c r="E673" s="3">
        <f>SalesMasterTable[[#This Row],[Sales]]-SalesMasterTable[[#This Row],[Cost Of Sales]]</f>
        <v>-13163.396856966079</v>
      </c>
    </row>
    <row r="674" spans="1:5" x14ac:dyDescent="0.3">
      <c r="A674" s="2">
        <v>42310</v>
      </c>
      <c r="B674" s="3">
        <v>269555.02312096767</v>
      </c>
      <c r="C674" s="3">
        <v>281915.19210462889</v>
      </c>
      <c r="D674" s="3">
        <v>7316</v>
      </c>
      <c r="E674" s="3">
        <f>SalesMasterTable[[#This Row],[Sales]]-SalesMasterTable[[#This Row],[Cost Of Sales]]</f>
        <v>-12360.16898366122</v>
      </c>
    </row>
    <row r="675" spans="1:5" x14ac:dyDescent="0.3">
      <c r="A675" s="2">
        <v>42311</v>
      </c>
      <c r="B675" s="3">
        <v>192001.03461514859</v>
      </c>
      <c r="C675" s="3">
        <v>201125.7754746837</v>
      </c>
      <c r="D675" s="3">
        <v>5211</v>
      </c>
      <c r="E675" s="3">
        <f>SalesMasterTable[[#This Row],[Sales]]-SalesMasterTable[[#This Row],[Cost Of Sales]]</f>
        <v>-9124.7408595351153</v>
      </c>
    </row>
    <row r="676" spans="1:5" x14ac:dyDescent="0.3">
      <c r="A676" s="2">
        <v>42312</v>
      </c>
      <c r="B676" s="3">
        <v>201367.78697700129</v>
      </c>
      <c r="C676" s="3">
        <v>220579.99556067711</v>
      </c>
      <c r="D676" s="3">
        <v>5731</v>
      </c>
      <c r="E676" s="3">
        <f>SalesMasterTable[[#This Row],[Sales]]-SalesMasterTable[[#This Row],[Cost Of Sales]]</f>
        <v>-19212.20858367582</v>
      </c>
    </row>
    <row r="677" spans="1:5" x14ac:dyDescent="0.3">
      <c r="A677" s="2">
        <v>42313</v>
      </c>
      <c r="B677" s="3">
        <v>111874.5589729527</v>
      </c>
      <c r="C677" s="3">
        <v>116637.034345283</v>
      </c>
      <c r="D677" s="3">
        <v>3036</v>
      </c>
      <c r="E677" s="3">
        <f>SalesMasterTable[[#This Row],[Sales]]-SalesMasterTable[[#This Row],[Cost Of Sales]]</f>
        <v>-4762.4753723303002</v>
      </c>
    </row>
    <row r="678" spans="1:5" x14ac:dyDescent="0.3">
      <c r="A678" s="2">
        <v>42314</v>
      </c>
      <c r="B678" s="3">
        <v>214540.33309084759</v>
      </c>
      <c r="C678" s="3">
        <v>223738.43271863071</v>
      </c>
      <c r="D678" s="3">
        <v>5822</v>
      </c>
      <c r="E678" s="3">
        <f>SalesMasterTable[[#This Row],[Sales]]-SalesMasterTable[[#This Row],[Cost Of Sales]]</f>
        <v>-9198.0996277831146</v>
      </c>
    </row>
    <row r="679" spans="1:5" x14ac:dyDescent="0.3">
      <c r="A679" s="2">
        <v>42315</v>
      </c>
      <c r="B679" s="3">
        <v>280264.24446527619</v>
      </c>
      <c r="C679" s="3">
        <v>306935.16039581352</v>
      </c>
      <c r="D679" s="3">
        <v>7987</v>
      </c>
      <c r="E679" s="3">
        <f>SalesMasterTable[[#This Row],[Sales]]-SalesMasterTable[[#This Row],[Cost Of Sales]]</f>
        <v>-26670.915930537332</v>
      </c>
    </row>
    <row r="680" spans="1:5" x14ac:dyDescent="0.3">
      <c r="A680" s="2">
        <v>42316</v>
      </c>
      <c r="B680" s="3">
        <v>134136.72870994979</v>
      </c>
      <c r="C680" s="3">
        <v>140236.30330013481</v>
      </c>
      <c r="D680" s="3">
        <v>3640</v>
      </c>
      <c r="E680" s="3">
        <f>SalesMasterTable[[#This Row],[Sales]]-SalesMasterTable[[#This Row],[Cost Of Sales]]</f>
        <v>-6099.5745901850169</v>
      </c>
    </row>
    <row r="681" spans="1:5" x14ac:dyDescent="0.3">
      <c r="A681" s="2">
        <v>42317</v>
      </c>
      <c r="B681" s="3">
        <v>94243.465527933557</v>
      </c>
      <c r="C681" s="3">
        <v>89949.304171877258</v>
      </c>
      <c r="D681" s="3">
        <v>2338</v>
      </c>
      <c r="E681" s="3">
        <f>SalesMasterTable[[#This Row],[Sales]]-SalesMasterTable[[#This Row],[Cost Of Sales]]</f>
        <v>4294.1613560562982</v>
      </c>
    </row>
    <row r="682" spans="1:5" x14ac:dyDescent="0.3">
      <c r="A682" s="2">
        <v>42318</v>
      </c>
      <c r="B682" s="3">
        <v>131436.19785473641</v>
      </c>
      <c r="C682" s="3">
        <v>143823.38644063799</v>
      </c>
      <c r="D682" s="3">
        <v>3744</v>
      </c>
      <c r="E682" s="3">
        <f>SalesMasterTable[[#This Row],[Sales]]-SalesMasterTable[[#This Row],[Cost Of Sales]]</f>
        <v>-12387.188585901575</v>
      </c>
    </row>
    <row r="683" spans="1:5" x14ac:dyDescent="0.3">
      <c r="A683" s="2">
        <v>42319</v>
      </c>
      <c r="B683" s="3">
        <v>147893.9414709764</v>
      </c>
      <c r="C683" s="3">
        <v>161665.60055441549</v>
      </c>
      <c r="D683" s="3">
        <v>4216</v>
      </c>
      <c r="E683" s="3">
        <f>SalesMasterTable[[#This Row],[Sales]]-SalesMasterTable[[#This Row],[Cost Of Sales]]</f>
        <v>-13771.659083439095</v>
      </c>
    </row>
    <row r="684" spans="1:5" x14ac:dyDescent="0.3">
      <c r="A684" s="2">
        <v>42320</v>
      </c>
      <c r="B684" s="3">
        <v>140238.39051047139</v>
      </c>
      <c r="C684" s="3">
        <v>153481.4533973026</v>
      </c>
      <c r="D684" s="3">
        <v>4000</v>
      </c>
      <c r="E684" s="3">
        <f>SalesMasterTable[[#This Row],[Sales]]-SalesMasterTable[[#This Row],[Cost Of Sales]]</f>
        <v>-13243.062886831205</v>
      </c>
    </row>
    <row r="685" spans="1:5" x14ac:dyDescent="0.3">
      <c r="A685" s="2">
        <v>42321</v>
      </c>
      <c r="B685" s="3">
        <v>358183.77400468499</v>
      </c>
      <c r="C685" s="3">
        <v>391310.32068493689</v>
      </c>
      <c r="D685" s="3">
        <v>10204</v>
      </c>
      <c r="E685" s="3">
        <f>SalesMasterTable[[#This Row],[Sales]]-SalesMasterTable[[#This Row],[Cost Of Sales]]</f>
        <v>-33126.546680251893</v>
      </c>
    </row>
    <row r="686" spans="1:5" x14ac:dyDescent="0.3">
      <c r="A686" s="2">
        <v>42322</v>
      </c>
      <c r="B686" s="3">
        <v>377937.13869747258</v>
      </c>
      <c r="C686" s="3">
        <v>413010.2290451295</v>
      </c>
      <c r="D686" s="3">
        <v>10769</v>
      </c>
      <c r="E686" s="3">
        <f>SalesMasterTable[[#This Row],[Sales]]-SalesMasterTable[[#This Row],[Cost Of Sales]]</f>
        <v>-35073.090347656922</v>
      </c>
    </row>
    <row r="687" spans="1:5" x14ac:dyDescent="0.3">
      <c r="A687" s="2">
        <v>42323</v>
      </c>
      <c r="B687" s="3">
        <v>168729.96240320889</v>
      </c>
      <c r="C687" s="3">
        <v>184673.48850580241</v>
      </c>
      <c r="D687" s="3">
        <v>4803</v>
      </c>
      <c r="E687" s="3">
        <f>SalesMasterTable[[#This Row],[Sales]]-SalesMasterTable[[#This Row],[Cost Of Sales]]</f>
        <v>-15943.526102593518</v>
      </c>
    </row>
    <row r="688" spans="1:5" x14ac:dyDescent="0.3">
      <c r="A688" s="2">
        <v>42324</v>
      </c>
      <c r="B688" s="3">
        <v>177192.56981712021</v>
      </c>
      <c r="C688" s="3">
        <v>193615.30370472989</v>
      </c>
      <c r="D688" s="3">
        <v>5042</v>
      </c>
      <c r="E688" s="3">
        <f>SalesMasterTable[[#This Row],[Sales]]-SalesMasterTable[[#This Row],[Cost Of Sales]]</f>
        <v>-16422.733887609676</v>
      </c>
    </row>
    <row r="689" spans="1:5" x14ac:dyDescent="0.3">
      <c r="A689" s="2">
        <v>42325</v>
      </c>
      <c r="B689" s="3">
        <v>152368.74909244641</v>
      </c>
      <c r="C689" s="3">
        <v>166625.36501779759</v>
      </c>
      <c r="D689" s="3">
        <v>4342</v>
      </c>
      <c r="E689" s="3">
        <f>SalesMasterTable[[#This Row],[Sales]]-SalesMasterTable[[#This Row],[Cost Of Sales]]</f>
        <v>-14256.615925351187</v>
      </c>
    </row>
    <row r="690" spans="1:5" x14ac:dyDescent="0.3">
      <c r="A690" s="2">
        <v>42326</v>
      </c>
      <c r="B690" s="3">
        <v>147471.80491951641</v>
      </c>
      <c r="C690" s="3">
        <v>161402.91869953019</v>
      </c>
      <c r="D690" s="3">
        <v>4202</v>
      </c>
      <c r="E690" s="3">
        <f>SalesMasterTable[[#This Row],[Sales]]-SalesMasterTable[[#This Row],[Cost Of Sales]]</f>
        <v>-13931.11378001378</v>
      </c>
    </row>
    <row r="691" spans="1:5" x14ac:dyDescent="0.3">
      <c r="A691" s="2">
        <v>42327</v>
      </c>
      <c r="B691" s="3">
        <v>145697.15198235639</v>
      </c>
      <c r="C691" s="3">
        <v>159317.60939427299</v>
      </c>
      <c r="D691" s="3">
        <v>4151</v>
      </c>
      <c r="E691" s="3">
        <f>SalesMasterTable[[#This Row],[Sales]]-SalesMasterTable[[#This Row],[Cost Of Sales]]</f>
        <v>-13620.457411916606</v>
      </c>
    </row>
    <row r="692" spans="1:5" x14ac:dyDescent="0.3">
      <c r="A692" s="2">
        <v>42328</v>
      </c>
      <c r="B692" s="3">
        <v>301033.98651272239</v>
      </c>
      <c r="C692" s="3">
        <v>328965.14326487982</v>
      </c>
      <c r="D692" s="3">
        <v>8567</v>
      </c>
      <c r="E692" s="3">
        <f>SalesMasterTable[[#This Row],[Sales]]-SalesMasterTable[[#This Row],[Cost Of Sales]]</f>
        <v>-27931.156752157432</v>
      </c>
    </row>
    <row r="693" spans="1:5" x14ac:dyDescent="0.3">
      <c r="A693" s="2">
        <v>42329</v>
      </c>
      <c r="B693" s="3">
        <v>309518.07207128493</v>
      </c>
      <c r="C693" s="3">
        <v>338720.02362598572</v>
      </c>
      <c r="D693" s="3">
        <v>8811</v>
      </c>
      <c r="E693" s="3">
        <f>SalesMasterTable[[#This Row],[Sales]]-SalesMasterTable[[#This Row],[Cost Of Sales]]</f>
        <v>-29201.95155470079</v>
      </c>
    </row>
    <row r="694" spans="1:5" x14ac:dyDescent="0.3">
      <c r="A694" s="2">
        <v>42330</v>
      </c>
      <c r="B694" s="3">
        <v>152504.6317273539</v>
      </c>
      <c r="C694" s="3">
        <v>167600.650935746</v>
      </c>
      <c r="D694" s="3">
        <v>4345</v>
      </c>
      <c r="E694" s="3">
        <f>SalesMasterTable[[#This Row],[Sales]]-SalesMasterTable[[#This Row],[Cost Of Sales]]</f>
        <v>-15096.019208392099</v>
      </c>
    </row>
    <row r="695" spans="1:5" x14ac:dyDescent="0.3">
      <c r="A695" s="2">
        <v>42331</v>
      </c>
      <c r="B695" s="3">
        <v>79711.583414100489</v>
      </c>
      <c r="C695" s="3">
        <v>74375.788707864966</v>
      </c>
      <c r="D695" s="3">
        <v>1937</v>
      </c>
      <c r="E695" s="3">
        <f>SalesMasterTable[[#This Row],[Sales]]-SalesMasterTable[[#This Row],[Cost Of Sales]]</f>
        <v>5335.7947062355233</v>
      </c>
    </row>
    <row r="696" spans="1:5" x14ac:dyDescent="0.3">
      <c r="A696" s="2">
        <v>42332</v>
      </c>
      <c r="B696" s="3">
        <v>111021.3791139987</v>
      </c>
      <c r="C696" s="3">
        <v>121456.5240191974</v>
      </c>
      <c r="D696" s="3">
        <v>3160</v>
      </c>
      <c r="E696" s="3">
        <f>SalesMasterTable[[#This Row],[Sales]]-SalesMasterTable[[#This Row],[Cost Of Sales]]</f>
        <v>-10435.1449051987</v>
      </c>
    </row>
    <row r="697" spans="1:5" x14ac:dyDescent="0.3">
      <c r="A697" s="2">
        <v>42333</v>
      </c>
      <c r="B697" s="3">
        <v>243161.25923328879</v>
      </c>
      <c r="C697" s="3">
        <v>266054.36985679291</v>
      </c>
      <c r="D697" s="3">
        <v>6924</v>
      </c>
      <c r="E697" s="3">
        <f>SalesMasterTable[[#This Row],[Sales]]-SalesMasterTable[[#This Row],[Cost Of Sales]]</f>
        <v>-22893.110623504122</v>
      </c>
    </row>
    <row r="698" spans="1:5" x14ac:dyDescent="0.3">
      <c r="A698" s="2">
        <v>42334</v>
      </c>
      <c r="B698" s="3">
        <v>311443.18123189738</v>
      </c>
      <c r="C698" s="3">
        <v>355343.87184090709</v>
      </c>
      <c r="D698" s="3">
        <v>9273</v>
      </c>
      <c r="E698" s="3">
        <f>SalesMasterTable[[#This Row],[Sales]]-SalesMasterTable[[#This Row],[Cost Of Sales]]</f>
        <v>-43900.690609009704</v>
      </c>
    </row>
    <row r="699" spans="1:5" x14ac:dyDescent="0.3">
      <c r="A699" s="2">
        <v>42335</v>
      </c>
      <c r="B699" s="3">
        <v>375876.01342195261</v>
      </c>
      <c r="C699" s="3">
        <v>431325.6866936764</v>
      </c>
      <c r="D699" s="3">
        <v>11257</v>
      </c>
      <c r="E699" s="3">
        <f>SalesMasterTable[[#This Row],[Sales]]-SalesMasterTable[[#This Row],[Cost Of Sales]]</f>
        <v>-55449.67327172379</v>
      </c>
    </row>
    <row r="700" spans="1:5" x14ac:dyDescent="0.3">
      <c r="A700" s="2">
        <v>42336</v>
      </c>
      <c r="B700" s="3">
        <v>434639.65899526927</v>
      </c>
      <c r="C700" s="3">
        <v>498895.61864535551</v>
      </c>
      <c r="D700" s="3">
        <v>13019</v>
      </c>
      <c r="E700" s="3">
        <f>SalesMasterTable[[#This Row],[Sales]]-SalesMasterTable[[#This Row],[Cost Of Sales]]</f>
        <v>-64255.959650086239</v>
      </c>
    </row>
    <row r="701" spans="1:5" x14ac:dyDescent="0.3">
      <c r="A701" s="2">
        <v>42337</v>
      </c>
      <c r="B701" s="3">
        <v>238637.81635545639</v>
      </c>
      <c r="C701" s="3">
        <v>274093.57795911958</v>
      </c>
      <c r="D701" s="3">
        <v>7139</v>
      </c>
      <c r="E701" s="3">
        <f>SalesMasterTable[[#This Row],[Sales]]-SalesMasterTable[[#This Row],[Cost Of Sales]]</f>
        <v>-35455.761603663181</v>
      </c>
    </row>
    <row r="702" spans="1:5" x14ac:dyDescent="0.3">
      <c r="A702" s="2">
        <v>42338</v>
      </c>
      <c r="B702" s="3">
        <v>260653.66696349639</v>
      </c>
      <c r="C702" s="3">
        <v>283981.1506886445</v>
      </c>
      <c r="D702" s="3">
        <v>7423</v>
      </c>
      <c r="E702" s="3">
        <f>SalesMasterTable[[#This Row],[Sales]]-SalesMasterTable[[#This Row],[Cost Of Sales]]</f>
        <v>-23327.483725148108</v>
      </c>
    </row>
    <row r="703" spans="1:5" x14ac:dyDescent="0.3">
      <c r="A703" s="2">
        <v>42339</v>
      </c>
      <c r="B703" s="3">
        <v>262394.78001827881</v>
      </c>
      <c r="C703" s="3">
        <v>285838.55681476911</v>
      </c>
      <c r="D703" s="3">
        <v>7474</v>
      </c>
      <c r="E703" s="3">
        <f>SalesMasterTable[[#This Row],[Sales]]-SalesMasterTable[[#This Row],[Cost Of Sales]]</f>
        <v>-23443.776796490303</v>
      </c>
    </row>
    <row r="704" spans="1:5" x14ac:dyDescent="0.3">
      <c r="A704" s="2">
        <v>42340</v>
      </c>
      <c r="B704" s="3">
        <v>248437.7113010938</v>
      </c>
      <c r="C704" s="3">
        <v>269807.62043909793</v>
      </c>
      <c r="D704" s="3">
        <v>7056</v>
      </c>
      <c r="E704" s="3">
        <f>SalesMasterTable[[#This Row],[Sales]]-SalesMasterTable[[#This Row],[Cost Of Sales]]</f>
        <v>-21369.909138004121</v>
      </c>
    </row>
    <row r="705" spans="1:5" x14ac:dyDescent="0.3">
      <c r="A705" s="2">
        <v>42341</v>
      </c>
      <c r="B705" s="3">
        <v>201048.83046167399</v>
      </c>
      <c r="C705" s="3">
        <v>219110.3931964541</v>
      </c>
      <c r="D705" s="3">
        <v>5732</v>
      </c>
      <c r="E705" s="3">
        <f>SalesMasterTable[[#This Row],[Sales]]-SalesMasterTable[[#This Row],[Cost Of Sales]]</f>
        <v>-18061.562734780106</v>
      </c>
    </row>
    <row r="706" spans="1:5" x14ac:dyDescent="0.3">
      <c r="A706" s="2">
        <v>42342</v>
      </c>
      <c r="B706" s="3">
        <v>317690.76093605132</v>
      </c>
      <c r="C706" s="3">
        <v>345449.52994686092</v>
      </c>
      <c r="D706" s="3">
        <v>9038</v>
      </c>
      <c r="E706" s="3">
        <f>SalesMasterTable[[#This Row],[Sales]]-SalesMasterTable[[#This Row],[Cost Of Sales]]</f>
        <v>-27758.769010809599</v>
      </c>
    </row>
    <row r="707" spans="1:5" x14ac:dyDescent="0.3">
      <c r="A707" s="2">
        <v>42343</v>
      </c>
      <c r="B707" s="3">
        <v>378527.87261716381</v>
      </c>
      <c r="C707" s="3">
        <v>410385.03700937238</v>
      </c>
      <c r="D707" s="3">
        <v>10737</v>
      </c>
      <c r="E707" s="3">
        <f>SalesMasterTable[[#This Row],[Sales]]-SalesMasterTable[[#This Row],[Cost Of Sales]]</f>
        <v>-31857.164392208564</v>
      </c>
    </row>
    <row r="708" spans="1:5" x14ac:dyDescent="0.3">
      <c r="A708" s="2">
        <v>42344</v>
      </c>
      <c r="B708" s="3">
        <v>195425.3910795952</v>
      </c>
      <c r="C708" s="3">
        <v>210461.38622248991</v>
      </c>
      <c r="D708" s="3">
        <v>5505</v>
      </c>
      <c r="E708" s="3">
        <f>SalesMasterTable[[#This Row],[Sales]]-SalesMasterTable[[#This Row],[Cost Of Sales]]</f>
        <v>-15035.99514289471</v>
      </c>
    </row>
    <row r="709" spans="1:5" x14ac:dyDescent="0.3">
      <c r="A709" s="2">
        <v>42345</v>
      </c>
      <c r="B709" s="3">
        <v>90441.603368529759</v>
      </c>
      <c r="C709" s="3">
        <v>83999.591253936887</v>
      </c>
      <c r="D709" s="3">
        <v>2198</v>
      </c>
      <c r="E709" s="3">
        <f>SalesMasterTable[[#This Row],[Sales]]-SalesMasterTable[[#This Row],[Cost Of Sales]]</f>
        <v>6442.0121145928715</v>
      </c>
    </row>
    <row r="710" spans="1:5" x14ac:dyDescent="0.3">
      <c r="A710" s="2">
        <v>42346</v>
      </c>
      <c r="B710" s="3">
        <v>117649.0006330129</v>
      </c>
      <c r="C710" s="3">
        <v>121640.3797902365</v>
      </c>
      <c r="D710" s="3">
        <v>3190</v>
      </c>
      <c r="E710" s="3">
        <f>SalesMasterTable[[#This Row],[Sales]]-SalesMasterTable[[#This Row],[Cost Of Sales]]</f>
        <v>-3991.3791572236078</v>
      </c>
    </row>
    <row r="711" spans="1:5" x14ac:dyDescent="0.3">
      <c r="A711" s="2">
        <v>42347</v>
      </c>
      <c r="B711" s="3">
        <v>141285.39545671371</v>
      </c>
      <c r="C711" s="3">
        <v>145443.04659183419</v>
      </c>
      <c r="D711" s="3">
        <v>3814</v>
      </c>
      <c r="E711" s="3">
        <f>SalesMasterTable[[#This Row],[Sales]]-SalesMasterTable[[#This Row],[Cost Of Sales]]</f>
        <v>-4157.6511351204826</v>
      </c>
    </row>
    <row r="712" spans="1:5" x14ac:dyDescent="0.3">
      <c r="A712" s="2">
        <v>42348</v>
      </c>
      <c r="B712" s="3">
        <v>133183.69368019371</v>
      </c>
      <c r="C712" s="3">
        <v>137725.87611044809</v>
      </c>
      <c r="D712" s="3">
        <v>3610</v>
      </c>
      <c r="E712" s="3">
        <f>SalesMasterTable[[#This Row],[Sales]]-SalesMasterTable[[#This Row],[Cost Of Sales]]</f>
        <v>-4542.1824302543828</v>
      </c>
    </row>
    <row r="713" spans="1:5" x14ac:dyDescent="0.3">
      <c r="A713" s="2">
        <v>42349</v>
      </c>
      <c r="B713" s="3">
        <v>229672.25632039239</v>
      </c>
      <c r="C713" s="3">
        <v>237672.0164167957</v>
      </c>
      <c r="D713" s="3">
        <v>6227</v>
      </c>
      <c r="E713" s="3">
        <f>SalesMasterTable[[#This Row],[Sales]]-SalesMasterTable[[#This Row],[Cost Of Sales]]</f>
        <v>-7999.7600964033045</v>
      </c>
    </row>
    <row r="714" spans="1:5" x14ac:dyDescent="0.3">
      <c r="A714" s="2">
        <v>42350</v>
      </c>
      <c r="B714" s="3">
        <v>333488.79787881998</v>
      </c>
      <c r="C714" s="3">
        <v>359621.07489373692</v>
      </c>
      <c r="D714" s="3">
        <v>9422</v>
      </c>
      <c r="E714" s="3">
        <f>SalesMasterTable[[#This Row],[Sales]]-SalesMasterTable[[#This Row],[Cost Of Sales]]</f>
        <v>-26132.277014916937</v>
      </c>
    </row>
    <row r="715" spans="1:5" x14ac:dyDescent="0.3">
      <c r="A715" s="2">
        <v>42351</v>
      </c>
      <c r="B715" s="3">
        <v>185422.8856361036</v>
      </c>
      <c r="C715" s="3">
        <v>191390.40131031329</v>
      </c>
      <c r="D715" s="3">
        <v>5014</v>
      </c>
      <c r="E715" s="3">
        <f>SalesMasterTable[[#This Row],[Sales]]-SalesMasterTable[[#This Row],[Cost Of Sales]]</f>
        <v>-5967.5156742096879</v>
      </c>
    </row>
    <row r="716" spans="1:5" x14ac:dyDescent="0.3">
      <c r="A716" s="2">
        <v>42352</v>
      </c>
      <c r="B716" s="3">
        <v>173833.13316842369</v>
      </c>
      <c r="C716" s="3">
        <v>179871.05329942369</v>
      </c>
      <c r="D716" s="3">
        <v>4715</v>
      </c>
      <c r="E716" s="3">
        <f>SalesMasterTable[[#This Row],[Sales]]-SalesMasterTable[[#This Row],[Cost Of Sales]]</f>
        <v>-6037.9201309999917</v>
      </c>
    </row>
    <row r="717" spans="1:5" x14ac:dyDescent="0.3">
      <c r="A717" s="2">
        <v>42353</v>
      </c>
      <c r="B717" s="3">
        <v>220271.72138524521</v>
      </c>
      <c r="C717" s="3">
        <v>237123.3433401052</v>
      </c>
      <c r="D717" s="3">
        <v>6212</v>
      </c>
      <c r="E717" s="3">
        <f>SalesMasterTable[[#This Row],[Sales]]-SalesMasterTable[[#This Row],[Cost Of Sales]]</f>
        <v>-16851.621954859991</v>
      </c>
    </row>
    <row r="718" spans="1:5" x14ac:dyDescent="0.3">
      <c r="A718" s="2">
        <v>42354</v>
      </c>
      <c r="B718" s="3">
        <v>234468.07119528641</v>
      </c>
      <c r="C718" s="3">
        <v>251493.90890012981</v>
      </c>
      <c r="D718" s="3">
        <v>6585</v>
      </c>
      <c r="E718" s="3">
        <f>SalesMasterTable[[#This Row],[Sales]]-SalesMasterTable[[#This Row],[Cost Of Sales]]</f>
        <v>-17025.837704843405</v>
      </c>
    </row>
    <row r="719" spans="1:5" x14ac:dyDescent="0.3">
      <c r="A719" s="2">
        <v>42355</v>
      </c>
      <c r="B719" s="3">
        <v>213778.13805030519</v>
      </c>
      <c r="C719" s="3">
        <v>230994.35519885991</v>
      </c>
      <c r="D719" s="3">
        <v>6051</v>
      </c>
      <c r="E719" s="3">
        <f>SalesMasterTable[[#This Row],[Sales]]-SalesMasterTable[[#This Row],[Cost Of Sales]]</f>
        <v>-17216.217148554715</v>
      </c>
    </row>
    <row r="720" spans="1:5" x14ac:dyDescent="0.3">
      <c r="A720" s="2">
        <v>42356</v>
      </c>
      <c r="B720" s="3">
        <v>273563.01479629381</v>
      </c>
      <c r="C720" s="3">
        <v>295854.55231599201</v>
      </c>
      <c r="D720" s="3">
        <v>7750</v>
      </c>
      <c r="E720" s="3">
        <f>SalesMasterTable[[#This Row],[Sales]]-SalesMasterTable[[#This Row],[Cost Of Sales]]</f>
        <v>-22291.537519698206</v>
      </c>
    </row>
    <row r="721" spans="1:5" x14ac:dyDescent="0.3">
      <c r="A721" s="2">
        <v>42357</v>
      </c>
      <c r="B721" s="3">
        <v>337506.78841922001</v>
      </c>
      <c r="C721" s="3">
        <v>362223.16087670921</v>
      </c>
      <c r="D721" s="3">
        <v>9490</v>
      </c>
      <c r="E721" s="3">
        <f>SalesMasterTable[[#This Row],[Sales]]-SalesMasterTable[[#This Row],[Cost Of Sales]]</f>
        <v>-24716.372457489197</v>
      </c>
    </row>
    <row r="722" spans="1:5" x14ac:dyDescent="0.3">
      <c r="A722" s="2">
        <v>42358</v>
      </c>
      <c r="B722" s="3">
        <v>155312.7838621664</v>
      </c>
      <c r="C722" s="3">
        <v>167421.97369517089</v>
      </c>
      <c r="D722" s="3">
        <v>4382</v>
      </c>
      <c r="E722" s="3">
        <f>SalesMasterTable[[#This Row],[Sales]]-SalesMasterTable[[#This Row],[Cost Of Sales]]</f>
        <v>-12109.189833004493</v>
      </c>
    </row>
    <row r="723" spans="1:5" x14ac:dyDescent="0.3">
      <c r="A723" s="2">
        <v>42359</v>
      </c>
      <c r="B723" s="3">
        <v>289243.38305619761</v>
      </c>
      <c r="C723" s="3">
        <v>312784.97431839362</v>
      </c>
      <c r="D723" s="3">
        <v>8196</v>
      </c>
      <c r="E723" s="3">
        <f>SalesMasterTable[[#This Row],[Sales]]-SalesMasterTable[[#This Row],[Cost Of Sales]]</f>
        <v>-23541.591262196016</v>
      </c>
    </row>
    <row r="724" spans="1:5" x14ac:dyDescent="0.3">
      <c r="A724" s="2">
        <v>42360</v>
      </c>
      <c r="B724" s="3">
        <v>313125.33253251761</v>
      </c>
      <c r="C724" s="3">
        <v>338299.61784548633</v>
      </c>
      <c r="D724" s="3">
        <v>8863</v>
      </c>
      <c r="E724" s="3">
        <f>SalesMasterTable[[#This Row],[Sales]]-SalesMasterTable[[#This Row],[Cost Of Sales]]</f>
        <v>-25174.285312968714</v>
      </c>
    </row>
    <row r="725" spans="1:5" x14ac:dyDescent="0.3">
      <c r="A725" s="2">
        <v>42361</v>
      </c>
      <c r="B725" s="3">
        <v>268330.39270501549</v>
      </c>
      <c r="C725" s="3">
        <v>249584.21516385439</v>
      </c>
      <c r="D725" s="3">
        <v>6534</v>
      </c>
      <c r="E725" s="3">
        <f>SalesMasterTable[[#This Row],[Sales]]-SalesMasterTable[[#This Row],[Cost Of Sales]]</f>
        <v>18746.177541161102</v>
      </c>
    </row>
    <row r="726" spans="1:5" x14ac:dyDescent="0.3">
      <c r="A726" s="2">
        <v>42362</v>
      </c>
      <c r="B726" s="3">
        <v>392228.13795848232</v>
      </c>
      <c r="C726" s="3">
        <v>364396.19424887962</v>
      </c>
      <c r="D726" s="3">
        <v>9540</v>
      </c>
      <c r="E726" s="3">
        <f>SalesMasterTable[[#This Row],[Sales]]-SalesMasterTable[[#This Row],[Cost Of Sales]]</f>
        <v>27831.943709602696</v>
      </c>
    </row>
    <row r="727" spans="1:5" x14ac:dyDescent="0.3">
      <c r="A727" s="2">
        <v>42363</v>
      </c>
      <c r="B727" s="3">
        <v>133728.9837288514</v>
      </c>
      <c r="C727" s="3">
        <v>124363.5572766095</v>
      </c>
      <c r="D727" s="3">
        <v>3256</v>
      </c>
      <c r="E727" s="3">
        <f>SalesMasterTable[[#This Row],[Sales]]-SalesMasterTable[[#This Row],[Cost Of Sales]]</f>
        <v>9365.4264522418962</v>
      </c>
    </row>
    <row r="728" spans="1:5" x14ac:dyDescent="0.3">
      <c r="A728" s="2">
        <v>42364</v>
      </c>
      <c r="B728" s="3">
        <v>82778.444048310368</v>
      </c>
      <c r="C728" s="3">
        <v>76876.492698314294</v>
      </c>
      <c r="D728" s="3">
        <v>2013</v>
      </c>
      <c r="E728" s="3">
        <f>SalesMasterTable[[#This Row],[Sales]]-SalesMasterTable[[#This Row],[Cost Of Sales]]</f>
        <v>5901.951349996074</v>
      </c>
    </row>
    <row r="729" spans="1:5" x14ac:dyDescent="0.3">
      <c r="A729" s="2">
        <v>42365</v>
      </c>
      <c r="B729" s="3">
        <v>69522.836973940372</v>
      </c>
      <c r="C729" s="3">
        <v>64616.07664627437</v>
      </c>
      <c r="D729" s="3">
        <v>1692</v>
      </c>
      <c r="E729" s="3">
        <f>SalesMasterTable[[#This Row],[Sales]]-SalesMasterTable[[#This Row],[Cost Of Sales]]</f>
        <v>4906.7603276660011</v>
      </c>
    </row>
    <row r="730" spans="1:5" x14ac:dyDescent="0.3">
      <c r="A730" s="2">
        <v>42366</v>
      </c>
      <c r="B730" s="3">
        <v>133021.2727953626</v>
      </c>
      <c r="C730" s="3">
        <v>123500.7877896752</v>
      </c>
      <c r="D730" s="3">
        <v>3234</v>
      </c>
      <c r="E730" s="3">
        <f>SalesMasterTable[[#This Row],[Sales]]-SalesMasterTable[[#This Row],[Cost Of Sales]]</f>
        <v>9520.4850056873984</v>
      </c>
    </row>
    <row r="731" spans="1:5" x14ac:dyDescent="0.3">
      <c r="A731" s="2">
        <v>42367</v>
      </c>
      <c r="B731" s="3">
        <v>161267.52059183759</v>
      </c>
      <c r="C731" s="3">
        <v>175378.1459152207</v>
      </c>
      <c r="D731" s="3">
        <v>4592</v>
      </c>
      <c r="E731" s="3">
        <f>SalesMasterTable[[#This Row],[Sales]]-SalesMasterTable[[#This Row],[Cost Of Sales]]</f>
        <v>-14110.625323383108</v>
      </c>
    </row>
    <row r="732" spans="1:5" x14ac:dyDescent="0.3">
      <c r="A732" s="2">
        <v>42368</v>
      </c>
      <c r="B732" s="3">
        <v>208583.21799035519</v>
      </c>
      <c r="C732" s="3">
        <v>227060.26267849401</v>
      </c>
      <c r="D732" s="3">
        <v>5945</v>
      </c>
      <c r="E732" s="3">
        <f>SalesMasterTable[[#This Row],[Sales]]-SalesMasterTable[[#This Row],[Cost Of Sales]]</f>
        <v>-18477.04468813882</v>
      </c>
    </row>
    <row r="733" spans="1:5" x14ac:dyDescent="0.3">
      <c r="A733" s="2">
        <v>42369</v>
      </c>
      <c r="B733" s="3">
        <v>325457.52500147879</v>
      </c>
      <c r="C733" s="3">
        <v>353929.73835499171</v>
      </c>
      <c r="D733" s="3">
        <v>9266</v>
      </c>
      <c r="E733" s="3">
        <f>SalesMasterTable[[#This Row],[Sales]]-SalesMasterTable[[#This Row],[Cost Of Sales]]</f>
        <v>-28472.213353512925</v>
      </c>
    </row>
    <row r="734" spans="1:5" x14ac:dyDescent="0.3">
      <c r="A734" s="2">
        <v>42370</v>
      </c>
      <c r="B734" s="3">
        <v>111650.2397740787</v>
      </c>
      <c r="C734" s="3">
        <v>121448.2838171389</v>
      </c>
      <c r="D734" s="3">
        <v>3179</v>
      </c>
      <c r="E734" s="3">
        <f>SalesMasterTable[[#This Row],[Sales]]-SalesMasterTable[[#This Row],[Cost Of Sales]]</f>
        <v>-9798.044043060203</v>
      </c>
    </row>
    <row r="735" spans="1:5" x14ac:dyDescent="0.3">
      <c r="A735" s="2">
        <v>42371</v>
      </c>
      <c r="B735" s="3">
        <v>262421.28186455759</v>
      </c>
      <c r="C735" s="3">
        <v>285675.84571316058</v>
      </c>
      <c r="D735" s="3">
        <v>7479</v>
      </c>
      <c r="E735" s="3">
        <f>SalesMasterTable[[#This Row],[Sales]]-SalesMasterTable[[#This Row],[Cost Of Sales]]</f>
        <v>-23254.563848602993</v>
      </c>
    </row>
    <row r="736" spans="1:5" x14ac:dyDescent="0.3">
      <c r="A736" s="2">
        <v>42372</v>
      </c>
      <c r="B736" s="3">
        <v>164527.53891335521</v>
      </c>
      <c r="C736" s="3">
        <v>179308.94953055491</v>
      </c>
      <c r="D736" s="3">
        <v>4694</v>
      </c>
      <c r="E736" s="3">
        <f>SalesMasterTable[[#This Row],[Sales]]-SalesMasterTable[[#This Row],[Cost Of Sales]]</f>
        <v>-14781.410617199697</v>
      </c>
    </row>
    <row r="737" spans="1:5" x14ac:dyDescent="0.3">
      <c r="A737" s="2">
        <v>42373</v>
      </c>
      <c r="B737" s="3">
        <v>274990.1464991988</v>
      </c>
      <c r="C737" s="3">
        <v>299576.24136966269</v>
      </c>
      <c r="D737" s="3">
        <v>7843</v>
      </c>
      <c r="E737" s="3">
        <f>SalesMasterTable[[#This Row],[Sales]]-SalesMasterTable[[#This Row],[Cost Of Sales]]</f>
        <v>-24586.094870463887</v>
      </c>
    </row>
    <row r="738" spans="1:5" x14ac:dyDescent="0.3">
      <c r="A738" s="2">
        <v>42374</v>
      </c>
      <c r="B738" s="3">
        <v>215737.84279871389</v>
      </c>
      <c r="C738" s="3">
        <v>234642.0857481322</v>
      </c>
      <c r="D738" s="3">
        <v>6150</v>
      </c>
      <c r="E738" s="3">
        <f>SalesMasterTable[[#This Row],[Sales]]-SalesMasterTable[[#This Row],[Cost Of Sales]]</f>
        <v>-18904.242949418316</v>
      </c>
    </row>
    <row r="739" spans="1:5" x14ac:dyDescent="0.3">
      <c r="A739" s="2">
        <v>42375</v>
      </c>
      <c r="B739" s="3">
        <v>98646.982697528802</v>
      </c>
      <c r="C739" s="3">
        <v>91610.560001972306</v>
      </c>
      <c r="D739" s="3">
        <v>2401</v>
      </c>
      <c r="E739" s="3">
        <f>SalesMasterTable[[#This Row],[Sales]]-SalesMasterTable[[#This Row],[Cost Of Sales]]</f>
        <v>7036.4226955564955</v>
      </c>
    </row>
    <row r="740" spans="1:5" x14ac:dyDescent="0.3">
      <c r="A740" s="2">
        <v>42376</v>
      </c>
      <c r="B740" s="3">
        <v>74401.21529302049</v>
      </c>
      <c r="C740" s="3">
        <v>68988.861259106357</v>
      </c>
      <c r="D740" s="3">
        <v>1808</v>
      </c>
      <c r="E740" s="3">
        <f>SalesMasterTable[[#This Row],[Sales]]-SalesMasterTable[[#This Row],[Cost Of Sales]]</f>
        <v>5412.3540339141327</v>
      </c>
    </row>
    <row r="741" spans="1:5" x14ac:dyDescent="0.3">
      <c r="A741" s="2">
        <v>42377</v>
      </c>
      <c r="B741" s="3">
        <v>106592.34299626789</v>
      </c>
      <c r="C741" s="3">
        <v>99021.682920692168</v>
      </c>
      <c r="D741" s="3">
        <v>2594</v>
      </c>
      <c r="E741" s="3">
        <f>SalesMasterTable[[#This Row],[Sales]]-SalesMasterTable[[#This Row],[Cost Of Sales]]</f>
        <v>7570.6600755757245</v>
      </c>
    </row>
    <row r="742" spans="1:5" x14ac:dyDescent="0.3">
      <c r="A742" s="2">
        <v>42378</v>
      </c>
      <c r="B742" s="3">
        <v>134629.65819693019</v>
      </c>
      <c r="C742" s="3">
        <v>124963.4655138471</v>
      </c>
      <c r="D742" s="3">
        <v>3274</v>
      </c>
      <c r="E742" s="3">
        <f>SalesMasterTable[[#This Row],[Sales]]-SalesMasterTable[[#This Row],[Cost Of Sales]]</f>
        <v>9666.1926830830926</v>
      </c>
    </row>
    <row r="743" spans="1:5" x14ac:dyDescent="0.3">
      <c r="A743" s="2">
        <v>42379</v>
      </c>
      <c r="B743" s="3">
        <v>90773.653057909149</v>
      </c>
      <c r="C743" s="3">
        <v>84299.288239980437</v>
      </c>
      <c r="D743" s="3">
        <v>2207</v>
      </c>
      <c r="E743" s="3">
        <f>SalesMasterTable[[#This Row],[Sales]]-SalesMasterTable[[#This Row],[Cost Of Sales]]</f>
        <v>6474.364817928712</v>
      </c>
    </row>
    <row r="744" spans="1:5" x14ac:dyDescent="0.3">
      <c r="A744" s="2">
        <v>42380</v>
      </c>
      <c r="B744" s="3">
        <v>121373.06822441641</v>
      </c>
      <c r="C744" s="3">
        <v>112550.43230873271</v>
      </c>
      <c r="D744" s="3">
        <v>2949</v>
      </c>
      <c r="E744" s="3">
        <f>SalesMasterTable[[#This Row],[Sales]]-SalesMasterTable[[#This Row],[Cost Of Sales]]</f>
        <v>8822.6359156836988</v>
      </c>
    </row>
    <row r="745" spans="1:5" x14ac:dyDescent="0.3">
      <c r="A745" s="2">
        <v>42381</v>
      </c>
      <c r="B745" s="3">
        <v>99445.557103979168</v>
      </c>
      <c r="C745" s="3">
        <v>92226.518095758031</v>
      </c>
      <c r="D745" s="3">
        <v>2417</v>
      </c>
      <c r="E745" s="3">
        <f>SalesMasterTable[[#This Row],[Sales]]-SalesMasterTable[[#This Row],[Cost Of Sales]]</f>
        <v>7219.0390082211379</v>
      </c>
    </row>
    <row r="746" spans="1:5" x14ac:dyDescent="0.3">
      <c r="A746" s="2">
        <v>42382</v>
      </c>
      <c r="B746" s="3">
        <v>67587.54693007037</v>
      </c>
      <c r="C746" s="3">
        <v>62760.356831462283</v>
      </c>
      <c r="D746" s="3">
        <v>1644</v>
      </c>
      <c r="E746" s="3">
        <f>SalesMasterTable[[#This Row],[Sales]]-SalesMasterTable[[#This Row],[Cost Of Sales]]</f>
        <v>4827.1900986080873</v>
      </c>
    </row>
    <row r="747" spans="1:5" x14ac:dyDescent="0.3">
      <c r="A747" s="2">
        <v>42383</v>
      </c>
      <c r="B747" s="3">
        <v>61685.935238410369</v>
      </c>
      <c r="C747" s="3">
        <v>57191.43931779157</v>
      </c>
      <c r="D747" s="3">
        <v>1499</v>
      </c>
      <c r="E747" s="3">
        <f>SalesMasterTable[[#This Row],[Sales]]-SalesMasterTable[[#This Row],[Cost Of Sales]]</f>
        <v>4494.4959206187996</v>
      </c>
    </row>
    <row r="748" spans="1:5" x14ac:dyDescent="0.3">
      <c r="A748" s="2">
        <v>42384</v>
      </c>
      <c r="B748" s="3">
        <v>150006.9297918239</v>
      </c>
      <c r="C748" s="3">
        <v>139244.89576770909</v>
      </c>
      <c r="D748" s="3">
        <v>3648</v>
      </c>
      <c r="E748" s="3">
        <f>SalesMasterTable[[#This Row],[Sales]]-SalesMasterTable[[#This Row],[Cost Of Sales]]</f>
        <v>10762.034024114808</v>
      </c>
    </row>
    <row r="749" spans="1:5" x14ac:dyDescent="0.3">
      <c r="A749" s="2">
        <v>42385</v>
      </c>
      <c r="B749" s="3">
        <v>191287.35348550291</v>
      </c>
      <c r="C749" s="3">
        <v>177577.2872134948</v>
      </c>
      <c r="D749" s="3">
        <v>4652</v>
      </c>
      <c r="E749" s="3">
        <f>SalesMasterTable[[#This Row],[Sales]]-SalesMasterTable[[#This Row],[Cost Of Sales]]</f>
        <v>13710.066272008116</v>
      </c>
    </row>
    <row r="750" spans="1:5" x14ac:dyDescent="0.3">
      <c r="A750" s="2">
        <v>42386</v>
      </c>
      <c r="B750" s="3">
        <v>92595.46083693915</v>
      </c>
      <c r="C750" s="3">
        <v>86018.189605519379</v>
      </c>
      <c r="D750" s="3">
        <v>2252</v>
      </c>
      <c r="E750" s="3">
        <f>SalesMasterTable[[#This Row],[Sales]]-SalesMasterTable[[#This Row],[Cost Of Sales]]</f>
        <v>6577.2712314197706</v>
      </c>
    </row>
    <row r="751" spans="1:5" x14ac:dyDescent="0.3">
      <c r="A751" s="2">
        <v>42387</v>
      </c>
      <c r="B751" s="3">
        <v>96947.054288479165</v>
      </c>
      <c r="C751" s="3">
        <v>89961.359503772677</v>
      </c>
      <c r="D751" s="3">
        <v>2357</v>
      </c>
      <c r="E751" s="3">
        <f>SalesMasterTable[[#This Row],[Sales]]-SalesMasterTable[[#This Row],[Cost Of Sales]]</f>
        <v>6985.6947847064876</v>
      </c>
    </row>
    <row r="752" spans="1:5" x14ac:dyDescent="0.3">
      <c r="A752" s="2">
        <v>42388</v>
      </c>
      <c r="B752" s="3">
        <v>70512.894500490496</v>
      </c>
      <c r="C752" s="3">
        <v>65453.276391554507</v>
      </c>
      <c r="D752" s="3">
        <v>1715</v>
      </c>
      <c r="E752" s="3">
        <f>SalesMasterTable[[#This Row],[Sales]]-SalesMasterTable[[#This Row],[Cost Of Sales]]</f>
        <v>5059.6181089359889</v>
      </c>
    </row>
    <row r="753" spans="1:5" x14ac:dyDescent="0.3">
      <c r="A753" s="2">
        <v>42389</v>
      </c>
      <c r="B753" s="3">
        <v>159590.49006920139</v>
      </c>
      <c r="C753" s="3">
        <v>182351.13884524151</v>
      </c>
      <c r="D753" s="3">
        <v>4776</v>
      </c>
      <c r="E753" s="3">
        <f>SalesMasterTable[[#This Row],[Sales]]-SalesMasterTable[[#This Row],[Cost Of Sales]]</f>
        <v>-22760.648776040121</v>
      </c>
    </row>
    <row r="754" spans="1:5" x14ac:dyDescent="0.3">
      <c r="A754" s="2">
        <v>42390</v>
      </c>
      <c r="B754" s="3">
        <v>67046.273415800373</v>
      </c>
      <c r="C754" s="3">
        <v>61894.262560530507</v>
      </c>
      <c r="D754" s="3">
        <v>1628</v>
      </c>
      <c r="E754" s="3">
        <f>SalesMasterTable[[#This Row],[Sales]]-SalesMasterTable[[#This Row],[Cost Of Sales]]</f>
        <v>5152.0108552698657</v>
      </c>
    </row>
    <row r="755" spans="1:5" x14ac:dyDescent="0.3">
      <c r="A755" s="2">
        <v>42391</v>
      </c>
      <c r="B755" s="3">
        <v>266949.23879314208</v>
      </c>
      <c r="C755" s="3">
        <v>294322.92718273471</v>
      </c>
      <c r="D755" s="3">
        <v>7806</v>
      </c>
      <c r="E755" s="3">
        <f>SalesMasterTable[[#This Row],[Sales]]-SalesMasterTable[[#This Row],[Cost Of Sales]]</f>
        <v>-27373.688389592629</v>
      </c>
    </row>
    <row r="756" spans="1:5" x14ac:dyDescent="0.3">
      <c r="A756" s="2">
        <v>42392</v>
      </c>
      <c r="B756" s="3">
        <v>315272.22477212187</v>
      </c>
      <c r="C756" s="3">
        <v>346093.06700429099</v>
      </c>
      <c r="D756" s="3">
        <v>9210</v>
      </c>
      <c r="E756" s="3">
        <f>SalesMasterTable[[#This Row],[Sales]]-SalesMasterTable[[#This Row],[Cost Of Sales]]</f>
        <v>-30820.842232169118</v>
      </c>
    </row>
    <row r="757" spans="1:5" x14ac:dyDescent="0.3">
      <c r="A757" s="2">
        <v>42393</v>
      </c>
      <c r="B757" s="3">
        <v>149138.92151888521</v>
      </c>
      <c r="C757" s="3">
        <v>163505.7130198981</v>
      </c>
      <c r="D757" s="3">
        <v>4351</v>
      </c>
      <c r="E757" s="3">
        <f>SalesMasterTable[[#This Row],[Sales]]-SalesMasterTable[[#This Row],[Cost Of Sales]]</f>
        <v>-14366.791501012893</v>
      </c>
    </row>
    <row r="758" spans="1:5" x14ac:dyDescent="0.3">
      <c r="A758" s="2">
        <v>42394</v>
      </c>
      <c r="B758" s="3">
        <v>215171.03820176999</v>
      </c>
      <c r="C758" s="3">
        <v>234621.59885970881</v>
      </c>
      <c r="D758" s="3">
        <v>6278</v>
      </c>
      <c r="E758" s="3">
        <f>SalesMasterTable[[#This Row],[Sales]]-SalesMasterTable[[#This Row],[Cost Of Sales]]</f>
        <v>-19450.560657938826</v>
      </c>
    </row>
    <row r="759" spans="1:5" x14ac:dyDescent="0.3">
      <c r="A759" s="2">
        <v>42395</v>
      </c>
      <c r="B759" s="3">
        <v>205197.8983571688</v>
      </c>
      <c r="C759" s="3">
        <v>221931.58005274381</v>
      </c>
      <c r="D759" s="3">
        <v>5992</v>
      </c>
      <c r="E759" s="3">
        <f>SalesMasterTable[[#This Row],[Sales]]-SalesMasterTable[[#This Row],[Cost Of Sales]]</f>
        <v>-16733.681695575011</v>
      </c>
    </row>
    <row r="760" spans="1:5" x14ac:dyDescent="0.3">
      <c r="A760" s="2">
        <v>42396</v>
      </c>
      <c r="B760" s="3">
        <v>214452.24842869499</v>
      </c>
      <c r="C760" s="3">
        <v>231730.23274989819</v>
      </c>
      <c r="D760" s="3">
        <v>6265</v>
      </c>
      <c r="E760" s="3">
        <f>SalesMasterTable[[#This Row],[Sales]]-SalesMasterTable[[#This Row],[Cost Of Sales]]</f>
        <v>-17277.984321203199</v>
      </c>
    </row>
    <row r="761" spans="1:5" x14ac:dyDescent="0.3">
      <c r="A761" s="2">
        <v>42397</v>
      </c>
      <c r="B761" s="3">
        <v>195767.9735540376</v>
      </c>
      <c r="C761" s="3">
        <v>210639.84818927519</v>
      </c>
      <c r="D761" s="3">
        <v>5723</v>
      </c>
      <c r="E761" s="3">
        <f>SalesMasterTable[[#This Row],[Sales]]-SalesMasterTable[[#This Row],[Cost Of Sales]]</f>
        <v>-14871.874635237589</v>
      </c>
    </row>
    <row r="762" spans="1:5" x14ac:dyDescent="0.3">
      <c r="A762" s="2">
        <v>42398</v>
      </c>
      <c r="B762" s="3">
        <v>397984.32926288783</v>
      </c>
      <c r="C762" s="3">
        <v>437198.92957971449</v>
      </c>
      <c r="D762" s="3">
        <v>11900</v>
      </c>
      <c r="E762" s="3">
        <f>SalesMasterTable[[#This Row],[Sales]]-SalesMasterTable[[#This Row],[Cost Of Sales]]</f>
        <v>-39214.600316826662</v>
      </c>
    </row>
    <row r="763" spans="1:5" x14ac:dyDescent="0.3">
      <c r="A763" s="2">
        <v>42399</v>
      </c>
      <c r="B763" s="3">
        <v>512603.10345302342</v>
      </c>
      <c r="C763" s="3">
        <v>561872.20603298978</v>
      </c>
      <c r="D763" s="3">
        <v>15345</v>
      </c>
      <c r="E763" s="3">
        <f>SalesMasterTable[[#This Row],[Sales]]-SalesMasterTable[[#This Row],[Cost Of Sales]]</f>
        <v>-49269.102579966362</v>
      </c>
    </row>
    <row r="764" spans="1:5" x14ac:dyDescent="0.3">
      <c r="A764" s="2">
        <v>42400</v>
      </c>
      <c r="B764" s="3">
        <v>218104.0669391714</v>
      </c>
      <c r="C764" s="3">
        <v>238662.19210478579</v>
      </c>
      <c r="D764" s="3">
        <v>6525</v>
      </c>
      <c r="E764" s="3">
        <f>SalesMasterTable[[#This Row],[Sales]]-SalesMasterTable[[#This Row],[Cost Of Sales]]</f>
        <v>-20558.125165614387</v>
      </c>
    </row>
    <row r="765" spans="1:5" x14ac:dyDescent="0.3">
      <c r="A765" s="2">
        <v>42401</v>
      </c>
      <c r="B765" s="3">
        <v>339004.33688676252</v>
      </c>
      <c r="C765" s="3">
        <v>371177.18688303168</v>
      </c>
      <c r="D765" s="3">
        <v>10153</v>
      </c>
      <c r="E765" s="3">
        <f>SalesMasterTable[[#This Row],[Sales]]-SalesMasterTable[[#This Row],[Cost Of Sales]]</f>
        <v>-32172.849996269157</v>
      </c>
    </row>
    <row r="766" spans="1:5" x14ac:dyDescent="0.3">
      <c r="A766" s="2">
        <v>42402</v>
      </c>
      <c r="B766" s="3">
        <v>278116.36932756339</v>
      </c>
      <c r="C766" s="3">
        <v>295645.62910879822</v>
      </c>
      <c r="D766" s="3">
        <v>8116</v>
      </c>
      <c r="E766" s="3">
        <f>SalesMasterTable[[#This Row],[Sales]]-SalesMasterTable[[#This Row],[Cost Of Sales]]</f>
        <v>-17529.259781234839</v>
      </c>
    </row>
    <row r="767" spans="1:5" x14ac:dyDescent="0.3">
      <c r="A767" s="2">
        <v>42403</v>
      </c>
      <c r="B767" s="3">
        <v>264159.3006103735</v>
      </c>
      <c r="C767" s="3">
        <v>280392.27359994513</v>
      </c>
      <c r="D767" s="3">
        <v>7712</v>
      </c>
      <c r="E767" s="3">
        <f>SalesMasterTable[[#This Row],[Sales]]-SalesMasterTable[[#This Row],[Cost Of Sales]]</f>
        <v>-16232.97298957163</v>
      </c>
    </row>
    <row r="768" spans="1:5" x14ac:dyDescent="0.3">
      <c r="A768" s="2">
        <v>42404</v>
      </c>
      <c r="B768" s="3">
        <v>197778.13374055881</v>
      </c>
      <c r="C768" s="3">
        <v>209372.29223082791</v>
      </c>
      <c r="D768" s="3">
        <v>5759</v>
      </c>
      <c r="E768" s="3">
        <f>SalesMasterTable[[#This Row],[Sales]]-SalesMasterTable[[#This Row],[Cost Of Sales]]</f>
        <v>-11594.158490269096</v>
      </c>
    </row>
    <row r="769" spans="1:5" x14ac:dyDescent="0.3">
      <c r="A769" s="2">
        <v>42405</v>
      </c>
      <c r="B769" s="3">
        <v>325749.00890694692</v>
      </c>
      <c r="C769" s="3">
        <v>345287.81149657938</v>
      </c>
      <c r="D769" s="3">
        <v>9501</v>
      </c>
      <c r="E769" s="3">
        <f>SalesMasterTable[[#This Row],[Sales]]-SalesMasterTable[[#This Row],[Cost Of Sales]]</f>
        <v>-19538.802589632454</v>
      </c>
    </row>
    <row r="770" spans="1:5" x14ac:dyDescent="0.3">
      <c r="A770" s="2">
        <v>42406</v>
      </c>
      <c r="B770" s="3">
        <v>371561.97638721432</v>
      </c>
      <c r="C770" s="3">
        <v>393884.43303565029</v>
      </c>
      <c r="D770" s="3">
        <v>10840</v>
      </c>
      <c r="E770" s="3">
        <f>SalesMasterTable[[#This Row],[Sales]]-SalesMasterTable[[#This Row],[Cost Of Sales]]</f>
        <v>-22322.456648435968</v>
      </c>
    </row>
    <row r="771" spans="1:5" x14ac:dyDescent="0.3">
      <c r="A771" s="2">
        <v>42407</v>
      </c>
      <c r="B771" s="3">
        <v>174581.67684583139</v>
      </c>
      <c r="C771" s="3">
        <v>185040.81733893289</v>
      </c>
      <c r="D771" s="3">
        <v>5089</v>
      </c>
      <c r="E771" s="3">
        <f>SalesMasterTable[[#This Row],[Sales]]-SalesMasterTable[[#This Row],[Cost Of Sales]]</f>
        <v>-10459.140493101499</v>
      </c>
    </row>
    <row r="772" spans="1:5" x14ac:dyDescent="0.3">
      <c r="A772" s="2">
        <v>42408</v>
      </c>
      <c r="B772" s="3">
        <v>208489.36941933131</v>
      </c>
      <c r="C772" s="3">
        <v>221372.83694683231</v>
      </c>
      <c r="D772" s="3">
        <v>6087</v>
      </c>
      <c r="E772" s="3">
        <f>SalesMasterTable[[#This Row],[Sales]]-SalesMasterTable[[#This Row],[Cost Of Sales]]</f>
        <v>-12883.467527500994</v>
      </c>
    </row>
    <row r="773" spans="1:5" x14ac:dyDescent="0.3">
      <c r="A773" s="2">
        <v>42409</v>
      </c>
      <c r="B773" s="3">
        <v>84495.166667640122</v>
      </c>
      <c r="C773" s="3">
        <v>74682.266818099233</v>
      </c>
      <c r="D773" s="3">
        <v>2053</v>
      </c>
      <c r="E773" s="3">
        <f>SalesMasterTable[[#This Row],[Sales]]-SalesMasterTable[[#This Row],[Cost Of Sales]]</f>
        <v>9812.8998495408887</v>
      </c>
    </row>
    <row r="774" spans="1:5" x14ac:dyDescent="0.3">
      <c r="A774" s="2">
        <v>42410</v>
      </c>
      <c r="B774" s="3">
        <v>76661.250030179392</v>
      </c>
      <c r="C774" s="3">
        <v>66379.563604373863</v>
      </c>
      <c r="D774" s="3">
        <v>1825</v>
      </c>
      <c r="E774" s="3">
        <f>SalesMasterTable[[#This Row],[Sales]]-SalesMasterTable[[#This Row],[Cost Of Sales]]</f>
        <v>10281.686425805528</v>
      </c>
    </row>
    <row r="775" spans="1:5" x14ac:dyDescent="0.3">
      <c r="A775" s="2">
        <v>42411</v>
      </c>
      <c r="B775" s="3">
        <v>64034.940459509773</v>
      </c>
      <c r="C775" s="3">
        <v>55491.338529373483</v>
      </c>
      <c r="D775" s="3">
        <v>1525</v>
      </c>
      <c r="E775" s="3">
        <f>SalesMasterTable[[#This Row],[Sales]]-SalesMasterTable[[#This Row],[Cost Of Sales]]</f>
        <v>8543.6019301362903</v>
      </c>
    </row>
    <row r="776" spans="1:5" x14ac:dyDescent="0.3">
      <c r="A776" s="2">
        <v>42412</v>
      </c>
      <c r="B776" s="3">
        <v>148839.97486826521</v>
      </c>
      <c r="C776" s="3">
        <v>129583.4920673977</v>
      </c>
      <c r="D776" s="3">
        <v>3542</v>
      </c>
      <c r="E776" s="3">
        <f>SalesMasterTable[[#This Row],[Sales]]-SalesMasterTable[[#This Row],[Cost Of Sales]]</f>
        <v>19256.48280086751</v>
      </c>
    </row>
    <row r="777" spans="1:5" x14ac:dyDescent="0.3">
      <c r="A777" s="2">
        <v>42413</v>
      </c>
      <c r="B777" s="3">
        <v>172541.50792952391</v>
      </c>
      <c r="C777" s="3">
        <v>150538.98368314141</v>
      </c>
      <c r="D777" s="3">
        <v>4105</v>
      </c>
      <c r="E777" s="3">
        <f>SalesMasterTable[[#This Row],[Sales]]-SalesMasterTable[[#This Row],[Cost Of Sales]]</f>
        <v>22002.524246382498</v>
      </c>
    </row>
    <row r="778" spans="1:5" x14ac:dyDescent="0.3">
      <c r="A778" s="2">
        <v>42414</v>
      </c>
      <c r="B778" s="3">
        <v>87991.663002118541</v>
      </c>
      <c r="C778" s="3">
        <v>76378.504638063911</v>
      </c>
      <c r="D778" s="3">
        <v>2094</v>
      </c>
      <c r="E778" s="3">
        <f>SalesMasterTable[[#This Row],[Sales]]-SalesMasterTable[[#This Row],[Cost Of Sales]]</f>
        <v>11613.158364054631</v>
      </c>
    </row>
    <row r="779" spans="1:5" x14ac:dyDescent="0.3">
      <c r="A779" s="2">
        <v>42415</v>
      </c>
      <c r="B779" s="3">
        <v>123445.3815504276</v>
      </c>
      <c r="C779" s="3">
        <v>108669.225381257</v>
      </c>
      <c r="D779" s="3">
        <v>2940</v>
      </c>
      <c r="E779" s="3">
        <f>SalesMasterTable[[#This Row],[Sales]]-SalesMasterTable[[#This Row],[Cost Of Sales]]</f>
        <v>14776.156169170601</v>
      </c>
    </row>
    <row r="780" spans="1:5" x14ac:dyDescent="0.3">
      <c r="A780" s="2">
        <v>42416</v>
      </c>
      <c r="B780" s="3">
        <v>77344.691873669406</v>
      </c>
      <c r="C780" s="3">
        <v>68269.248838410713</v>
      </c>
      <c r="D780" s="3">
        <v>1841</v>
      </c>
      <c r="E780" s="3">
        <f>SalesMasterTable[[#This Row],[Sales]]-SalesMasterTable[[#This Row],[Cost Of Sales]]</f>
        <v>9075.4430352586933</v>
      </c>
    </row>
    <row r="781" spans="1:5" x14ac:dyDescent="0.3">
      <c r="A781" s="2">
        <v>42417</v>
      </c>
      <c r="B781" s="3">
        <v>158963.02488179519</v>
      </c>
      <c r="C781" s="3">
        <v>167521.52586053711</v>
      </c>
      <c r="D781" s="3">
        <v>4529</v>
      </c>
      <c r="E781" s="3">
        <f>SalesMasterTable[[#This Row],[Sales]]-SalesMasterTable[[#This Row],[Cost Of Sales]]</f>
        <v>-8558.5009787419112</v>
      </c>
    </row>
    <row r="782" spans="1:5" x14ac:dyDescent="0.3">
      <c r="A782" s="2">
        <v>42418</v>
      </c>
      <c r="B782" s="3">
        <v>69598.07115293965</v>
      </c>
      <c r="C782" s="3">
        <v>61492.968308179203</v>
      </c>
      <c r="D782" s="3">
        <v>1658</v>
      </c>
      <c r="E782" s="3">
        <f>SalesMasterTable[[#This Row],[Sales]]-SalesMasterTable[[#This Row],[Cost Of Sales]]</f>
        <v>8105.1028447604476</v>
      </c>
    </row>
    <row r="783" spans="1:5" x14ac:dyDescent="0.3">
      <c r="A783" s="2">
        <v>42419</v>
      </c>
      <c r="B783" s="3">
        <v>161275.60219880519</v>
      </c>
      <c r="C783" s="3">
        <v>143446.35832758571</v>
      </c>
      <c r="D783" s="3">
        <v>3841</v>
      </c>
      <c r="E783" s="3">
        <f>SalesMasterTable[[#This Row],[Sales]]-SalesMasterTable[[#This Row],[Cost Of Sales]]</f>
        <v>17829.243871219485</v>
      </c>
    </row>
    <row r="784" spans="1:5" x14ac:dyDescent="0.3">
      <c r="A784" s="2">
        <v>42420</v>
      </c>
      <c r="B784" s="3">
        <v>325215.07679238252</v>
      </c>
      <c r="C784" s="3">
        <v>345446.00184870971</v>
      </c>
      <c r="D784" s="3">
        <v>9260</v>
      </c>
      <c r="E784" s="3">
        <f>SalesMasterTable[[#This Row],[Sales]]-SalesMasterTable[[#This Row],[Cost Of Sales]]</f>
        <v>-20230.925056327193</v>
      </c>
    </row>
    <row r="785" spans="1:5" x14ac:dyDescent="0.3">
      <c r="A785" s="2">
        <v>42421</v>
      </c>
      <c r="B785" s="3">
        <v>96957.295844458073</v>
      </c>
      <c r="C785" s="3">
        <v>86455.494378043557</v>
      </c>
      <c r="D785" s="3">
        <v>2308</v>
      </c>
      <c r="E785" s="3">
        <f>SalesMasterTable[[#This Row],[Sales]]-SalesMasterTable[[#This Row],[Cost Of Sales]]</f>
        <v>10501.801466414516</v>
      </c>
    </row>
    <row r="786" spans="1:5" x14ac:dyDescent="0.3">
      <c r="A786" s="2">
        <v>42422</v>
      </c>
      <c r="B786" s="3">
        <v>85224.477091228793</v>
      </c>
      <c r="C786" s="3">
        <v>75960.718021940367</v>
      </c>
      <c r="D786" s="3">
        <v>2028</v>
      </c>
      <c r="E786" s="3">
        <f>SalesMasterTable[[#This Row],[Sales]]-SalesMasterTable[[#This Row],[Cost Of Sales]]</f>
        <v>9263.759069288426</v>
      </c>
    </row>
    <row r="787" spans="1:5" x14ac:dyDescent="0.3">
      <c r="A787" s="2">
        <v>42423</v>
      </c>
      <c r="B787" s="3">
        <v>54612.878841539881</v>
      </c>
      <c r="C787" s="3">
        <v>49071.802537897172</v>
      </c>
      <c r="D787" s="3">
        <v>1301</v>
      </c>
      <c r="E787" s="3">
        <f>SalesMasterTable[[#This Row],[Sales]]-SalesMasterTable[[#This Row],[Cost Of Sales]]</f>
        <v>5541.0763036427088</v>
      </c>
    </row>
    <row r="788" spans="1:5" x14ac:dyDescent="0.3">
      <c r="A788" s="2">
        <v>42424</v>
      </c>
      <c r="B788" s="3">
        <v>81530.612382324645</v>
      </c>
      <c r="C788" s="3">
        <v>81738.0564373136</v>
      </c>
      <c r="D788" s="3">
        <v>2213</v>
      </c>
      <c r="E788" s="3">
        <f>SalesMasterTable[[#This Row],[Sales]]-SalesMasterTable[[#This Row],[Cost Of Sales]]</f>
        <v>-207.44405498895503</v>
      </c>
    </row>
    <row r="789" spans="1:5" x14ac:dyDescent="0.3">
      <c r="A789" s="2">
        <v>42425</v>
      </c>
      <c r="B789" s="3">
        <v>160947.53264018759</v>
      </c>
      <c r="C789" s="3">
        <v>162597.49684526821</v>
      </c>
      <c r="D789" s="3">
        <v>4404</v>
      </c>
      <c r="E789" s="3">
        <f>SalesMasterTable[[#This Row],[Sales]]-SalesMasterTable[[#This Row],[Cost Of Sales]]</f>
        <v>-1649.9642050806142</v>
      </c>
    </row>
    <row r="790" spans="1:5" x14ac:dyDescent="0.3">
      <c r="A790" s="2">
        <v>42426</v>
      </c>
      <c r="B790" s="3">
        <v>188736.24741743511</v>
      </c>
      <c r="C790" s="3">
        <v>183103.23368799081</v>
      </c>
      <c r="D790" s="3">
        <v>4935</v>
      </c>
      <c r="E790" s="3">
        <f>SalesMasterTable[[#This Row],[Sales]]-SalesMasterTable[[#This Row],[Cost Of Sales]]</f>
        <v>5633.0137294442975</v>
      </c>
    </row>
    <row r="791" spans="1:5" x14ac:dyDescent="0.3">
      <c r="A791" s="2">
        <v>42427</v>
      </c>
      <c r="B791" s="3">
        <v>215951.50786707399</v>
      </c>
      <c r="C791" s="3">
        <v>210032.78807855889</v>
      </c>
      <c r="D791" s="3">
        <v>5609</v>
      </c>
      <c r="E791" s="3">
        <f>SalesMasterTable[[#This Row],[Sales]]-SalesMasterTable[[#This Row],[Cost Of Sales]]</f>
        <v>5918.7197885150963</v>
      </c>
    </row>
    <row r="792" spans="1:5" x14ac:dyDescent="0.3">
      <c r="A792" s="2">
        <v>42428</v>
      </c>
      <c r="B792" s="3">
        <v>134995.85449594259</v>
      </c>
      <c r="C792" s="3">
        <v>129938.7057703585</v>
      </c>
      <c r="D792" s="3">
        <v>3452</v>
      </c>
      <c r="E792" s="3">
        <f>SalesMasterTable[[#This Row],[Sales]]-SalesMasterTable[[#This Row],[Cost Of Sales]]</f>
        <v>5057.1487255840912</v>
      </c>
    </row>
    <row r="793" spans="1:5" x14ac:dyDescent="0.3">
      <c r="A793" s="2">
        <v>42429</v>
      </c>
      <c r="B793" s="3">
        <v>163079.37804396759</v>
      </c>
      <c r="C793" s="3">
        <v>160332.58940603069</v>
      </c>
      <c r="D793" s="3">
        <v>4270</v>
      </c>
      <c r="E793" s="3">
        <f>SalesMasterTable[[#This Row],[Sales]]-SalesMasterTable[[#This Row],[Cost Of Sales]]</f>
        <v>2746.7886379369011</v>
      </c>
    </row>
    <row r="794" spans="1:5" x14ac:dyDescent="0.3">
      <c r="A794" s="2">
        <v>42430</v>
      </c>
      <c r="B794" s="3">
        <v>180828.6740918264</v>
      </c>
      <c r="C794" s="3">
        <v>182962.33699647631</v>
      </c>
      <c r="D794" s="3">
        <v>4719</v>
      </c>
      <c r="E794" s="3">
        <f>SalesMasterTable[[#This Row],[Sales]]-SalesMasterTable[[#This Row],[Cost Of Sales]]</f>
        <v>-2133.6629046499147</v>
      </c>
    </row>
    <row r="795" spans="1:5" x14ac:dyDescent="0.3">
      <c r="A795" s="2">
        <v>42431</v>
      </c>
      <c r="B795" s="3">
        <v>171196.1751944664</v>
      </c>
      <c r="C795" s="3">
        <v>174428.680891675</v>
      </c>
      <c r="D795" s="3">
        <v>4451</v>
      </c>
      <c r="E795" s="3">
        <f>SalesMasterTable[[#This Row],[Sales]]-SalesMasterTable[[#This Row],[Cost Of Sales]]</f>
        <v>-3232.5056972086022</v>
      </c>
    </row>
    <row r="796" spans="1:5" x14ac:dyDescent="0.3">
      <c r="A796" s="2">
        <v>42432</v>
      </c>
      <c r="B796" s="3">
        <v>129719.0505263338</v>
      </c>
      <c r="C796" s="3">
        <v>131961.93250828909</v>
      </c>
      <c r="D796" s="3">
        <v>3364</v>
      </c>
      <c r="E796" s="3">
        <f>SalesMasterTable[[#This Row],[Sales]]-SalesMasterTable[[#This Row],[Cost Of Sales]]</f>
        <v>-2242.8819819552882</v>
      </c>
    </row>
    <row r="797" spans="1:5" x14ac:dyDescent="0.3">
      <c r="A797" s="2">
        <v>42433</v>
      </c>
      <c r="B797" s="3">
        <v>142127.64209061259</v>
      </c>
      <c r="C797" s="3">
        <v>144039.41368270031</v>
      </c>
      <c r="D797" s="3">
        <v>3665</v>
      </c>
      <c r="E797" s="3">
        <f>SalesMasterTable[[#This Row],[Sales]]-SalesMasterTable[[#This Row],[Cost Of Sales]]</f>
        <v>-1911.7715920877235</v>
      </c>
    </row>
    <row r="798" spans="1:5" x14ac:dyDescent="0.3">
      <c r="A798" s="2">
        <v>42434</v>
      </c>
      <c r="B798" s="3">
        <v>152124.4078943276</v>
      </c>
      <c r="C798" s="3">
        <v>153377.51203867729</v>
      </c>
      <c r="D798" s="3">
        <v>3889</v>
      </c>
      <c r="E798" s="3">
        <f>SalesMasterTable[[#This Row],[Sales]]-SalesMasterTable[[#This Row],[Cost Of Sales]]</f>
        <v>-1253.1041443496943</v>
      </c>
    </row>
    <row r="799" spans="1:5" x14ac:dyDescent="0.3">
      <c r="A799" s="2">
        <v>42435</v>
      </c>
      <c r="B799" s="3">
        <v>74132.787023074285</v>
      </c>
      <c r="C799" s="3">
        <v>74332.279484224229</v>
      </c>
      <c r="D799" s="3">
        <v>1882</v>
      </c>
      <c r="E799" s="3">
        <f>SalesMasterTable[[#This Row],[Sales]]-SalesMasterTable[[#This Row],[Cost Of Sales]]</f>
        <v>-199.49246114994457</v>
      </c>
    </row>
    <row r="800" spans="1:5" x14ac:dyDescent="0.3">
      <c r="A800" s="2">
        <v>42436</v>
      </c>
      <c r="B800" s="3">
        <v>91143.028607709275</v>
      </c>
      <c r="C800" s="3">
        <v>95167.528732048944</v>
      </c>
      <c r="D800" s="3">
        <v>2405</v>
      </c>
      <c r="E800" s="3">
        <f>SalesMasterTable[[#This Row],[Sales]]-SalesMasterTable[[#This Row],[Cost Of Sales]]</f>
        <v>-4024.5001243396691</v>
      </c>
    </row>
    <row r="801" spans="1:5" x14ac:dyDescent="0.3">
      <c r="A801" s="2">
        <v>42437</v>
      </c>
      <c r="B801" s="3">
        <v>60528.093358145001</v>
      </c>
      <c r="C801" s="3">
        <v>62342.881166359934</v>
      </c>
      <c r="D801" s="3">
        <v>1577</v>
      </c>
      <c r="E801" s="3">
        <f>SalesMasterTable[[#This Row],[Sales]]-SalesMasterTable[[#This Row],[Cost Of Sales]]</f>
        <v>-1814.7878082149327</v>
      </c>
    </row>
    <row r="802" spans="1:5" x14ac:dyDescent="0.3">
      <c r="A802" s="2">
        <v>42438</v>
      </c>
      <c r="B802" s="3">
        <v>38340.599611080237</v>
      </c>
      <c r="C802" s="3">
        <v>35918.335153329201</v>
      </c>
      <c r="D802" s="3">
        <v>913</v>
      </c>
      <c r="E802" s="3">
        <f>SalesMasterTable[[#This Row],[Sales]]-SalesMasterTable[[#This Row],[Cost Of Sales]]</f>
        <v>2422.2644577510364</v>
      </c>
    </row>
    <row r="803" spans="1:5" x14ac:dyDescent="0.3">
      <c r="A803" s="2">
        <v>42439</v>
      </c>
      <c r="B803" s="3">
        <v>37453.006182510253</v>
      </c>
      <c r="C803" s="3">
        <v>35108.200106536773</v>
      </c>
      <c r="D803" s="3">
        <v>892</v>
      </c>
      <c r="E803" s="3">
        <f>SalesMasterTable[[#This Row],[Sales]]-SalesMasterTable[[#This Row],[Cost Of Sales]]</f>
        <v>2344.8060759734799</v>
      </c>
    </row>
    <row r="804" spans="1:5" x14ac:dyDescent="0.3">
      <c r="A804" s="2">
        <v>42440</v>
      </c>
      <c r="B804" s="3">
        <v>77997.045012869392</v>
      </c>
      <c r="C804" s="3">
        <v>73051.675542545359</v>
      </c>
      <c r="D804" s="3">
        <v>1855</v>
      </c>
      <c r="E804" s="3">
        <f>SalesMasterTable[[#This Row],[Sales]]-SalesMasterTable[[#This Row],[Cost Of Sales]]</f>
        <v>4945.3694703240326</v>
      </c>
    </row>
    <row r="805" spans="1:5" x14ac:dyDescent="0.3">
      <c r="A805" s="2">
        <v>42441</v>
      </c>
      <c r="B805" s="3">
        <v>79752.282678029282</v>
      </c>
      <c r="C805" s="3">
        <v>74962.816397036033</v>
      </c>
      <c r="D805" s="3">
        <v>1897</v>
      </c>
      <c r="E805" s="3">
        <f>SalesMasterTable[[#This Row],[Sales]]-SalesMasterTable[[#This Row],[Cost Of Sales]]</f>
        <v>4789.4662809932488</v>
      </c>
    </row>
    <row r="806" spans="1:5" x14ac:dyDescent="0.3">
      <c r="A806" s="2">
        <v>42442</v>
      </c>
      <c r="B806" s="3">
        <v>37155.588484560249</v>
      </c>
      <c r="C806" s="3">
        <v>34962.830504184181</v>
      </c>
      <c r="D806" s="3">
        <v>883</v>
      </c>
      <c r="E806" s="3">
        <f>SalesMasterTable[[#This Row],[Sales]]-SalesMasterTable[[#This Row],[Cost Of Sales]]</f>
        <v>2192.7579803760673</v>
      </c>
    </row>
    <row r="807" spans="1:5" x14ac:dyDescent="0.3">
      <c r="A807" s="2">
        <v>42443</v>
      </c>
      <c r="B807" s="3">
        <v>45046.513214430241</v>
      </c>
      <c r="C807" s="3">
        <v>42368.045353504087</v>
      </c>
      <c r="D807" s="3">
        <v>1071</v>
      </c>
      <c r="E807" s="3">
        <f>SalesMasterTable[[#This Row],[Sales]]-SalesMasterTable[[#This Row],[Cost Of Sales]]</f>
        <v>2678.4678609261537</v>
      </c>
    </row>
    <row r="808" spans="1:5" x14ac:dyDescent="0.3">
      <c r="A808" s="2">
        <v>42444</v>
      </c>
      <c r="B808" s="3">
        <v>55489.332757800243</v>
      </c>
      <c r="C808" s="3">
        <v>52263.056988226643</v>
      </c>
      <c r="D808" s="3">
        <v>1320</v>
      </c>
      <c r="E808" s="3">
        <f>SalesMasterTable[[#This Row],[Sales]]-SalesMasterTable[[#This Row],[Cost Of Sales]]</f>
        <v>3226.2757695736</v>
      </c>
    </row>
    <row r="809" spans="1:5" x14ac:dyDescent="0.3">
      <c r="A809" s="2">
        <v>42445</v>
      </c>
      <c r="B809" s="3">
        <v>41893.303158000243</v>
      </c>
      <c r="C809" s="3">
        <v>39495.455901503272</v>
      </c>
      <c r="D809" s="3">
        <v>997</v>
      </c>
      <c r="E809" s="3">
        <f>SalesMasterTable[[#This Row],[Sales]]-SalesMasterTable[[#This Row],[Cost Of Sales]]</f>
        <v>2397.8472564969707</v>
      </c>
    </row>
    <row r="810" spans="1:5" x14ac:dyDescent="0.3">
      <c r="A810" s="2">
        <v>42446</v>
      </c>
      <c r="B810" s="3">
        <v>34348.504189710133</v>
      </c>
      <c r="C810" s="3">
        <v>32292.837602068419</v>
      </c>
      <c r="D810" s="3">
        <v>817</v>
      </c>
      <c r="E810" s="3">
        <f>SalesMasterTable[[#This Row],[Sales]]-SalesMasterTable[[#This Row],[Cost Of Sales]]</f>
        <v>2055.6665876417137</v>
      </c>
    </row>
    <row r="811" spans="1:5" x14ac:dyDescent="0.3">
      <c r="A811" s="2">
        <v>42447</v>
      </c>
      <c r="B811" s="3">
        <v>78276.831216934515</v>
      </c>
      <c r="C811" s="3">
        <v>73746.758711538583</v>
      </c>
      <c r="D811" s="3">
        <v>1866</v>
      </c>
      <c r="E811" s="3">
        <f>SalesMasterTable[[#This Row],[Sales]]-SalesMasterTable[[#This Row],[Cost Of Sales]]</f>
        <v>4530.0725053959322</v>
      </c>
    </row>
    <row r="812" spans="1:5" x14ac:dyDescent="0.3">
      <c r="A812" s="2">
        <v>42448</v>
      </c>
      <c r="B812" s="3">
        <v>92851.402660078791</v>
      </c>
      <c r="C812" s="3">
        <v>87451.566175781234</v>
      </c>
      <c r="D812" s="3">
        <v>2211</v>
      </c>
      <c r="E812" s="3">
        <f>SalesMasterTable[[#This Row],[Sales]]-SalesMasterTable[[#This Row],[Cost Of Sales]]</f>
        <v>5399.836484297557</v>
      </c>
    </row>
    <row r="813" spans="1:5" x14ac:dyDescent="0.3">
      <c r="A813" s="2">
        <v>42449</v>
      </c>
      <c r="B813" s="3">
        <v>54845.789298270247</v>
      </c>
      <c r="C813" s="3">
        <v>51625.511717785288</v>
      </c>
      <c r="D813" s="3">
        <v>1304</v>
      </c>
      <c r="E813" s="3">
        <f>SalesMasterTable[[#This Row],[Sales]]-SalesMasterTable[[#This Row],[Cost Of Sales]]</f>
        <v>3220.2775804849589</v>
      </c>
    </row>
    <row r="814" spans="1:5" x14ac:dyDescent="0.3">
      <c r="A814" s="2">
        <v>42450</v>
      </c>
      <c r="B814" s="3">
        <v>48037.799902380248</v>
      </c>
      <c r="C814" s="3">
        <v>45187.641575720692</v>
      </c>
      <c r="D814" s="3">
        <v>1143</v>
      </c>
      <c r="E814" s="3">
        <f>SalesMasterTable[[#This Row],[Sales]]-SalesMasterTable[[#This Row],[Cost Of Sales]]</f>
        <v>2850.1583266595553</v>
      </c>
    </row>
    <row r="815" spans="1:5" x14ac:dyDescent="0.3">
      <c r="A815" s="2">
        <v>42451</v>
      </c>
      <c r="B815" s="3">
        <v>65905.723262160012</v>
      </c>
      <c r="C815" s="3">
        <v>62023.881297700063</v>
      </c>
      <c r="D815" s="3">
        <v>1573</v>
      </c>
      <c r="E815" s="3">
        <f>SalesMasterTable[[#This Row],[Sales]]-SalesMasterTable[[#This Row],[Cost Of Sales]]</f>
        <v>3881.8419644599489</v>
      </c>
    </row>
    <row r="816" spans="1:5" x14ac:dyDescent="0.3">
      <c r="A816" s="2">
        <v>42452</v>
      </c>
      <c r="B816" s="3">
        <v>84870.05130086976</v>
      </c>
      <c r="C816" s="3">
        <v>81472.827175989325</v>
      </c>
      <c r="D816" s="3">
        <v>2065</v>
      </c>
      <c r="E816" s="3">
        <f>SalesMasterTable[[#This Row],[Sales]]-SalesMasterTable[[#This Row],[Cost Of Sales]]</f>
        <v>3397.2241248804348</v>
      </c>
    </row>
    <row r="817" spans="1:5" x14ac:dyDescent="0.3">
      <c r="A817" s="2">
        <v>42453</v>
      </c>
      <c r="B817" s="3">
        <v>262459.50568130391</v>
      </c>
      <c r="C817" s="3">
        <v>259298.45661843679</v>
      </c>
      <c r="D817" s="3">
        <v>6588</v>
      </c>
      <c r="E817" s="3">
        <f>SalesMasterTable[[#This Row],[Sales]]-SalesMasterTable[[#This Row],[Cost Of Sales]]</f>
        <v>3161.049062867125</v>
      </c>
    </row>
    <row r="818" spans="1:5" x14ac:dyDescent="0.3">
      <c r="A818" s="2">
        <v>42454</v>
      </c>
      <c r="B818" s="3">
        <v>228124.3980292739</v>
      </c>
      <c r="C818" s="3">
        <v>222208.35038080389</v>
      </c>
      <c r="D818" s="3">
        <v>5652</v>
      </c>
      <c r="E818" s="3">
        <f>SalesMasterTable[[#This Row],[Sales]]-SalesMasterTable[[#This Row],[Cost Of Sales]]</f>
        <v>5916.0476484700048</v>
      </c>
    </row>
    <row r="819" spans="1:5" x14ac:dyDescent="0.3">
      <c r="A819" s="2">
        <v>42455</v>
      </c>
      <c r="B819" s="3">
        <v>162929.49214412639</v>
      </c>
      <c r="C819" s="3">
        <v>161434.81509850451</v>
      </c>
      <c r="D819" s="3">
        <v>4103</v>
      </c>
      <c r="E819" s="3">
        <f>SalesMasterTable[[#This Row],[Sales]]-SalesMasterTable[[#This Row],[Cost Of Sales]]</f>
        <v>1494.6770456218801</v>
      </c>
    </row>
    <row r="820" spans="1:5" x14ac:dyDescent="0.3">
      <c r="A820" s="2">
        <v>42456</v>
      </c>
      <c r="B820" s="3">
        <v>58359.83218482013</v>
      </c>
      <c r="C820" s="3">
        <v>57681.569884933917</v>
      </c>
      <c r="D820" s="3">
        <v>1466</v>
      </c>
      <c r="E820" s="3">
        <f>SalesMasterTable[[#This Row],[Sales]]-SalesMasterTable[[#This Row],[Cost Of Sales]]</f>
        <v>678.26229988621344</v>
      </c>
    </row>
    <row r="821" spans="1:5" x14ac:dyDescent="0.3">
      <c r="A821" s="2">
        <v>42457</v>
      </c>
      <c r="B821" s="3">
        <v>85605.331920599157</v>
      </c>
      <c r="C821" s="3">
        <v>85022.380920180585</v>
      </c>
      <c r="D821" s="3">
        <v>2162</v>
      </c>
      <c r="E821" s="3">
        <f>SalesMasterTable[[#This Row],[Sales]]-SalesMasterTable[[#This Row],[Cost Of Sales]]</f>
        <v>582.95100041857222</v>
      </c>
    </row>
    <row r="822" spans="1:5" x14ac:dyDescent="0.3">
      <c r="A822" s="2">
        <v>42458</v>
      </c>
      <c r="B822" s="3">
        <v>84836.414342129283</v>
      </c>
      <c r="C822" s="3">
        <v>84595.217934805929</v>
      </c>
      <c r="D822" s="3">
        <v>2155</v>
      </c>
      <c r="E822" s="3">
        <f>SalesMasterTable[[#This Row],[Sales]]-SalesMasterTable[[#This Row],[Cost Of Sales]]</f>
        <v>241.19640732335392</v>
      </c>
    </row>
    <row r="823" spans="1:5" x14ac:dyDescent="0.3">
      <c r="A823" s="2">
        <v>42459</v>
      </c>
      <c r="B823" s="3">
        <v>64308.91421652049</v>
      </c>
      <c r="C823" s="3">
        <v>68427.59466606575</v>
      </c>
      <c r="D823" s="3">
        <v>1746</v>
      </c>
      <c r="E823" s="3">
        <f>SalesMasterTable[[#This Row],[Sales]]-SalesMasterTable[[#This Row],[Cost Of Sales]]</f>
        <v>-4118.6804495452598</v>
      </c>
    </row>
    <row r="824" spans="1:5" x14ac:dyDescent="0.3">
      <c r="A824" s="2">
        <v>42460</v>
      </c>
      <c r="B824" s="3">
        <v>131168.48552294759</v>
      </c>
      <c r="C824" s="3">
        <v>138589.10006426301</v>
      </c>
      <c r="D824" s="3">
        <v>3554</v>
      </c>
      <c r="E824" s="3">
        <f>SalesMasterTable[[#This Row],[Sales]]-SalesMasterTable[[#This Row],[Cost Of Sales]]</f>
        <v>-7420.6145413154154</v>
      </c>
    </row>
    <row r="825" spans="1:5" x14ac:dyDescent="0.3">
      <c r="A825" s="2">
        <v>42461</v>
      </c>
      <c r="B825" s="3">
        <v>232410.19797781549</v>
      </c>
      <c r="C825" s="3">
        <v>245358.62998053379</v>
      </c>
      <c r="D825" s="3">
        <v>6282</v>
      </c>
      <c r="E825" s="3">
        <f>SalesMasterTable[[#This Row],[Sales]]-SalesMasterTable[[#This Row],[Cost Of Sales]]</f>
        <v>-12948.432002718298</v>
      </c>
    </row>
    <row r="826" spans="1:5" x14ac:dyDescent="0.3">
      <c r="A826" s="2">
        <v>42462</v>
      </c>
      <c r="B826" s="3">
        <v>195831.0974571179</v>
      </c>
      <c r="C826" s="3">
        <v>205442.82809681169</v>
      </c>
      <c r="D826" s="3">
        <v>5259</v>
      </c>
      <c r="E826" s="3">
        <f>SalesMasterTable[[#This Row],[Sales]]-SalesMasterTable[[#This Row],[Cost Of Sales]]</f>
        <v>-9611.7306396937929</v>
      </c>
    </row>
    <row r="827" spans="1:5" x14ac:dyDescent="0.3">
      <c r="A827" s="2">
        <v>42463</v>
      </c>
      <c r="B827" s="3">
        <v>90716.547889139882</v>
      </c>
      <c r="C827" s="3">
        <v>95543.133646196758</v>
      </c>
      <c r="D827" s="3">
        <v>2446</v>
      </c>
      <c r="E827" s="3">
        <f>SalesMasterTable[[#This Row],[Sales]]-SalesMasterTable[[#This Row],[Cost Of Sales]]</f>
        <v>-4826.5857570568769</v>
      </c>
    </row>
    <row r="828" spans="1:5" x14ac:dyDescent="0.3">
      <c r="A828" s="2">
        <v>42464</v>
      </c>
      <c r="B828" s="3">
        <v>131638.01960717639</v>
      </c>
      <c r="C828" s="3">
        <v>130700.1889420074</v>
      </c>
      <c r="D828" s="3">
        <v>3345</v>
      </c>
      <c r="E828" s="3">
        <f>SalesMasterTable[[#This Row],[Sales]]-SalesMasterTable[[#This Row],[Cost Of Sales]]</f>
        <v>937.83066516899271</v>
      </c>
    </row>
    <row r="829" spans="1:5" x14ac:dyDescent="0.3">
      <c r="A829" s="2">
        <v>42465</v>
      </c>
      <c r="B829" s="3">
        <v>81910.872618989408</v>
      </c>
      <c r="C829" s="3">
        <v>79969.510545293015</v>
      </c>
      <c r="D829" s="3">
        <v>2048</v>
      </c>
      <c r="E829" s="3">
        <f>SalesMasterTable[[#This Row],[Sales]]-SalesMasterTable[[#This Row],[Cost Of Sales]]</f>
        <v>1941.3620736963931</v>
      </c>
    </row>
    <row r="830" spans="1:5" x14ac:dyDescent="0.3">
      <c r="A830" s="2">
        <v>42466</v>
      </c>
      <c r="B830" s="3">
        <v>54821.908513709888</v>
      </c>
      <c r="C830" s="3">
        <v>50800.008514759313</v>
      </c>
      <c r="D830" s="3">
        <v>1303</v>
      </c>
      <c r="E830" s="3">
        <f>SalesMasterTable[[#This Row],[Sales]]-SalesMasterTable[[#This Row],[Cost Of Sales]]</f>
        <v>4021.8999989505755</v>
      </c>
    </row>
    <row r="831" spans="1:5" x14ac:dyDescent="0.3">
      <c r="A831" s="2">
        <v>42467</v>
      </c>
      <c r="B831" s="3">
        <v>155615.41941446639</v>
      </c>
      <c r="C831" s="3">
        <v>171592.12587915739</v>
      </c>
      <c r="D831" s="3">
        <v>4413</v>
      </c>
      <c r="E831" s="3">
        <f>SalesMasterTable[[#This Row],[Sales]]-SalesMasterTable[[#This Row],[Cost Of Sales]]</f>
        <v>-15976.706464691</v>
      </c>
    </row>
    <row r="832" spans="1:5" x14ac:dyDescent="0.3">
      <c r="A832" s="2">
        <v>42468</v>
      </c>
      <c r="B832" s="3">
        <v>264086.89378034999</v>
      </c>
      <c r="C832" s="3">
        <v>291378.57980277447</v>
      </c>
      <c r="D832" s="3">
        <v>7494</v>
      </c>
      <c r="E832" s="3">
        <f>SalesMasterTable[[#This Row],[Sales]]-SalesMasterTable[[#This Row],[Cost Of Sales]]</f>
        <v>-27291.686022424488</v>
      </c>
    </row>
    <row r="833" spans="1:5" x14ac:dyDescent="0.3">
      <c r="A833" s="2">
        <v>42469</v>
      </c>
      <c r="B833" s="3">
        <v>272761.29754268879</v>
      </c>
      <c r="C833" s="3">
        <v>298164.41609707451</v>
      </c>
      <c r="D833" s="3">
        <v>7738</v>
      </c>
      <c r="E833" s="3">
        <f>SalesMasterTable[[#This Row],[Sales]]-SalesMasterTable[[#This Row],[Cost Of Sales]]</f>
        <v>-25403.118554385728</v>
      </c>
    </row>
    <row r="834" spans="1:5" x14ac:dyDescent="0.3">
      <c r="A834" s="2">
        <v>42470</v>
      </c>
      <c r="B834" s="3">
        <v>104689.4279184585</v>
      </c>
      <c r="C834" s="3">
        <v>113609.3042530743</v>
      </c>
      <c r="D834" s="3">
        <v>2958</v>
      </c>
      <c r="E834" s="3">
        <f>SalesMasterTable[[#This Row],[Sales]]-SalesMasterTable[[#This Row],[Cost Of Sales]]</f>
        <v>-8919.8763346157939</v>
      </c>
    </row>
    <row r="835" spans="1:5" x14ac:dyDescent="0.3">
      <c r="A835" s="2">
        <v>42471</v>
      </c>
      <c r="B835" s="3">
        <v>131170.5969337764</v>
      </c>
      <c r="C835" s="3">
        <v>142022.81259344591</v>
      </c>
      <c r="D835" s="3">
        <v>3713</v>
      </c>
      <c r="E835" s="3">
        <f>SalesMasterTable[[#This Row],[Sales]]-SalesMasterTable[[#This Row],[Cost Of Sales]]</f>
        <v>-10852.215659669513</v>
      </c>
    </row>
    <row r="836" spans="1:5" x14ac:dyDescent="0.3">
      <c r="A836" s="2">
        <v>42472</v>
      </c>
      <c r="B836" s="3">
        <v>123179.4894003888</v>
      </c>
      <c r="C836" s="3">
        <v>132714.96020410041</v>
      </c>
      <c r="D836" s="3">
        <v>3504</v>
      </c>
      <c r="E836" s="3">
        <f>SalesMasterTable[[#This Row],[Sales]]-SalesMasterTable[[#This Row],[Cost Of Sales]]</f>
        <v>-9535.470803711607</v>
      </c>
    </row>
    <row r="837" spans="1:5" x14ac:dyDescent="0.3">
      <c r="A837" s="2">
        <v>42473</v>
      </c>
      <c r="B837" s="3">
        <v>124431.0463716888</v>
      </c>
      <c r="C837" s="3">
        <v>132889.05689693731</v>
      </c>
      <c r="D837" s="3">
        <v>3534</v>
      </c>
      <c r="E837" s="3">
        <f>SalesMasterTable[[#This Row],[Sales]]-SalesMasterTable[[#This Row],[Cost Of Sales]]</f>
        <v>-8458.0105252485082</v>
      </c>
    </row>
    <row r="838" spans="1:5" x14ac:dyDescent="0.3">
      <c r="A838" s="2">
        <v>42474</v>
      </c>
      <c r="B838" s="3">
        <v>162166.83599087509</v>
      </c>
      <c r="C838" s="3">
        <v>172225.65270563861</v>
      </c>
      <c r="D838" s="3">
        <v>4601</v>
      </c>
      <c r="E838" s="3">
        <f>SalesMasterTable[[#This Row],[Sales]]-SalesMasterTable[[#This Row],[Cost Of Sales]]</f>
        <v>-10058.816714763525</v>
      </c>
    </row>
    <row r="839" spans="1:5" x14ac:dyDescent="0.3">
      <c r="A839" s="2">
        <v>42475</v>
      </c>
      <c r="B839" s="3">
        <v>354042.02323982882</v>
      </c>
      <c r="C839" s="3">
        <v>373200.30598406307</v>
      </c>
      <c r="D839" s="3">
        <v>10045</v>
      </c>
      <c r="E839" s="3">
        <f>SalesMasterTable[[#This Row],[Sales]]-SalesMasterTable[[#This Row],[Cost Of Sales]]</f>
        <v>-19158.282744234253</v>
      </c>
    </row>
    <row r="840" spans="1:5" x14ac:dyDescent="0.3">
      <c r="A840" s="2">
        <v>42476</v>
      </c>
      <c r="B840" s="3">
        <v>327352.26139595878</v>
      </c>
      <c r="C840" s="3">
        <v>345338.62806920632</v>
      </c>
      <c r="D840" s="3">
        <v>9301</v>
      </c>
      <c r="E840" s="3">
        <f>SalesMasterTable[[#This Row],[Sales]]-SalesMasterTable[[#This Row],[Cost Of Sales]]</f>
        <v>-17986.366673247539</v>
      </c>
    </row>
    <row r="841" spans="1:5" x14ac:dyDescent="0.3">
      <c r="A841" s="2">
        <v>42477</v>
      </c>
      <c r="B841" s="3">
        <v>164809.3030482539</v>
      </c>
      <c r="C841" s="3">
        <v>175167.42875982969</v>
      </c>
      <c r="D841" s="3">
        <v>4678</v>
      </c>
      <c r="E841" s="3">
        <f>SalesMasterTable[[#This Row],[Sales]]-SalesMasterTable[[#This Row],[Cost Of Sales]]</f>
        <v>-10358.125711575791</v>
      </c>
    </row>
    <row r="842" spans="1:5" x14ac:dyDescent="0.3">
      <c r="A842" s="2">
        <v>42478</v>
      </c>
      <c r="B842" s="3">
        <v>151157.79430871521</v>
      </c>
      <c r="C842" s="3">
        <v>159828.76503430531</v>
      </c>
      <c r="D842" s="3">
        <v>4294</v>
      </c>
      <c r="E842" s="3">
        <f>SalesMasterTable[[#This Row],[Sales]]-SalesMasterTable[[#This Row],[Cost Of Sales]]</f>
        <v>-8670.9707255901012</v>
      </c>
    </row>
    <row r="843" spans="1:5" x14ac:dyDescent="0.3">
      <c r="A843" s="2">
        <v>42479</v>
      </c>
      <c r="B843" s="3">
        <v>126895.93649753759</v>
      </c>
      <c r="C843" s="3">
        <v>133726.28056152479</v>
      </c>
      <c r="D843" s="3">
        <v>3606</v>
      </c>
      <c r="E843" s="3">
        <f>SalesMasterTable[[#This Row],[Sales]]-SalesMasterTable[[#This Row],[Cost Of Sales]]</f>
        <v>-6830.3440639871988</v>
      </c>
    </row>
    <row r="844" spans="1:5" x14ac:dyDescent="0.3">
      <c r="A844" s="2">
        <v>42480</v>
      </c>
      <c r="B844" s="3">
        <v>166395.44582884011</v>
      </c>
      <c r="C844" s="3">
        <v>179020.54245850781</v>
      </c>
      <c r="D844" s="3">
        <v>4838</v>
      </c>
      <c r="E844" s="3">
        <f>SalesMasterTable[[#This Row],[Sales]]-SalesMasterTable[[#This Row],[Cost Of Sales]]</f>
        <v>-12625.096629667707</v>
      </c>
    </row>
    <row r="845" spans="1:5" x14ac:dyDescent="0.3">
      <c r="A845" s="2">
        <v>42481</v>
      </c>
      <c r="B845" s="3">
        <v>167796.35478000139</v>
      </c>
      <c r="C845" s="3">
        <v>182485.09893705399</v>
      </c>
      <c r="D845" s="3">
        <v>4914</v>
      </c>
      <c r="E845" s="3">
        <f>SalesMasterTable[[#This Row],[Sales]]-SalesMasterTable[[#This Row],[Cost Of Sales]]</f>
        <v>-14688.744157052599</v>
      </c>
    </row>
    <row r="846" spans="1:5" x14ac:dyDescent="0.3">
      <c r="A846" s="2">
        <v>42482</v>
      </c>
      <c r="B846" s="3">
        <v>351146.01699924428</v>
      </c>
      <c r="C846" s="3">
        <v>380098.15640387451</v>
      </c>
      <c r="D846" s="3">
        <v>10269</v>
      </c>
      <c r="E846" s="3">
        <f>SalesMasterTable[[#This Row],[Sales]]-SalesMasterTable[[#This Row],[Cost Of Sales]]</f>
        <v>-28952.13940463023</v>
      </c>
    </row>
    <row r="847" spans="1:5" x14ac:dyDescent="0.3">
      <c r="A847" s="2">
        <v>42483</v>
      </c>
      <c r="B847" s="3">
        <v>420738.8217596446</v>
      </c>
      <c r="C847" s="3">
        <v>455415.34932802978</v>
      </c>
      <c r="D847" s="3">
        <v>12317</v>
      </c>
      <c r="E847" s="3">
        <f>SalesMasterTable[[#This Row],[Sales]]-SalesMasterTable[[#This Row],[Cost Of Sales]]</f>
        <v>-34676.52756838518</v>
      </c>
    </row>
    <row r="848" spans="1:5" x14ac:dyDescent="0.3">
      <c r="A848" s="2">
        <v>42484</v>
      </c>
      <c r="B848" s="3">
        <v>186166.15078643881</v>
      </c>
      <c r="C848" s="3">
        <v>202391.17869529041</v>
      </c>
      <c r="D848" s="3">
        <v>5453</v>
      </c>
      <c r="E848" s="3">
        <f>SalesMasterTable[[#This Row],[Sales]]-SalesMasterTable[[#This Row],[Cost Of Sales]]</f>
        <v>-16225.027908851596</v>
      </c>
    </row>
    <row r="849" spans="1:5" x14ac:dyDescent="0.3">
      <c r="A849" s="2">
        <v>42485</v>
      </c>
      <c r="B849" s="3">
        <v>251449.52963919111</v>
      </c>
      <c r="C849" s="3">
        <v>273255.0985307931</v>
      </c>
      <c r="D849" s="3">
        <v>7372</v>
      </c>
      <c r="E849" s="3">
        <f>SalesMasterTable[[#This Row],[Sales]]-SalesMasterTable[[#This Row],[Cost Of Sales]]</f>
        <v>-21805.568891601986</v>
      </c>
    </row>
    <row r="850" spans="1:5" x14ac:dyDescent="0.3">
      <c r="A850" s="2">
        <v>42486</v>
      </c>
      <c r="B850" s="3">
        <v>280321.81074676593</v>
      </c>
      <c r="C850" s="3">
        <v>302469.83197523467</v>
      </c>
      <c r="D850" s="3">
        <v>8211</v>
      </c>
      <c r="E850" s="3">
        <f>SalesMasterTable[[#This Row],[Sales]]-SalesMasterTable[[#This Row],[Cost Of Sales]]</f>
        <v>-22148.021228468744</v>
      </c>
    </row>
    <row r="851" spans="1:5" x14ac:dyDescent="0.3">
      <c r="A851" s="2">
        <v>42487</v>
      </c>
      <c r="B851" s="3">
        <v>313434.93331366457</v>
      </c>
      <c r="C851" s="3">
        <v>337931.11696619709</v>
      </c>
      <c r="D851" s="3">
        <v>9182</v>
      </c>
      <c r="E851" s="3">
        <f>SalesMasterTable[[#This Row],[Sales]]-SalesMasterTable[[#This Row],[Cost Of Sales]]</f>
        <v>-24496.18365253252</v>
      </c>
    </row>
    <row r="852" spans="1:5" x14ac:dyDescent="0.3">
      <c r="A852" s="2">
        <v>42488</v>
      </c>
      <c r="B852" s="3">
        <v>257324.60308093971</v>
      </c>
      <c r="C852" s="3">
        <v>276852.17994257738</v>
      </c>
      <c r="D852" s="3">
        <v>7520</v>
      </c>
      <c r="E852" s="3">
        <f>SalesMasterTable[[#This Row],[Sales]]-SalesMasterTable[[#This Row],[Cost Of Sales]]</f>
        <v>-19527.576861637674</v>
      </c>
    </row>
    <row r="853" spans="1:5" x14ac:dyDescent="0.3">
      <c r="A853" s="2">
        <v>42489</v>
      </c>
      <c r="B853" s="3">
        <v>455554.33604822948</v>
      </c>
      <c r="C853" s="3">
        <v>489215.06753789558</v>
      </c>
      <c r="D853" s="3">
        <v>13321</v>
      </c>
      <c r="E853" s="3">
        <f>SalesMasterTable[[#This Row],[Sales]]-SalesMasterTable[[#This Row],[Cost Of Sales]]</f>
        <v>-33660.731489666097</v>
      </c>
    </row>
    <row r="854" spans="1:5" x14ac:dyDescent="0.3">
      <c r="A854" s="2">
        <v>42490</v>
      </c>
      <c r="B854" s="3">
        <v>556865.20327505236</v>
      </c>
      <c r="C854" s="3">
        <v>598925.66788870073</v>
      </c>
      <c r="D854" s="3">
        <v>16276</v>
      </c>
      <c r="E854" s="3">
        <f>SalesMasterTable[[#This Row],[Sales]]-SalesMasterTable[[#This Row],[Cost Of Sales]]</f>
        <v>-42060.464613648364</v>
      </c>
    </row>
    <row r="855" spans="1:5" x14ac:dyDescent="0.3">
      <c r="A855" s="2">
        <v>42491</v>
      </c>
      <c r="B855" s="3">
        <v>354856.04492208688</v>
      </c>
      <c r="C855" s="3">
        <v>380511.15915810911</v>
      </c>
      <c r="D855" s="3">
        <v>10388</v>
      </c>
      <c r="E855" s="3">
        <f>SalesMasterTable[[#This Row],[Sales]]-SalesMasterTable[[#This Row],[Cost Of Sales]]</f>
        <v>-25655.114236022229</v>
      </c>
    </row>
    <row r="856" spans="1:5" x14ac:dyDescent="0.3">
      <c r="A856" s="2">
        <v>42492</v>
      </c>
      <c r="B856" s="3">
        <v>283284.5812539708</v>
      </c>
      <c r="C856" s="3">
        <v>304997.85181689629</v>
      </c>
      <c r="D856" s="3">
        <v>8298</v>
      </c>
      <c r="E856" s="3">
        <f>SalesMasterTable[[#This Row],[Sales]]-SalesMasterTable[[#This Row],[Cost Of Sales]]</f>
        <v>-21713.270562925492</v>
      </c>
    </row>
    <row r="857" spans="1:5" x14ac:dyDescent="0.3">
      <c r="A857" s="2">
        <v>42493</v>
      </c>
      <c r="B857" s="3">
        <v>297500.67396872578</v>
      </c>
      <c r="C857" s="3">
        <v>319786.35946856107</v>
      </c>
      <c r="D857" s="3">
        <v>8717</v>
      </c>
      <c r="E857" s="3">
        <f>SalesMasterTable[[#This Row],[Sales]]-SalesMasterTable[[#This Row],[Cost Of Sales]]</f>
        <v>-22285.685499835294</v>
      </c>
    </row>
    <row r="858" spans="1:5" x14ac:dyDescent="0.3">
      <c r="A858" s="2">
        <v>42494</v>
      </c>
      <c r="B858" s="3">
        <v>285968.48778251972</v>
      </c>
      <c r="C858" s="3">
        <v>305506.9982349475</v>
      </c>
      <c r="D858" s="3">
        <v>8364</v>
      </c>
      <c r="E858" s="3">
        <f>SalesMasterTable[[#This Row],[Sales]]-SalesMasterTable[[#This Row],[Cost Of Sales]]</f>
        <v>-19538.510452427785</v>
      </c>
    </row>
    <row r="859" spans="1:5" x14ac:dyDescent="0.3">
      <c r="A859" s="2">
        <v>42495</v>
      </c>
      <c r="B859" s="3">
        <v>237946.63267226369</v>
      </c>
      <c r="C859" s="3">
        <v>254527.41550552609</v>
      </c>
      <c r="D859" s="3">
        <v>6968</v>
      </c>
      <c r="E859" s="3">
        <f>SalesMasterTable[[#This Row],[Sales]]-SalesMasterTable[[#This Row],[Cost Of Sales]]</f>
        <v>-16580.782833262405</v>
      </c>
    </row>
    <row r="860" spans="1:5" x14ac:dyDescent="0.3">
      <c r="A860" s="2">
        <v>42496</v>
      </c>
      <c r="B860" s="3">
        <v>340851.5058648595</v>
      </c>
      <c r="C860" s="3">
        <v>364361.03286413848</v>
      </c>
      <c r="D860" s="3">
        <v>9973</v>
      </c>
      <c r="E860" s="3">
        <f>SalesMasterTable[[#This Row],[Sales]]-SalesMasterTable[[#This Row],[Cost Of Sales]]</f>
        <v>-23509.526999278984</v>
      </c>
    </row>
    <row r="861" spans="1:5" x14ac:dyDescent="0.3">
      <c r="A861" s="2">
        <v>42497</v>
      </c>
      <c r="B861" s="3">
        <v>388187.60143352812</v>
      </c>
      <c r="C861" s="3">
        <v>414644.62349081138</v>
      </c>
      <c r="D861" s="3">
        <v>11363</v>
      </c>
      <c r="E861" s="3">
        <f>SalesMasterTable[[#This Row],[Sales]]-SalesMasterTable[[#This Row],[Cost Of Sales]]</f>
        <v>-26457.022057283262</v>
      </c>
    </row>
    <row r="862" spans="1:5" x14ac:dyDescent="0.3">
      <c r="A862" s="2">
        <v>42498</v>
      </c>
      <c r="B862" s="3">
        <v>139178.98405924521</v>
      </c>
      <c r="C862" s="3">
        <v>148731.0905273041</v>
      </c>
      <c r="D862" s="3">
        <v>4074</v>
      </c>
      <c r="E862" s="3">
        <f>SalesMasterTable[[#This Row],[Sales]]-SalesMasterTable[[#This Row],[Cost Of Sales]]</f>
        <v>-9552.1064680588897</v>
      </c>
    </row>
    <row r="863" spans="1:5" x14ac:dyDescent="0.3">
      <c r="A863" s="2">
        <v>42499</v>
      </c>
      <c r="B863" s="3">
        <v>66400.30304726951</v>
      </c>
      <c r="C863" s="3">
        <v>57741.738907512547</v>
      </c>
      <c r="D863" s="3">
        <v>1579</v>
      </c>
      <c r="E863" s="3">
        <f>SalesMasterTable[[#This Row],[Sales]]-SalesMasterTable[[#This Row],[Cost Of Sales]]</f>
        <v>8658.5641397569634</v>
      </c>
    </row>
    <row r="864" spans="1:5" x14ac:dyDescent="0.3">
      <c r="A864" s="2">
        <v>42500</v>
      </c>
      <c r="B864" s="3">
        <v>42723.524457810243</v>
      </c>
      <c r="C864" s="3">
        <v>37112.985056990263</v>
      </c>
      <c r="D864" s="3">
        <v>1016</v>
      </c>
      <c r="E864" s="3">
        <f>SalesMasterTable[[#This Row],[Sales]]-SalesMasterTable[[#This Row],[Cost Of Sales]]</f>
        <v>5610.5394008199801</v>
      </c>
    </row>
    <row r="865" spans="1:5" x14ac:dyDescent="0.3">
      <c r="A865" s="2">
        <v>42501</v>
      </c>
      <c r="B865" s="3">
        <v>35014.399481130247</v>
      </c>
      <c r="C865" s="3">
        <v>30393.74011981647</v>
      </c>
      <c r="D865" s="3">
        <v>832</v>
      </c>
      <c r="E865" s="3">
        <f>SalesMasterTable[[#This Row],[Sales]]-SalesMasterTable[[#This Row],[Cost Of Sales]]</f>
        <v>4620.6593613137775</v>
      </c>
    </row>
    <row r="866" spans="1:5" x14ac:dyDescent="0.3">
      <c r="A866" s="2">
        <v>42502</v>
      </c>
      <c r="B866" s="3">
        <v>27210.406631640119</v>
      </c>
      <c r="C866" s="3">
        <v>23570.159155417459</v>
      </c>
      <c r="D866" s="3">
        <v>647</v>
      </c>
      <c r="E866" s="3">
        <f>SalesMasterTable[[#This Row],[Sales]]-SalesMasterTable[[#This Row],[Cost Of Sales]]</f>
        <v>3640.2474762226593</v>
      </c>
    </row>
    <row r="867" spans="1:5" x14ac:dyDescent="0.3">
      <c r="A867" s="2">
        <v>42503</v>
      </c>
      <c r="B867" s="3">
        <v>79840.0882456494</v>
      </c>
      <c r="C867" s="3">
        <v>69078.714144542624</v>
      </c>
      <c r="D867" s="3">
        <v>1898</v>
      </c>
      <c r="E867" s="3">
        <f>SalesMasterTable[[#This Row],[Sales]]-SalesMasterTable[[#This Row],[Cost Of Sales]]</f>
        <v>10761.374101106776</v>
      </c>
    </row>
    <row r="868" spans="1:5" x14ac:dyDescent="0.3">
      <c r="A868" s="2">
        <v>42504</v>
      </c>
      <c r="B868" s="3">
        <v>82484.448292049157</v>
      </c>
      <c r="C868" s="3">
        <v>71426.011644710306</v>
      </c>
      <c r="D868" s="3">
        <v>1961</v>
      </c>
      <c r="E868" s="3">
        <f>SalesMasterTable[[#This Row],[Sales]]-SalesMasterTable[[#This Row],[Cost Of Sales]]</f>
        <v>11058.436647338851</v>
      </c>
    </row>
    <row r="869" spans="1:5" x14ac:dyDescent="0.3">
      <c r="A869" s="2">
        <v>42505</v>
      </c>
      <c r="B869" s="3">
        <v>51497.237336430007</v>
      </c>
      <c r="C869" s="3">
        <v>44611.939679509756</v>
      </c>
      <c r="D869" s="3">
        <v>1224</v>
      </c>
      <c r="E869" s="3">
        <f>SalesMasterTable[[#This Row],[Sales]]-SalesMasterTable[[#This Row],[Cost Of Sales]]</f>
        <v>6885.297656920251</v>
      </c>
    </row>
    <row r="870" spans="1:5" x14ac:dyDescent="0.3">
      <c r="A870" s="2">
        <v>42506</v>
      </c>
      <c r="B870" s="3">
        <v>42871.832866800367</v>
      </c>
      <c r="C870" s="3">
        <v>37139.308256889854</v>
      </c>
      <c r="D870" s="3">
        <v>1019</v>
      </c>
      <c r="E870" s="3">
        <f>SalesMasterTable[[#This Row],[Sales]]-SalesMasterTable[[#This Row],[Cost Of Sales]]</f>
        <v>5732.5246099105134</v>
      </c>
    </row>
    <row r="871" spans="1:5" x14ac:dyDescent="0.3">
      <c r="A871" s="2">
        <v>42507</v>
      </c>
      <c r="B871" s="3">
        <v>39104.639102460249</v>
      </c>
      <c r="C871" s="3">
        <v>33890.360432496309</v>
      </c>
      <c r="D871" s="3">
        <v>930</v>
      </c>
      <c r="E871" s="3">
        <f>SalesMasterTable[[#This Row],[Sales]]-SalesMasterTable[[#This Row],[Cost Of Sales]]</f>
        <v>5214.27866996394</v>
      </c>
    </row>
    <row r="872" spans="1:5" x14ac:dyDescent="0.3">
      <c r="A872" s="2">
        <v>42508</v>
      </c>
      <c r="B872" s="3">
        <v>34406.750005710237</v>
      </c>
      <c r="C872" s="3">
        <v>29884.33058936759</v>
      </c>
      <c r="D872" s="3">
        <v>818</v>
      </c>
      <c r="E872" s="3">
        <f>SalesMasterTable[[#This Row],[Sales]]-SalesMasterTable[[#This Row],[Cost Of Sales]]</f>
        <v>4522.4194163426473</v>
      </c>
    </row>
    <row r="873" spans="1:5" x14ac:dyDescent="0.3">
      <c r="A873" s="2">
        <v>42509</v>
      </c>
      <c r="B873" s="3">
        <v>39403.658560350254</v>
      </c>
      <c r="C873" s="3">
        <v>34229.631915798513</v>
      </c>
      <c r="D873" s="3">
        <v>937</v>
      </c>
      <c r="E873" s="3">
        <f>SalesMasterTable[[#This Row],[Sales]]-SalesMasterTable[[#This Row],[Cost Of Sales]]</f>
        <v>5174.0266445517409</v>
      </c>
    </row>
    <row r="874" spans="1:5" x14ac:dyDescent="0.3">
      <c r="A874" s="2">
        <v>42510</v>
      </c>
      <c r="B874" s="3">
        <v>96830.902423738444</v>
      </c>
      <c r="C874" s="3">
        <v>83926.003498834732</v>
      </c>
      <c r="D874" s="3">
        <v>2302</v>
      </c>
      <c r="E874" s="3">
        <f>SalesMasterTable[[#This Row],[Sales]]-SalesMasterTable[[#This Row],[Cost Of Sales]]</f>
        <v>12904.898924903711</v>
      </c>
    </row>
    <row r="875" spans="1:5" x14ac:dyDescent="0.3">
      <c r="A875" s="2">
        <v>42511</v>
      </c>
      <c r="B875" s="3">
        <v>99380.394597328297</v>
      </c>
      <c r="C875" s="3">
        <v>86179.513387184299</v>
      </c>
      <c r="D875" s="3">
        <v>2363</v>
      </c>
      <c r="E875" s="3">
        <f>SalesMasterTable[[#This Row],[Sales]]-SalesMasterTable[[#This Row],[Cost Of Sales]]</f>
        <v>13200.881210143998</v>
      </c>
    </row>
    <row r="876" spans="1:5" x14ac:dyDescent="0.3">
      <c r="A876" s="2">
        <v>42512</v>
      </c>
      <c r="B876" s="3">
        <v>61656.181334069763</v>
      </c>
      <c r="C876" s="3">
        <v>53463.734557835058</v>
      </c>
      <c r="D876" s="3">
        <v>1466</v>
      </c>
      <c r="E876" s="3">
        <f>SalesMasterTable[[#This Row],[Sales]]-SalesMasterTable[[#This Row],[Cost Of Sales]]</f>
        <v>8192.4467762347049</v>
      </c>
    </row>
    <row r="877" spans="1:5" x14ac:dyDescent="0.3">
      <c r="A877" s="2">
        <v>42513</v>
      </c>
      <c r="B877" s="3">
        <v>69163.557365579516</v>
      </c>
      <c r="C877" s="3">
        <v>59948.438707535541</v>
      </c>
      <c r="D877" s="3">
        <v>1644</v>
      </c>
      <c r="E877" s="3">
        <f>SalesMasterTable[[#This Row],[Sales]]-SalesMasterTable[[#This Row],[Cost Of Sales]]</f>
        <v>9215.1186580439753</v>
      </c>
    </row>
    <row r="878" spans="1:5" x14ac:dyDescent="0.3">
      <c r="A878" s="2">
        <v>42514</v>
      </c>
      <c r="B878" s="3">
        <v>113112.8650211096</v>
      </c>
      <c r="C878" s="3">
        <v>117414.6989296848</v>
      </c>
      <c r="D878" s="3">
        <v>3224</v>
      </c>
      <c r="E878" s="3">
        <f>SalesMasterTable[[#This Row],[Sales]]-SalesMasterTable[[#This Row],[Cost Of Sales]]</f>
        <v>-4301.8339085752086</v>
      </c>
    </row>
    <row r="879" spans="1:5" x14ac:dyDescent="0.3">
      <c r="A879" s="2">
        <v>42515</v>
      </c>
      <c r="B879" s="3">
        <v>253686.3024535861</v>
      </c>
      <c r="C879" s="3">
        <v>268974.57069396519</v>
      </c>
      <c r="D879" s="3">
        <v>7392</v>
      </c>
      <c r="E879" s="3">
        <f>SalesMasterTable[[#This Row],[Sales]]-SalesMasterTable[[#This Row],[Cost Of Sales]]</f>
        <v>-15288.268240379082</v>
      </c>
    </row>
    <row r="880" spans="1:5" x14ac:dyDescent="0.3">
      <c r="A880" s="2">
        <v>42516</v>
      </c>
      <c r="B880" s="3">
        <v>210305.2919440362</v>
      </c>
      <c r="C880" s="3">
        <v>223289.08457385481</v>
      </c>
      <c r="D880" s="3">
        <v>6138</v>
      </c>
      <c r="E880" s="3">
        <f>SalesMasterTable[[#This Row],[Sales]]-SalesMasterTable[[#This Row],[Cost Of Sales]]</f>
        <v>-12983.792629818607</v>
      </c>
    </row>
    <row r="881" spans="1:5" x14ac:dyDescent="0.3">
      <c r="A881" s="2">
        <v>42517</v>
      </c>
      <c r="B881" s="3">
        <v>364087.42429993051</v>
      </c>
      <c r="C881" s="3">
        <v>386499.89642918651</v>
      </c>
      <c r="D881" s="3">
        <v>10624</v>
      </c>
      <c r="E881" s="3">
        <f>SalesMasterTable[[#This Row],[Sales]]-SalesMasterTable[[#This Row],[Cost Of Sales]]</f>
        <v>-22412.472129255999</v>
      </c>
    </row>
    <row r="882" spans="1:5" x14ac:dyDescent="0.3">
      <c r="A882" s="2">
        <v>42518</v>
      </c>
      <c r="B882" s="3">
        <v>397480.36947452551</v>
      </c>
      <c r="C882" s="3">
        <v>421674.1018697652</v>
      </c>
      <c r="D882" s="3">
        <v>11590</v>
      </c>
      <c r="E882" s="3">
        <f>SalesMasterTable[[#This Row],[Sales]]-SalesMasterTable[[#This Row],[Cost Of Sales]]</f>
        <v>-24193.732395239698</v>
      </c>
    </row>
    <row r="883" spans="1:5" x14ac:dyDescent="0.3">
      <c r="A883" s="2">
        <v>42519</v>
      </c>
      <c r="B883" s="3">
        <v>204028.1767573524</v>
      </c>
      <c r="C883" s="3">
        <v>216777.31572566379</v>
      </c>
      <c r="D883" s="3">
        <v>5959</v>
      </c>
      <c r="E883" s="3">
        <f>SalesMasterTable[[#This Row],[Sales]]-SalesMasterTable[[#This Row],[Cost Of Sales]]</f>
        <v>-12749.138968311396</v>
      </c>
    </row>
    <row r="884" spans="1:5" x14ac:dyDescent="0.3">
      <c r="A884" s="2">
        <v>42520</v>
      </c>
      <c r="B884" s="3">
        <v>172797.93513446639</v>
      </c>
      <c r="C884" s="3">
        <v>183715.80719950749</v>
      </c>
      <c r="D884" s="3">
        <v>5048</v>
      </c>
      <c r="E884" s="3">
        <f>SalesMasterTable[[#This Row],[Sales]]-SalesMasterTable[[#This Row],[Cost Of Sales]]</f>
        <v>-10917.872065041098</v>
      </c>
    </row>
    <row r="885" spans="1:5" x14ac:dyDescent="0.3">
      <c r="A885" s="2">
        <v>42521</v>
      </c>
      <c r="B885" s="3">
        <v>258970.6541101849</v>
      </c>
      <c r="C885" s="3">
        <v>274386.0154347705</v>
      </c>
      <c r="D885" s="3">
        <v>7542</v>
      </c>
      <c r="E885" s="3">
        <f>SalesMasterTable[[#This Row],[Sales]]-SalesMasterTable[[#This Row],[Cost Of Sales]]</f>
        <v>-15415.361324585596</v>
      </c>
    </row>
    <row r="886" spans="1:5" x14ac:dyDescent="0.3">
      <c r="A886" s="2">
        <v>42522</v>
      </c>
      <c r="B886" s="3">
        <v>368789.57262197061</v>
      </c>
      <c r="C886" s="3">
        <v>391923.65961429192</v>
      </c>
      <c r="D886" s="3">
        <v>10761</v>
      </c>
      <c r="E886" s="3">
        <f>SalesMasterTable[[#This Row],[Sales]]-SalesMasterTable[[#This Row],[Cost Of Sales]]</f>
        <v>-23134.086992321303</v>
      </c>
    </row>
    <row r="887" spans="1:5" x14ac:dyDescent="0.3">
      <c r="A887" s="2">
        <v>42523</v>
      </c>
      <c r="B887" s="3">
        <v>278071.38656924601</v>
      </c>
      <c r="C887" s="3">
        <v>295548.24164090329</v>
      </c>
      <c r="D887" s="3">
        <v>8120</v>
      </c>
      <c r="E887" s="3">
        <f>SalesMasterTable[[#This Row],[Sales]]-SalesMasterTable[[#This Row],[Cost Of Sales]]</f>
        <v>-17476.855071657279</v>
      </c>
    </row>
    <row r="888" spans="1:5" x14ac:dyDescent="0.3">
      <c r="A888" s="2">
        <v>42524</v>
      </c>
      <c r="B888" s="3">
        <v>373959.36203922692</v>
      </c>
      <c r="C888" s="3">
        <v>396324.1786662704</v>
      </c>
      <c r="D888" s="3">
        <v>10896</v>
      </c>
      <c r="E888" s="3">
        <f>SalesMasterTable[[#This Row],[Sales]]-SalesMasterTable[[#This Row],[Cost Of Sales]]</f>
        <v>-22364.816627043474</v>
      </c>
    </row>
    <row r="889" spans="1:5" x14ac:dyDescent="0.3">
      <c r="A889" s="2">
        <v>42525</v>
      </c>
      <c r="B889" s="3">
        <v>402057.2528885355</v>
      </c>
      <c r="C889" s="3">
        <v>426466.13217659132</v>
      </c>
      <c r="D889" s="3">
        <v>11726</v>
      </c>
      <c r="E889" s="3">
        <f>SalesMasterTable[[#This Row],[Sales]]-SalesMasterTable[[#This Row],[Cost Of Sales]]</f>
        <v>-24408.879288055818</v>
      </c>
    </row>
    <row r="890" spans="1:5" x14ac:dyDescent="0.3">
      <c r="A890" s="2">
        <v>42526</v>
      </c>
      <c r="B890" s="3">
        <v>205719.45323581621</v>
      </c>
      <c r="C890" s="3">
        <v>218408.1820732757</v>
      </c>
      <c r="D890" s="3">
        <v>6007</v>
      </c>
      <c r="E890" s="3">
        <f>SalesMasterTable[[#This Row],[Sales]]-SalesMasterTable[[#This Row],[Cost Of Sales]]</f>
        <v>-12688.728837459494</v>
      </c>
    </row>
    <row r="891" spans="1:5" x14ac:dyDescent="0.3">
      <c r="A891" s="2">
        <v>42527</v>
      </c>
      <c r="B891" s="3">
        <v>177626.95012448641</v>
      </c>
      <c r="C891" s="3">
        <v>188629.754225902</v>
      </c>
      <c r="D891" s="3">
        <v>5185</v>
      </c>
      <c r="E891" s="3">
        <f>SalesMasterTable[[#This Row],[Sales]]-SalesMasterTable[[#This Row],[Cost Of Sales]]</f>
        <v>-11002.80410141559</v>
      </c>
    </row>
    <row r="892" spans="1:5" x14ac:dyDescent="0.3">
      <c r="A892" s="2">
        <v>42528</v>
      </c>
      <c r="B892" s="3">
        <v>70441.907412239394</v>
      </c>
      <c r="C892" s="3">
        <v>60910.748400180237</v>
      </c>
      <c r="D892" s="3">
        <v>1675</v>
      </c>
      <c r="E892" s="3">
        <f>SalesMasterTable[[#This Row],[Sales]]-SalesMasterTable[[#This Row],[Cost Of Sales]]</f>
        <v>9531.1590120591572</v>
      </c>
    </row>
    <row r="893" spans="1:5" x14ac:dyDescent="0.3">
      <c r="A893" s="2">
        <v>42529</v>
      </c>
      <c r="B893" s="3">
        <v>162923.84958070019</v>
      </c>
      <c r="C893" s="3">
        <v>173292.68113445409</v>
      </c>
      <c r="D893" s="3">
        <v>4765</v>
      </c>
      <c r="E893" s="3">
        <f>SalesMasterTable[[#This Row],[Sales]]-SalesMasterTable[[#This Row],[Cost Of Sales]]</f>
        <v>-10368.831553753902</v>
      </c>
    </row>
    <row r="894" spans="1:5" x14ac:dyDescent="0.3">
      <c r="A894" s="2">
        <v>42530</v>
      </c>
      <c r="B894" s="3">
        <v>138752.5276097676</v>
      </c>
      <c r="C894" s="3">
        <v>143791.47808201631</v>
      </c>
      <c r="D894" s="3">
        <v>3953</v>
      </c>
      <c r="E894" s="3">
        <f>SalesMasterTable[[#This Row],[Sales]]-SalesMasterTable[[#This Row],[Cost Of Sales]]</f>
        <v>-5038.9504722487181</v>
      </c>
    </row>
    <row r="895" spans="1:5" x14ac:dyDescent="0.3">
      <c r="A895" s="2">
        <v>42531</v>
      </c>
      <c r="B895" s="3">
        <v>252458.26223048879</v>
      </c>
      <c r="C895" s="3">
        <v>261502.38177856401</v>
      </c>
      <c r="D895" s="3">
        <v>7190</v>
      </c>
      <c r="E895" s="3">
        <f>SalesMasterTable[[#This Row],[Sales]]-SalesMasterTable[[#This Row],[Cost Of Sales]]</f>
        <v>-9044.1195480752212</v>
      </c>
    </row>
    <row r="896" spans="1:5" x14ac:dyDescent="0.3">
      <c r="A896" s="2">
        <v>42532</v>
      </c>
      <c r="B896" s="3">
        <v>293917.85248111701</v>
      </c>
      <c r="C896" s="3">
        <v>311853.52053473581</v>
      </c>
      <c r="D896" s="3">
        <v>8577</v>
      </c>
      <c r="E896" s="3">
        <f>SalesMasterTable[[#This Row],[Sales]]-SalesMasterTable[[#This Row],[Cost Of Sales]]</f>
        <v>-17935.668053618807</v>
      </c>
    </row>
    <row r="897" spans="1:5" x14ac:dyDescent="0.3">
      <c r="A897" s="2">
        <v>42533</v>
      </c>
      <c r="B897" s="3">
        <v>138350.12182847521</v>
      </c>
      <c r="C897" s="3">
        <v>143346.67460602429</v>
      </c>
      <c r="D897" s="3">
        <v>3943</v>
      </c>
      <c r="E897" s="3">
        <f>SalesMasterTable[[#This Row],[Sales]]-SalesMasterTable[[#This Row],[Cost Of Sales]]</f>
        <v>-4996.5527775490773</v>
      </c>
    </row>
    <row r="898" spans="1:5" x14ac:dyDescent="0.3">
      <c r="A898" s="2">
        <v>42534</v>
      </c>
      <c r="B898" s="3">
        <v>130067.2755641964</v>
      </c>
      <c r="C898" s="3">
        <v>134950.56648943009</v>
      </c>
      <c r="D898" s="3">
        <v>3707</v>
      </c>
      <c r="E898" s="3">
        <f>SalesMasterTable[[#This Row],[Sales]]-SalesMasterTable[[#This Row],[Cost Of Sales]]</f>
        <v>-4883.2909252336831</v>
      </c>
    </row>
    <row r="899" spans="1:5" x14ac:dyDescent="0.3">
      <c r="A899" s="2">
        <v>42535</v>
      </c>
      <c r="B899" s="3">
        <v>107168.6610764994</v>
      </c>
      <c r="C899" s="3">
        <v>111173.15847846519</v>
      </c>
      <c r="D899" s="3">
        <v>3054</v>
      </c>
      <c r="E899" s="3">
        <f>SalesMasterTable[[#This Row],[Sales]]-SalesMasterTable[[#This Row],[Cost Of Sales]]</f>
        <v>-4004.4974019657966</v>
      </c>
    </row>
    <row r="900" spans="1:5" x14ac:dyDescent="0.3">
      <c r="A900" s="2">
        <v>42536</v>
      </c>
      <c r="B900" s="3">
        <v>224030.55444808619</v>
      </c>
      <c r="C900" s="3">
        <v>237934.73415063301</v>
      </c>
      <c r="D900" s="3">
        <v>6541</v>
      </c>
      <c r="E900" s="3">
        <f>SalesMasterTable[[#This Row],[Sales]]-SalesMasterTable[[#This Row],[Cost Of Sales]]</f>
        <v>-13904.179702546826</v>
      </c>
    </row>
    <row r="901" spans="1:5" x14ac:dyDescent="0.3">
      <c r="A901" s="2">
        <v>42537</v>
      </c>
      <c r="B901" s="3">
        <v>201918.22207274401</v>
      </c>
      <c r="C901" s="3">
        <v>209095.56974137691</v>
      </c>
      <c r="D901" s="3">
        <v>5749</v>
      </c>
      <c r="E901" s="3">
        <f>SalesMasterTable[[#This Row],[Sales]]-SalesMasterTable[[#This Row],[Cost Of Sales]]</f>
        <v>-7177.3476686328941</v>
      </c>
    </row>
    <row r="902" spans="1:5" x14ac:dyDescent="0.3">
      <c r="A902" s="2">
        <v>42538</v>
      </c>
      <c r="B902" s="3">
        <v>329344.26830316131</v>
      </c>
      <c r="C902" s="3">
        <v>341253.32963499142</v>
      </c>
      <c r="D902" s="3">
        <v>9385</v>
      </c>
      <c r="E902" s="3">
        <f>SalesMasterTable[[#This Row],[Sales]]-SalesMasterTable[[#This Row],[Cost Of Sales]]</f>
        <v>-11909.061331830104</v>
      </c>
    </row>
    <row r="903" spans="1:5" x14ac:dyDescent="0.3">
      <c r="A903" s="2">
        <v>42539</v>
      </c>
      <c r="B903" s="3">
        <v>308642.97722408187</v>
      </c>
      <c r="C903" s="3">
        <v>327672.04148404137</v>
      </c>
      <c r="D903" s="3">
        <v>9012</v>
      </c>
      <c r="E903" s="3">
        <f>SalesMasterTable[[#This Row],[Sales]]-SalesMasterTable[[#This Row],[Cost Of Sales]]</f>
        <v>-19029.064259959501</v>
      </c>
    </row>
    <row r="904" spans="1:5" x14ac:dyDescent="0.3">
      <c r="A904" s="2">
        <v>42540</v>
      </c>
      <c r="B904" s="3">
        <v>134472.4066282764</v>
      </c>
      <c r="C904" s="3">
        <v>139385.87617680739</v>
      </c>
      <c r="D904" s="3">
        <v>3831</v>
      </c>
      <c r="E904" s="3">
        <f>SalesMasterTable[[#This Row],[Sales]]-SalesMasterTable[[#This Row],[Cost Of Sales]]</f>
        <v>-4913.4695485309931</v>
      </c>
    </row>
    <row r="905" spans="1:5" x14ac:dyDescent="0.3">
      <c r="A905" s="2">
        <v>42541</v>
      </c>
      <c r="B905" s="3">
        <v>143809.72058396641</v>
      </c>
      <c r="C905" s="3">
        <v>148953.91085321491</v>
      </c>
      <c r="D905" s="3">
        <v>4097</v>
      </c>
      <c r="E905" s="3">
        <f>SalesMasterTable[[#This Row],[Sales]]-SalesMasterTable[[#This Row],[Cost Of Sales]]</f>
        <v>-5144.1902692485019</v>
      </c>
    </row>
    <row r="906" spans="1:5" x14ac:dyDescent="0.3">
      <c r="A906" s="2">
        <v>42542</v>
      </c>
      <c r="B906" s="3">
        <v>123252.1510558476</v>
      </c>
      <c r="C906" s="3">
        <v>127533.0092765032</v>
      </c>
      <c r="D906" s="3">
        <v>3509</v>
      </c>
      <c r="E906" s="3">
        <f>SalesMasterTable[[#This Row],[Sales]]-SalesMasterTable[[#This Row],[Cost Of Sales]]</f>
        <v>-4280.8582206556021</v>
      </c>
    </row>
    <row r="907" spans="1:5" x14ac:dyDescent="0.3">
      <c r="A907" s="2">
        <v>42543</v>
      </c>
      <c r="B907" s="3">
        <v>40067.15121186024</v>
      </c>
      <c r="C907" s="3">
        <v>34559.084522627527</v>
      </c>
      <c r="D907" s="3">
        <v>953</v>
      </c>
      <c r="E907" s="3">
        <f>SalesMasterTable[[#This Row],[Sales]]-SalesMasterTable[[#This Row],[Cost Of Sales]]</f>
        <v>5508.0666892327135</v>
      </c>
    </row>
    <row r="908" spans="1:5" x14ac:dyDescent="0.3">
      <c r="A908" s="2">
        <v>42544</v>
      </c>
      <c r="B908" s="3">
        <v>143752.73676064881</v>
      </c>
      <c r="C908" s="3">
        <v>155659.53374373459</v>
      </c>
      <c r="D908" s="3">
        <v>4305</v>
      </c>
      <c r="E908" s="3">
        <f>SalesMasterTable[[#This Row],[Sales]]-SalesMasterTable[[#This Row],[Cost Of Sales]]</f>
        <v>-11906.796983085776</v>
      </c>
    </row>
    <row r="909" spans="1:5" x14ac:dyDescent="0.3">
      <c r="A909" s="2">
        <v>42545</v>
      </c>
      <c r="B909" s="3">
        <v>389904.00855466258</v>
      </c>
      <c r="C909" s="3">
        <v>422372.58158070029</v>
      </c>
      <c r="D909" s="3">
        <v>11667</v>
      </c>
      <c r="E909" s="3">
        <f>SalesMasterTable[[#This Row],[Sales]]-SalesMasterTable[[#This Row],[Cost Of Sales]]</f>
        <v>-32468.573026037717</v>
      </c>
    </row>
    <row r="910" spans="1:5" x14ac:dyDescent="0.3">
      <c r="A910" s="2">
        <v>42546</v>
      </c>
      <c r="B910" s="3">
        <v>461280.78558277438</v>
      </c>
      <c r="C910" s="3">
        <v>498910.32902054378</v>
      </c>
      <c r="D910" s="3">
        <v>13793</v>
      </c>
      <c r="E910" s="3">
        <f>SalesMasterTable[[#This Row],[Sales]]-SalesMasterTable[[#This Row],[Cost Of Sales]]</f>
        <v>-37629.543437769404</v>
      </c>
    </row>
    <row r="911" spans="1:5" x14ac:dyDescent="0.3">
      <c r="A911" s="2">
        <v>42547</v>
      </c>
      <c r="B911" s="3">
        <v>221578.69682356139</v>
      </c>
      <c r="C911" s="3">
        <v>240449.62229152219</v>
      </c>
      <c r="D911" s="3">
        <v>6641</v>
      </c>
      <c r="E911" s="3">
        <f>SalesMasterTable[[#This Row],[Sales]]-SalesMasterTable[[#This Row],[Cost Of Sales]]</f>
        <v>-18870.925467960798</v>
      </c>
    </row>
    <row r="912" spans="1:5" x14ac:dyDescent="0.3">
      <c r="A912" s="2">
        <v>42548</v>
      </c>
      <c r="B912" s="3">
        <v>253702.2229766188</v>
      </c>
      <c r="C912" s="3">
        <v>274426.08027789328</v>
      </c>
      <c r="D912" s="3">
        <v>7593</v>
      </c>
      <c r="E912" s="3">
        <f>SalesMasterTable[[#This Row],[Sales]]-SalesMasterTable[[#This Row],[Cost Of Sales]]</f>
        <v>-20723.857301274489</v>
      </c>
    </row>
    <row r="913" spans="1:5" x14ac:dyDescent="0.3">
      <c r="A913" s="2">
        <v>42549</v>
      </c>
      <c r="B913" s="3">
        <v>200616.07618333891</v>
      </c>
      <c r="C913" s="3">
        <v>217104.57971570609</v>
      </c>
      <c r="D913" s="3">
        <v>6007</v>
      </c>
      <c r="E913" s="3">
        <f>SalesMasterTable[[#This Row],[Sales]]-SalesMasterTable[[#This Row],[Cost Of Sales]]</f>
        <v>-16488.503532367176</v>
      </c>
    </row>
    <row r="914" spans="1:5" x14ac:dyDescent="0.3">
      <c r="A914" s="2">
        <v>42550</v>
      </c>
      <c r="B914" s="3">
        <v>211700.81315721021</v>
      </c>
      <c r="C914" s="3">
        <v>229023.81073969579</v>
      </c>
      <c r="D914" s="3">
        <v>6345</v>
      </c>
      <c r="E914" s="3">
        <f>SalesMasterTable[[#This Row],[Sales]]-SalesMasterTable[[#This Row],[Cost Of Sales]]</f>
        <v>-17322.997582485579</v>
      </c>
    </row>
    <row r="915" spans="1:5" x14ac:dyDescent="0.3">
      <c r="A915" s="2">
        <v>42551</v>
      </c>
      <c r="B915" s="3">
        <v>282757.71144459757</v>
      </c>
      <c r="C915" s="3">
        <v>305894.18009482371</v>
      </c>
      <c r="D915" s="3">
        <v>8482</v>
      </c>
      <c r="E915" s="3">
        <f>SalesMasterTable[[#This Row],[Sales]]-SalesMasterTable[[#This Row],[Cost Of Sales]]</f>
        <v>-23136.468650226132</v>
      </c>
    </row>
    <row r="916" spans="1:5" x14ac:dyDescent="0.3">
      <c r="A916" s="2">
        <v>42552</v>
      </c>
      <c r="B916" s="3">
        <v>479010.15670774202</v>
      </c>
      <c r="C916" s="3">
        <v>517742.19259753643</v>
      </c>
      <c r="D916" s="3">
        <v>14344</v>
      </c>
      <c r="E916" s="3">
        <f>SalesMasterTable[[#This Row],[Sales]]-SalesMasterTable[[#This Row],[Cost Of Sales]]</f>
        <v>-38732.03588979441</v>
      </c>
    </row>
    <row r="917" spans="1:5" x14ac:dyDescent="0.3">
      <c r="A917" s="2">
        <v>42553</v>
      </c>
      <c r="B917" s="3">
        <v>454543.2857587894</v>
      </c>
      <c r="C917" s="3">
        <v>490487.0246492626</v>
      </c>
      <c r="D917" s="3">
        <v>13609</v>
      </c>
      <c r="E917" s="3">
        <f>SalesMasterTable[[#This Row],[Sales]]-SalesMasterTable[[#This Row],[Cost Of Sales]]</f>
        <v>-35943.738890473207</v>
      </c>
    </row>
    <row r="918" spans="1:5" x14ac:dyDescent="0.3">
      <c r="A918" s="2">
        <v>42554</v>
      </c>
      <c r="B918" s="3">
        <v>242185.18070257761</v>
      </c>
      <c r="C918" s="3">
        <v>261534.91203924711</v>
      </c>
      <c r="D918" s="3">
        <v>7259</v>
      </c>
      <c r="E918" s="3">
        <f>SalesMasterTable[[#This Row],[Sales]]-SalesMasterTable[[#This Row],[Cost Of Sales]]</f>
        <v>-19349.731336669502</v>
      </c>
    </row>
    <row r="919" spans="1:5" x14ac:dyDescent="0.3">
      <c r="A919" s="2">
        <v>42555</v>
      </c>
      <c r="B919" s="3">
        <v>281531.68555597891</v>
      </c>
      <c r="C919" s="3">
        <v>304052.47699526697</v>
      </c>
      <c r="D919" s="3">
        <v>8431</v>
      </c>
      <c r="E919" s="3">
        <f>SalesMasterTable[[#This Row],[Sales]]-SalesMasterTable[[#This Row],[Cost Of Sales]]</f>
        <v>-22520.791439288063</v>
      </c>
    </row>
    <row r="920" spans="1:5" x14ac:dyDescent="0.3">
      <c r="A920" s="2">
        <v>42556</v>
      </c>
      <c r="B920" s="3">
        <v>219363.2201356389</v>
      </c>
      <c r="C920" s="3">
        <v>237026.35054084621</v>
      </c>
      <c r="D920" s="3">
        <v>6577</v>
      </c>
      <c r="E920" s="3">
        <f>SalesMasterTable[[#This Row],[Sales]]-SalesMasterTable[[#This Row],[Cost Of Sales]]</f>
        <v>-17663.13040520731</v>
      </c>
    </row>
    <row r="921" spans="1:5" x14ac:dyDescent="0.3">
      <c r="A921" s="2">
        <v>42557</v>
      </c>
      <c r="B921" s="3">
        <v>204005.58223455391</v>
      </c>
      <c r="C921" s="3">
        <v>219722.89495004769</v>
      </c>
      <c r="D921" s="3">
        <v>6098</v>
      </c>
      <c r="E921" s="3">
        <f>SalesMasterTable[[#This Row],[Sales]]-SalesMasterTable[[#This Row],[Cost Of Sales]]</f>
        <v>-15717.312715493783</v>
      </c>
    </row>
    <row r="922" spans="1:5" x14ac:dyDescent="0.3">
      <c r="A922" s="2">
        <v>42558</v>
      </c>
      <c r="B922" s="3">
        <v>69579.068455469765</v>
      </c>
      <c r="C922" s="3">
        <v>59598.917800192386</v>
      </c>
      <c r="D922" s="3">
        <v>1654</v>
      </c>
      <c r="E922" s="3">
        <f>SalesMasterTable[[#This Row],[Sales]]-SalesMasterTable[[#This Row],[Cost Of Sales]]</f>
        <v>9980.150655277379</v>
      </c>
    </row>
    <row r="923" spans="1:5" x14ac:dyDescent="0.3">
      <c r="A923" s="2">
        <v>42559</v>
      </c>
      <c r="B923" s="3">
        <v>87184.740028708911</v>
      </c>
      <c r="C923" s="3">
        <v>74654.520419296809</v>
      </c>
      <c r="D923" s="3">
        <v>2073</v>
      </c>
      <c r="E923" s="3">
        <f>SalesMasterTable[[#This Row],[Sales]]-SalesMasterTable[[#This Row],[Cost Of Sales]]</f>
        <v>12530.219609412103</v>
      </c>
    </row>
    <row r="924" spans="1:5" x14ac:dyDescent="0.3">
      <c r="A924" s="2">
        <v>42560</v>
      </c>
      <c r="B924" s="3">
        <v>78700.43604833915</v>
      </c>
      <c r="C924" s="3">
        <v>67367.383240402574</v>
      </c>
      <c r="D924" s="3">
        <v>1871</v>
      </c>
      <c r="E924" s="3">
        <f>SalesMasterTable[[#This Row],[Sales]]-SalesMasterTable[[#This Row],[Cost Of Sales]]</f>
        <v>11333.052807936576</v>
      </c>
    </row>
    <row r="925" spans="1:5" x14ac:dyDescent="0.3">
      <c r="A925" s="2">
        <v>42561</v>
      </c>
      <c r="B925" s="3">
        <v>39809.559090600371</v>
      </c>
      <c r="C925" s="3">
        <v>34091.569662440699</v>
      </c>
      <c r="D925" s="3">
        <v>946</v>
      </c>
      <c r="E925" s="3">
        <f>SalesMasterTable[[#This Row],[Sales]]-SalesMasterTable[[#This Row],[Cost Of Sales]]</f>
        <v>5717.9894281596717</v>
      </c>
    </row>
    <row r="926" spans="1:5" x14ac:dyDescent="0.3">
      <c r="A926" s="2">
        <v>42562</v>
      </c>
      <c r="B926" s="3">
        <v>45839.238770190248</v>
      </c>
      <c r="C926" s="3">
        <v>39231.195372207752</v>
      </c>
      <c r="D926" s="3">
        <v>1090</v>
      </c>
      <c r="E926" s="3">
        <f>SalesMasterTable[[#This Row],[Sales]]-SalesMasterTable[[#This Row],[Cost Of Sales]]</f>
        <v>6608.0433979824957</v>
      </c>
    </row>
    <row r="927" spans="1:5" x14ac:dyDescent="0.3">
      <c r="A927" s="2">
        <v>42563</v>
      </c>
      <c r="B927" s="3">
        <v>36851.763746850367</v>
      </c>
      <c r="C927" s="3">
        <v>31574.325469600979</v>
      </c>
      <c r="D927" s="3">
        <v>876</v>
      </c>
      <c r="E927" s="3">
        <f>SalesMasterTable[[#This Row],[Sales]]-SalesMasterTable[[#This Row],[Cost Of Sales]]</f>
        <v>5277.4382772493882</v>
      </c>
    </row>
    <row r="928" spans="1:5" x14ac:dyDescent="0.3">
      <c r="A928" s="2">
        <v>42564</v>
      </c>
      <c r="B928" s="3">
        <v>33225.670471770121</v>
      </c>
      <c r="C928" s="3">
        <v>28489.081398148792</v>
      </c>
      <c r="D928" s="3">
        <v>790</v>
      </c>
      <c r="E928" s="3">
        <f>SalesMasterTable[[#This Row],[Sales]]-SalesMasterTable[[#This Row],[Cost Of Sales]]</f>
        <v>4736.5890736213296</v>
      </c>
    </row>
    <row r="929" spans="1:5" x14ac:dyDescent="0.3">
      <c r="A929" s="2">
        <v>42565</v>
      </c>
      <c r="B929" s="3">
        <v>30423.391456740119</v>
      </c>
      <c r="C929" s="3">
        <v>26053.796718671529</v>
      </c>
      <c r="D929" s="3">
        <v>723</v>
      </c>
      <c r="E929" s="3">
        <f>SalesMasterTable[[#This Row],[Sales]]-SalesMasterTable[[#This Row],[Cost Of Sales]]</f>
        <v>4369.5947380685902</v>
      </c>
    </row>
    <row r="930" spans="1:5" x14ac:dyDescent="0.3">
      <c r="A930" s="2">
        <v>42566</v>
      </c>
      <c r="B930" s="3">
        <v>80345.637659439148</v>
      </c>
      <c r="C930" s="3">
        <v>68788.094536384728</v>
      </c>
      <c r="D930" s="3">
        <v>1910</v>
      </c>
      <c r="E930" s="3">
        <f>SalesMasterTable[[#This Row],[Sales]]-SalesMasterTable[[#This Row],[Cost Of Sales]]</f>
        <v>11557.54312305442</v>
      </c>
    </row>
    <row r="931" spans="1:5" x14ac:dyDescent="0.3">
      <c r="A931" s="2">
        <v>42567</v>
      </c>
      <c r="B931" s="3">
        <v>95297.338626638681</v>
      </c>
      <c r="C931" s="3">
        <v>81655.857730858726</v>
      </c>
      <c r="D931" s="3">
        <v>2266</v>
      </c>
      <c r="E931" s="3">
        <f>SalesMasterTable[[#This Row],[Sales]]-SalesMasterTable[[#This Row],[Cost Of Sales]]</f>
        <v>13641.480895779954</v>
      </c>
    </row>
    <row r="932" spans="1:5" x14ac:dyDescent="0.3">
      <c r="A932" s="2">
        <v>42568</v>
      </c>
      <c r="B932" s="3">
        <v>45324.054527670247</v>
      </c>
      <c r="C932" s="3">
        <v>38809.808900032527</v>
      </c>
      <c r="D932" s="3">
        <v>1078</v>
      </c>
      <c r="E932" s="3">
        <f>SalesMasterTable[[#This Row],[Sales]]-SalesMasterTable[[#This Row],[Cost Of Sales]]</f>
        <v>6514.2456276377197</v>
      </c>
    </row>
    <row r="933" spans="1:5" x14ac:dyDescent="0.3">
      <c r="A933" s="2">
        <v>42569</v>
      </c>
      <c r="B933" s="3">
        <v>51604.118408790237</v>
      </c>
      <c r="C933" s="3">
        <v>44222.784476633977</v>
      </c>
      <c r="D933" s="3">
        <v>1227</v>
      </c>
      <c r="E933" s="3">
        <f>SalesMasterTable[[#This Row],[Sales]]-SalesMasterTable[[#This Row],[Cost Of Sales]]</f>
        <v>7381.3339321562598</v>
      </c>
    </row>
    <row r="934" spans="1:5" x14ac:dyDescent="0.3">
      <c r="A934" s="2">
        <v>42570</v>
      </c>
      <c r="B934" s="3">
        <v>37870.119032340357</v>
      </c>
      <c r="C934" s="3">
        <v>32436.79596517127</v>
      </c>
      <c r="D934" s="3">
        <v>900</v>
      </c>
      <c r="E934" s="3">
        <f>SalesMasterTable[[#This Row],[Sales]]-SalesMasterTable[[#This Row],[Cost Of Sales]]</f>
        <v>5433.3230671690872</v>
      </c>
    </row>
    <row r="935" spans="1:5" x14ac:dyDescent="0.3">
      <c r="A935" s="2">
        <v>42571</v>
      </c>
      <c r="B935" s="3">
        <v>42723.524457810243</v>
      </c>
      <c r="C935" s="3">
        <v>36607.390656376527</v>
      </c>
      <c r="D935" s="3">
        <v>1016</v>
      </c>
      <c r="E935" s="3">
        <f>SalesMasterTable[[#This Row],[Sales]]-SalesMasterTable[[#This Row],[Cost Of Sales]]</f>
        <v>6116.1338014337161</v>
      </c>
    </row>
    <row r="936" spans="1:5" x14ac:dyDescent="0.3">
      <c r="A936" s="2">
        <v>42572</v>
      </c>
      <c r="B936" s="3">
        <v>35169.915809850128</v>
      </c>
      <c r="C936" s="3">
        <v>30133.318639665871</v>
      </c>
      <c r="D936" s="3">
        <v>836</v>
      </c>
      <c r="E936" s="3">
        <f>SalesMasterTable[[#This Row],[Sales]]-SalesMasterTable[[#This Row],[Cost Of Sales]]</f>
        <v>5036.5971701842573</v>
      </c>
    </row>
    <row r="937" spans="1:5" x14ac:dyDescent="0.3">
      <c r="A937" s="2">
        <v>42573</v>
      </c>
      <c r="B937" s="3">
        <v>61148.205011279642</v>
      </c>
      <c r="C937" s="3">
        <v>52384.447482992728</v>
      </c>
      <c r="D937" s="3">
        <v>1454</v>
      </c>
      <c r="E937" s="3">
        <f>SalesMasterTable[[#This Row],[Sales]]-SalesMasterTable[[#This Row],[Cost Of Sales]]</f>
        <v>8763.7575282869147</v>
      </c>
    </row>
    <row r="938" spans="1:5" x14ac:dyDescent="0.3">
      <c r="A938" s="2">
        <v>42574</v>
      </c>
      <c r="B938" s="3">
        <v>77171.701800149516</v>
      </c>
      <c r="C938" s="3">
        <v>66113.832037556145</v>
      </c>
      <c r="D938" s="3">
        <v>1835</v>
      </c>
      <c r="E938" s="3">
        <f>SalesMasterTable[[#This Row],[Sales]]-SalesMasterTable[[#This Row],[Cost Of Sales]]</f>
        <v>11057.869762593371</v>
      </c>
    </row>
    <row r="939" spans="1:5" x14ac:dyDescent="0.3">
      <c r="A939" s="2">
        <v>42575</v>
      </c>
      <c r="B939" s="3">
        <v>40881.354912270253</v>
      </c>
      <c r="C939" s="3">
        <v>35019.112638998413</v>
      </c>
      <c r="D939" s="3">
        <v>972</v>
      </c>
      <c r="E939" s="3">
        <f>SalesMasterTable[[#This Row],[Sales]]-SalesMasterTable[[#This Row],[Cost Of Sales]]</f>
        <v>5862.2422732718405</v>
      </c>
    </row>
    <row r="940" spans="1:5" x14ac:dyDescent="0.3">
      <c r="A940" s="2">
        <v>42576</v>
      </c>
      <c r="B940" s="3">
        <v>43085.59501152025</v>
      </c>
      <c r="C940" s="3">
        <v>36887.366171890637</v>
      </c>
      <c r="D940" s="3">
        <v>1024</v>
      </c>
      <c r="E940" s="3">
        <f>SalesMasterTable[[#This Row],[Sales]]-SalesMasterTable[[#This Row],[Cost Of Sales]]</f>
        <v>6198.2288396296135</v>
      </c>
    </row>
    <row r="941" spans="1:5" x14ac:dyDescent="0.3">
      <c r="A941" s="2">
        <v>42577</v>
      </c>
      <c r="B941" s="3">
        <v>43894.993432110241</v>
      </c>
      <c r="C941" s="3">
        <v>37604.658419582847</v>
      </c>
      <c r="D941" s="3">
        <v>1044</v>
      </c>
      <c r="E941" s="3">
        <f>SalesMasterTable[[#This Row],[Sales]]-SalesMasterTable[[#This Row],[Cost Of Sales]]</f>
        <v>6290.3350125273937</v>
      </c>
    </row>
    <row r="942" spans="1:5" x14ac:dyDescent="0.3">
      <c r="A942" s="2">
        <v>42578</v>
      </c>
      <c r="B942" s="3">
        <v>67780.728886469529</v>
      </c>
      <c r="C942" s="3">
        <v>58196.145986195363</v>
      </c>
      <c r="D942" s="3">
        <v>1611</v>
      </c>
      <c r="E942" s="3">
        <f>SalesMasterTable[[#This Row],[Sales]]-SalesMasterTable[[#This Row],[Cost Of Sales]]</f>
        <v>9584.5829002741666</v>
      </c>
    </row>
    <row r="943" spans="1:5" x14ac:dyDescent="0.3">
      <c r="A943" s="2">
        <v>42579</v>
      </c>
      <c r="B943" s="3">
        <v>51907.943146500242</v>
      </c>
      <c r="C943" s="3">
        <v>44544.630743101319</v>
      </c>
      <c r="D943" s="3">
        <v>1234</v>
      </c>
      <c r="E943" s="3">
        <f>SalesMasterTable[[#This Row],[Sales]]-SalesMasterTable[[#This Row],[Cost Of Sales]]</f>
        <v>7363.3124033989225</v>
      </c>
    </row>
    <row r="944" spans="1:5" x14ac:dyDescent="0.3">
      <c r="A944" s="2">
        <v>42580</v>
      </c>
      <c r="B944" s="3">
        <v>93508.633886369164</v>
      </c>
      <c r="C944" s="3">
        <v>80346.69413385824</v>
      </c>
      <c r="D944" s="3">
        <v>2223</v>
      </c>
      <c r="E944" s="3">
        <f>SalesMasterTable[[#This Row],[Sales]]-SalesMasterTable[[#This Row],[Cost Of Sales]]</f>
        <v>13161.939752510923</v>
      </c>
    </row>
    <row r="945" spans="1:5" x14ac:dyDescent="0.3">
      <c r="A945" s="2">
        <v>42581</v>
      </c>
      <c r="B945" s="3">
        <v>95343.59551217893</v>
      </c>
      <c r="C945" s="3">
        <v>81874.288863507725</v>
      </c>
      <c r="D945" s="3">
        <v>2267</v>
      </c>
      <c r="E945" s="3">
        <f>SalesMasterTable[[#This Row],[Sales]]-SalesMasterTable[[#This Row],[Cost Of Sales]]</f>
        <v>13469.306648671205</v>
      </c>
    </row>
    <row r="946" spans="1:5" x14ac:dyDescent="0.3">
      <c r="A946" s="2">
        <v>42582</v>
      </c>
      <c r="B946" s="3">
        <v>59514.992330639878</v>
      </c>
      <c r="C946" s="3">
        <v>51145.403341245627</v>
      </c>
      <c r="D946" s="3">
        <v>1415</v>
      </c>
      <c r="E946" s="3">
        <f>SalesMasterTable[[#This Row],[Sales]]-SalesMasterTable[[#This Row],[Cost Of Sales]]</f>
        <v>8369.5889893942513</v>
      </c>
    </row>
    <row r="947" spans="1:5" x14ac:dyDescent="0.3">
      <c r="A947" s="2">
        <v>42583</v>
      </c>
      <c r="B947" s="3">
        <v>65133.966200159761</v>
      </c>
      <c r="C947" s="3">
        <v>55946.056559077122</v>
      </c>
      <c r="D947" s="3">
        <v>1548</v>
      </c>
      <c r="E947" s="3">
        <f>SalesMasterTable[[#This Row],[Sales]]-SalesMasterTable[[#This Row],[Cost Of Sales]]</f>
        <v>9187.9096410826387</v>
      </c>
    </row>
    <row r="948" spans="1:5" x14ac:dyDescent="0.3">
      <c r="A948" s="2">
        <v>42584</v>
      </c>
      <c r="B948" s="3">
        <v>70641.253717499887</v>
      </c>
      <c r="C948" s="3">
        <v>60629.552999890897</v>
      </c>
      <c r="D948" s="3">
        <v>1679</v>
      </c>
      <c r="E948" s="3">
        <f>SalesMasterTable[[#This Row],[Sales]]-SalesMasterTable[[#This Row],[Cost Of Sales]]</f>
        <v>10011.70071760899</v>
      </c>
    </row>
    <row r="949" spans="1:5" x14ac:dyDescent="0.3">
      <c r="A949" s="2">
        <v>42585</v>
      </c>
      <c r="B949" s="3">
        <v>48442.171479960249</v>
      </c>
      <c r="C949" s="3">
        <v>41610.783939948822</v>
      </c>
      <c r="D949" s="3">
        <v>1152</v>
      </c>
      <c r="E949" s="3">
        <f>SalesMasterTable[[#This Row],[Sales]]-SalesMasterTable[[#This Row],[Cost Of Sales]]</f>
        <v>6831.3875400114266</v>
      </c>
    </row>
    <row r="950" spans="1:5" x14ac:dyDescent="0.3">
      <c r="A950" s="2">
        <v>42586</v>
      </c>
      <c r="B950" s="3">
        <v>46291.371916890253</v>
      </c>
      <c r="C950" s="3">
        <v>39783.360668054564</v>
      </c>
      <c r="D950" s="3">
        <v>1101</v>
      </c>
      <c r="E950" s="3">
        <f>SalesMasterTable[[#This Row],[Sales]]-SalesMasterTable[[#This Row],[Cost Of Sales]]</f>
        <v>6508.0112488356899</v>
      </c>
    </row>
    <row r="951" spans="1:5" x14ac:dyDescent="0.3">
      <c r="A951" s="2">
        <v>42587</v>
      </c>
      <c r="B951" s="3">
        <v>73453.14329216964</v>
      </c>
      <c r="C951" s="3">
        <v>63386.492591361231</v>
      </c>
      <c r="D951" s="3">
        <v>1746</v>
      </c>
      <c r="E951" s="3">
        <f>SalesMasterTable[[#This Row],[Sales]]-SalesMasterTable[[#This Row],[Cost Of Sales]]</f>
        <v>10066.650700808408</v>
      </c>
    </row>
    <row r="952" spans="1:5" x14ac:dyDescent="0.3">
      <c r="A952" s="2">
        <v>42588</v>
      </c>
      <c r="B952" s="3">
        <v>71508.897954089523</v>
      </c>
      <c r="C952" s="3">
        <v>61500.574648541122</v>
      </c>
      <c r="D952" s="3">
        <v>1700</v>
      </c>
      <c r="E952" s="3">
        <f>SalesMasterTable[[#This Row],[Sales]]-SalesMasterTable[[#This Row],[Cost Of Sales]]</f>
        <v>10008.323305548402</v>
      </c>
    </row>
    <row r="953" spans="1:5" x14ac:dyDescent="0.3">
      <c r="A953" s="2">
        <v>42589</v>
      </c>
      <c r="B953" s="3">
        <v>30066.12618285013</v>
      </c>
      <c r="C953" s="3">
        <v>25872.48835407582</v>
      </c>
      <c r="D953" s="3">
        <v>715</v>
      </c>
      <c r="E953" s="3">
        <f>SalesMasterTable[[#This Row],[Sales]]-SalesMasterTable[[#This Row],[Cost Of Sales]]</f>
        <v>4193.63782877431</v>
      </c>
    </row>
    <row r="954" spans="1:5" x14ac:dyDescent="0.3">
      <c r="A954" s="2">
        <v>42590</v>
      </c>
      <c r="B954" s="3">
        <v>37726.615903170241</v>
      </c>
      <c r="C954" s="3">
        <v>32490.136024940541</v>
      </c>
      <c r="D954" s="3">
        <v>897</v>
      </c>
      <c r="E954" s="3">
        <f>SalesMasterTable[[#This Row],[Sales]]-SalesMasterTable[[#This Row],[Cost Of Sales]]</f>
        <v>5236.4798782297003</v>
      </c>
    </row>
    <row r="955" spans="1:5" x14ac:dyDescent="0.3">
      <c r="A955" s="2">
        <v>42591</v>
      </c>
      <c r="B955" s="3">
        <v>30831.694626900251</v>
      </c>
      <c r="C955" s="3">
        <v>26577.079448522589</v>
      </c>
      <c r="D955" s="3">
        <v>733</v>
      </c>
      <c r="E955" s="3">
        <f>SalesMasterTable[[#This Row],[Sales]]-SalesMasterTable[[#This Row],[Cost Of Sales]]</f>
        <v>4254.6151783776622</v>
      </c>
    </row>
    <row r="956" spans="1:5" x14ac:dyDescent="0.3">
      <c r="A956" s="2">
        <v>42592</v>
      </c>
      <c r="B956" s="3">
        <v>146811.45511516009</v>
      </c>
      <c r="C956" s="3">
        <v>155135.6291118357</v>
      </c>
      <c r="D956" s="3">
        <v>4282</v>
      </c>
      <c r="E956" s="3">
        <f>SalesMasterTable[[#This Row],[Sales]]-SalesMasterTable[[#This Row],[Cost Of Sales]]</f>
        <v>-8324.173996675614</v>
      </c>
    </row>
    <row r="957" spans="1:5" x14ac:dyDescent="0.3">
      <c r="A957" s="2">
        <v>42593</v>
      </c>
      <c r="B957" s="3">
        <v>99867.329619087352</v>
      </c>
      <c r="C957" s="3">
        <v>103826.7014124711</v>
      </c>
      <c r="D957" s="3">
        <v>2867</v>
      </c>
      <c r="E957" s="3">
        <f>SalesMasterTable[[#This Row],[Sales]]-SalesMasterTable[[#This Row],[Cost Of Sales]]</f>
        <v>-3959.371793383747</v>
      </c>
    </row>
    <row r="958" spans="1:5" x14ac:dyDescent="0.3">
      <c r="A958" s="2">
        <v>42594</v>
      </c>
      <c r="B958" s="3">
        <v>210664.86278147751</v>
      </c>
      <c r="C958" s="3">
        <v>220379.27667655639</v>
      </c>
      <c r="D958" s="3">
        <v>6082</v>
      </c>
      <c r="E958" s="3">
        <f>SalesMasterTable[[#This Row],[Sales]]-SalesMasterTable[[#This Row],[Cost Of Sales]]</f>
        <v>-9714.4138950788765</v>
      </c>
    </row>
    <row r="959" spans="1:5" x14ac:dyDescent="0.3">
      <c r="A959" s="2">
        <v>42595</v>
      </c>
      <c r="B959" s="3">
        <v>266271.03907309339</v>
      </c>
      <c r="C959" s="3">
        <v>281658.41831912257</v>
      </c>
      <c r="D959" s="3">
        <v>7771</v>
      </c>
      <c r="E959" s="3">
        <f>SalesMasterTable[[#This Row],[Sales]]-SalesMasterTable[[#This Row],[Cost Of Sales]]</f>
        <v>-15387.379246029188</v>
      </c>
    </row>
    <row r="960" spans="1:5" x14ac:dyDescent="0.3">
      <c r="A960" s="2">
        <v>42596</v>
      </c>
      <c r="B960" s="3">
        <v>123084.0390694151</v>
      </c>
      <c r="C960" s="3">
        <v>129601.5272266189</v>
      </c>
      <c r="D960" s="3">
        <v>3576</v>
      </c>
      <c r="E960" s="3">
        <f>SalesMasterTable[[#This Row],[Sales]]-SalesMasterTable[[#This Row],[Cost Of Sales]]</f>
        <v>-6517.4881572037993</v>
      </c>
    </row>
    <row r="961" spans="1:5" x14ac:dyDescent="0.3">
      <c r="A961" s="2">
        <v>42597</v>
      </c>
      <c r="B961" s="3">
        <v>162727.52477714521</v>
      </c>
      <c r="C961" s="3">
        <v>168580.1705714394</v>
      </c>
      <c r="D961" s="3">
        <v>4649</v>
      </c>
      <c r="E961" s="3">
        <f>SalesMasterTable[[#This Row],[Sales]]-SalesMasterTable[[#This Row],[Cost Of Sales]]</f>
        <v>-5852.6457942941925</v>
      </c>
    </row>
    <row r="962" spans="1:5" x14ac:dyDescent="0.3">
      <c r="A962" s="2">
        <v>42598</v>
      </c>
      <c r="B962" s="3">
        <v>114708.9459940466</v>
      </c>
      <c r="C962" s="3">
        <v>119758.061703468</v>
      </c>
      <c r="D962" s="3">
        <v>3302</v>
      </c>
      <c r="E962" s="3">
        <f>SalesMasterTable[[#This Row],[Sales]]-SalesMasterTable[[#This Row],[Cost Of Sales]]</f>
        <v>-5049.1157094213995</v>
      </c>
    </row>
    <row r="963" spans="1:5" x14ac:dyDescent="0.3">
      <c r="A963" s="2">
        <v>42599</v>
      </c>
      <c r="B963" s="3">
        <v>122318.90746898641</v>
      </c>
      <c r="C963" s="3">
        <v>128298.34345694909</v>
      </c>
      <c r="D963" s="3">
        <v>3536</v>
      </c>
      <c r="E963" s="3">
        <f>SalesMasterTable[[#This Row],[Sales]]-SalesMasterTable[[#This Row],[Cost Of Sales]]</f>
        <v>-5979.4359879626863</v>
      </c>
    </row>
    <row r="964" spans="1:5" x14ac:dyDescent="0.3">
      <c r="A964" s="2">
        <v>42600</v>
      </c>
      <c r="B964" s="3">
        <v>112010.3445314969</v>
      </c>
      <c r="C964" s="3">
        <v>117374.1915793604</v>
      </c>
      <c r="D964" s="3">
        <v>3236</v>
      </c>
      <c r="E964" s="3">
        <f>SalesMasterTable[[#This Row],[Sales]]-SalesMasterTable[[#This Row],[Cost Of Sales]]</f>
        <v>-5363.847047863499</v>
      </c>
    </row>
    <row r="965" spans="1:5" x14ac:dyDescent="0.3">
      <c r="A965" s="2">
        <v>42601</v>
      </c>
      <c r="B965" s="3">
        <v>229861.4702805799</v>
      </c>
      <c r="C965" s="3">
        <v>241090.13355630499</v>
      </c>
      <c r="D965" s="3">
        <v>6646</v>
      </c>
      <c r="E965" s="3">
        <f>SalesMasterTable[[#This Row],[Sales]]-SalesMasterTable[[#This Row],[Cost Of Sales]]</f>
        <v>-11228.663275725092</v>
      </c>
    </row>
    <row r="966" spans="1:5" x14ac:dyDescent="0.3">
      <c r="A966" s="2">
        <v>42602</v>
      </c>
      <c r="B966" s="3">
        <v>249981.2496941947</v>
      </c>
      <c r="C966" s="3">
        <v>262145.17733741982</v>
      </c>
      <c r="D966" s="3">
        <v>7220</v>
      </c>
      <c r="E966" s="3">
        <f>SalesMasterTable[[#This Row],[Sales]]-SalesMasterTable[[#This Row],[Cost Of Sales]]</f>
        <v>-12163.927643225121</v>
      </c>
    </row>
    <row r="967" spans="1:5" x14ac:dyDescent="0.3">
      <c r="A967" s="2">
        <v>42603</v>
      </c>
      <c r="B967" s="3">
        <v>136480.2491167002</v>
      </c>
      <c r="C967" s="3">
        <v>143734.22721517089</v>
      </c>
      <c r="D967" s="3">
        <v>3958</v>
      </c>
      <c r="E967" s="3">
        <f>SalesMasterTable[[#This Row],[Sales]]-SalesMasterTable[[#This Row],[Cost Of Sales]]</f>
        <v>-7253.9780984706886</v>
      </c>
    </row>
    <row r="968" spans="1:5" x14ac:dyDescent="0.3">
      <c r="A968" s="2">
        <v>42604</v>
      </c>
      <c r="B968" s="3">
        <v>127369.80261433141</v>
      </c>
      <c r="C968" s="3">
        <v>133350.16138222881</v>
      </c>
      <c r="D968" s="3">
        <v>3672</v>
      </c>
      <c r="E968" s="3">
        <f>SalesMasterTable[[#This Row],[Sales]]-SalesMasterTable[[#This Row],[Cost Of Sales]]</f>
        <v>-5980.3587678974</v>
      </c>
    </row>
    <row r="969" spans="1:5" x14ac:dyDescent="0.3">
      <c r="A969" s="2">
        <v>42605</v>
      </c>
      <c r="B969" s="3">
        <v>43537.728158220249</v>
      </c>
      <c r="C969" s="3">
        <v>37649.387527999519</v>
      </c>
      <c r="D969" s="3">
        <v>1035</v>
      </c>
      <c r="E969" s="3">
        <f>SalesMasterTable[[#This Row],[Sales]]-SalesMasterTable[[#This Row],[Cost Of Sales]]</f>
        <v>5888.3406302207295</v>
      </c>
    </row>
    <row r="970" spans="1:5" x14ac:dyDescent="0.3">
      <c r="A970" s="2">
        <v>42606</v>
      </c>
      <c r="B970" s="3">
        <v>120407.4132678633</v>
      </c>
      <c r="C970" s="3">
        <v>127699.4159113958</v>
      </c>
      <c r="D970" s="3">
        <v>3549</v>
      </c>
      <c r="E970" s="3">
        <f>SalesMasterTable[[#This Row],[Sales]]-SalesMasterTable[[#This Row],[Cost Of Sales]]</f>
        <v>-7292.002643532498</v>
      </c>
    </row>
    <row r="971" spans="1:5" x14ac:dyDescent="0.3">
      <c r="A971" s="2">
        <v>42607</v>
      </c>
      <c r="B971" s="3">
        <v>226375.54313479611</v>
      </c>
      <c r="C971" s="3">
        <v>240429.68554720341</v>
      </c>
      <c r="D971" s="3">
        <v>6647</v>
      </c>
      <c r="E971" s="3">
        <f>SalesMasterTable[[#This Row],[Sales]]-SalesMasterTable[[#This Row],[Cost Of Sales]]</f>
        <v>-14054.142412407295</v>
      </c>
    </row>
    <row r="972" spans="1:5" x14ac:dyDescent="0.3">
      <c r="A972" s="2">
        <v>42608</v>
      </c>
      <c r="B972" s="3">
        <v>337900.17823359562</v>
      </c>
      <c r="C972" s="3">
        <v>358772.25036410952</v>
      </c>
      <c r="D972" s="3">
        <v>9908</v>
      </c>
      <c r="E972" s="3">
        <f>SalesMasterTable[[#This Row],[Sales]]-SalesMasterTable[[#This Row],[Cost Of Sales]]</f>
        <v>-20872.072130513901</v>
      </c>
    </row>
    <row r="973" spans="1:5" x14ac:dyDescent="0.3">
      <c r="A973" s="2">
        <v>42609</v>
      </c>
      <c r="B973" s="3">
        <v>355069.54010681692</v>
      </c>
      <c r="C973" s="3">
        <v>376755.56448352599</v>
      </c>
      <c r="D973" s="3">
        <v>10393</v>
      </c>
      <c r="E973" s="3">
        <f>SalesMasterTable[[#This Row],[Sales]]-SalesMasterTable[[#This Row],[Cost Of Sales]]</f>
        <v>-21686.024376709072</v>
      </c>
    </row>
    <row r="974" spans="1:5" x14ac:dyDescent="0.3">
      <c r="A974" s="2">
        <v>42610</v>
      </c>
      <c r="B974" s="3">
        <v>153893.68522805019</v>
      </c>
      <c r="C974" s="3">
        <v>163401.32915405891</v>
      </c>
      <c r="D974" s="3">
        <v>4507</v>
      </c>
      <c r="E974" s="3">
        <f>SalesMasterTable[[#This Row],[Sales]]-SalesMasterTable[[#This Row],[Cost Of Sales]]</f>
        <v>-9507.6439260087209</v>
      </c>
    </row>
    <row r="975" spans="1:5" x14ac:dyDescent="0.3">
      <c r="A975" s="2">
        <v>42611</v>
      </c>
      <c r="B975" s="3">
        <v>159625.74092242509</v>
      </c>
      <c r="C975" s="3">
        <v>169479.10605406531</v>
      </c>
      <c r="D975" s="3">
        <v>4672</v>
      </c>
      <c r="E975" s="3">
        <f>SalesMasterTable[[#This Row],[Sales]]-SalesMasterTable[[#This Row],[Cost Of Sales]]</f>
        <v>-9853.3651316402247</v>
      </c>
    </row>
    <row r="976" spans="1:5" x14ac:dyDescent="0.3">
      <c r="A976" s="2">
        <v>42612</v>
      </c>
      <c r="B976" s="3">
        <v>133961.9669928514</v>
      </c>
      <c r="C976" s="3">
        <v>142299.91779184839</v>
      </c>
      <c r="D976" s="3">
        <v>3924</v>
      </c>
      <c r="E976" s="3">
        <f>SalesMasterTable[[#This Row],[Sales]]-SalesMasterTable[[#This Row],[Cost Of Sales]]</f>
        <v>-8337.9507989969861</v>
      </c>
    </row>
    <row r="977" spans="1:5" x14ac:dyDescent="0.3">
      <c r="A977" s="2">
        <v>42613</v>
      </c>
      <c r="B977" s="3">
        <v>236305.15636647621</v>
      </c>
      <c r="C977" s="3">
        <v>250572.4533877949</v>
      </c>
      <c r="D977" s="3">
        <v>6918</v>
      </c>
      <c r="E977" s="3">
        <f>SalesMasterTable[[#This Row],[Sales]]-SalesMasterTable[[#This Row],[Cost Of Sales]]</f>
        <v>-14267.297021318693</v>
      </c>
    </row>
    <row r="978" spans="1:5" x14ac:dyDescent="0.3">
      <c r="A978" s="2">
        <v>42614</v>
      </c>
      <c r="B978" s="3">
        <v>313491.73511881451</v>
      </c>
      <c r="C978" s="3">
        <v>333030.87570402719</v>
      </c>
      <c r="D978" s="3">
        <v>9183</v>
      </c>
      <c r="E978" s="3">
        <f>SalesMasterTable[[#This Row],[Sales]]-SalesMasterTable[[#This Row],[Cost Of Sales]]</f>
        <v>-19539.140585212677</v>
      </c>
    </row>
    <row r="979" spans="1:5" x14ac:dyDescent="0.3">
      <c r="A979" s="2">
        <v>42615</v>
      </c>
      <c r="B979" s="3">
        <v>370355.00173424062</v>
      </c>
      <c r="C979" s="3">
        <v>392493.08269182261</v>
      </c>
      <c r="D979" s="3">
        <v>10830</v>
      </c>
      <c r="E979" s="3">
        <f>SalesMasterTable[[#This Row],[Sales]]-SalesMasterTable[[#This Row],[Cost Of Sales]]</f>
        <v>-22138.080957581988</v>
      </c>
    </row>
    <row r="980" spans="1:5" x14ac:dyDescent="0.3">
      <c r="A980" s="2">
        <v>42616</v>
      </c>
      <c r="B980" s="3">
        <v>369091.05539249809</v>
      </c>
      <c r="C980" s="3">
        <v>391842.50139780319</v>
      </c>
      <c r="D980" s="3">
        <v>10800</v>
      </c>
      <c r="E980" s="3">
        <f>SalesMasterTable[[#This Row],[Sales]]-SalesMasterTable[[#This Row],[Cost Of Sales]]</f>
        <v>-22751.446005305101</v>
      </c>
    </row>
    <row r="981" spans="1:5" x14ac:dyDescent="0.3">
      <c r="A981" s="2">
        <v>42617</v>
      </c>
      <c r="B981" s="3">
        <v>209026.01967195861</v>
      </c>
      <c r="C981" s="3">
        <v>222163.72890927369</v>
      </c>
      <c r="D981" s="3">
        <v>6119</v>
      </c>
      <c r="E981" s="3">
        <f>SalesMasterTable[[#This Row],[Sales]]-SalesMasterTable[[#This Row],[Cost Of Sales]]</f>
        <v>-13137.709237315081</v>
      </c>
    </row>
    <row r="982" spans="1:5" x14ac:dyDescent="0.3">
      <c r="A982" s="2">
        <v>42618</v>
      </c>
      <c r="B982" s="3">
        <v>228177.31678002991</v>
      </c>
      <c r="C982" s="3">
        <v>242589.58721854401</v>
      </c>
      <c r="D982" s="3">
        <v>6685</v>
      </c>
      <c r="E982" s="3">
        <f>SalesMasterTable[[#This Row],[Sales]]-SalesMasterTable[[#This Row],[Cost Of Sales]]</f>
        <v>-14412.270438514097</v>
      </c>
    </row>
    <row r="983" spans="1:5" x14ac:dyDescent="0.3">
      <c r="A983" s="2">
        <v>42619</v>
      </c>
      <c r="B983" s="3">
        <v>154494.7820491702</v>
      </c>
      <c r="C983" s="3">
        <v>164108.82644458601</v>
      </c>
      <c r="D983" s="3">
        <v>4519</v>
      </c>
      <c r="E983" s="3">
        <f>SalesMasterTable[[#This Row],[Sales]]-SalesMasterTable[[#This Row],[Cost Of Sales]]</f>
        <v>-9614.0443954158109</v>
      </c>
    </row>
    <row r="984" spans="1:5" x14ac:dyDescent="0.3">
      <c r="A984" s="2">
        <v>42620</v>
      </c>
      <c r="B984" s="3">
        <v>50736.474172200127</v>
      </c>
      <c r="C984" s="3">
        <v>43830.196852872301</v>
      </c>
      <c r="D984" s="3">
        <v>1206</v>
      </c>
      <c r="E984" s="3">
        <f>SalesMasterTable[[#This Row],[Sales]]-SalesMasterTable[[#This Row],[Cost Of Sales]]</f>
        <v>6906.2773193278263</v>
      </c>
    </row>
    <row r="985" spans="1:5" x14ac:dyDescent="0.3">
      <c r="A985" s="2">
        <v>42621</v>
      </c>
      <c r="B985" s="3">
        <v>43292.149236510253</v>
      </c>
      <c r="C985" s="3">
        <v>37391.680889456111</v>
      </c>
      <c r="D985" s="3">
        <v>1029</v>
      </c>
      <c r="E985" s="3">
        <f>SalesMasterTable[[#This Row],[Sales]]-SalesMasterTable[[#This Row],[Cost Of Sales]]</f>
        <v>5900.4683470541422</v>
      </c>
    </row>
    <row r="986" spans="1:5" x14ac:dyDescent="0.3">
      <c r="A986" s="2">
        <v>42622</v>
      </c>
      <c r="B986" s="3">
        <v>77335.918597634154</v>
      </c>
      <c r="C986" s="3">
        <v>69612.126701887464</v>
      </c>
      <c r="D986" s="3">
        <v>1917</v>
      </c>
      <c r="E986" s="3">
        <f>SalesMasterTable[[#This Row],[Sales]]-SalesMasterTable[[#This Row],[Cost Of Sales]]</f>
        <v>7723.79189574669</v>
      </c>
    </row>
    <row r="987" spans="1:5" x14ac:dyDescent="0.3">
      <c r="A987" s="2">
        <v>42623</v>
      </c>
      <c r="B987" s="3">
        <v>85070.234889733911</v>
      </c>
      <c r="C987" s="3">
        <v>76591.852917484997</v>
      </c>
      <c r="D987" s="3">
        <v>2108</v>
      </c>
      <c r="E987" s="3">
        <f>SalesMasterTable[[#This Row],[Sales]]-SalesMasterTable[[#This Row],[Cost Of Sales]]</f>
        <v>8478.3819722489134</v>
      </c>
    </row>
    <row r="988" spans="1:5" x14ac:dyDescent="0.3">
      <c r="A988" s="2">
        <v>42624</v>
      </c>
      <c r="B988" s="3">
        <v>48831.666105370241</v>
      </c>
      <c r="C988" s="3">
        <v>44014.232018730218</v>
      </c>
      <c r="D988" s="3">
        <v>1211</v>
      </c>
      <c r="E988" s="3">
        <f>SalesMasterTable[[#This Row],[Sales]]-SalesMasterTable[[#This Row],[Cost Of Sales]]</f>
        <v>4817.4340866400235</v>
      </c>
    </row>
    <row r="989" spans="1:5" x14ac:dyDescent="0.3">
      <c r="A989" s="2">
        <v>42625</v>
      </c>
      <c r="B989" s="3">
        <v>52075.157176600122</v>
      </c>
      <c r="C989" s="3">
        <v>46884.142508087811</v>
      </c>
      <c r="D989" s="3">
        <v>1291</v>
      </c>
      <c r="E989" s="3">
        <f>SalesMasterTable[[#This Row],[Sales]]-SalesMasterTable[[#This Row],[Cost Of Sales]]</f>
        <v>5191.0146685123109</v>
      </c>
    </row>
    <row r="990" spans="1:5" x14ac:dyDescent="0.3">
      <c r="A990" s="2">
        <v>42626</v>
      </c>
      <c r="B990" s="3">
        <v>30424.72625669013</v>
      </c>
      <c r="C990" s="3">
        <v>27398.58812689369</v>
      </c>
      <c r="D990" s="3">
        <v>755</v>
      </c>
      <c r="E990" s="3">
        <f>SalesMasterTable[[#This Row],[Sales]]-SalesMasterTable[[#This Row],[Cost Of Sales]]</f>
        <v>3026.1381297964399</v>
      </c>
    </row>
    <row r="991" spans="1:5" x14ac:dyDescent="0.3">
      <c r="A991" s="2">
        <v>42627</v>
      </c>
      <c r="B991" s="3">
        <v>20495.113025005001</v>
      </c>
      <c r="C991" s="3">
        <v>18375.052607697839</v>
      </c>
      <c r="D991" s="3">
        <v>508</v>
      </c>
      <c r="E991" s="3">
        <f>SalesMasterTable[[#This Row],[Sales]]-SalesMasterTable[[#This Row],[Cost Of Sales]]</f>
        <v>2120.0604173071624</v>
      </c>
    </row>
    <row r="992" spans="1:5" x14ac:dyDescent="0.3">
      <c r="A992" s="2">
        <v>42628</v>
      </c>
      <c r="B992" s="3">
        <v>40742.171681120242</v>
      </c>
      <c r="C992" s="3">
        <v>36464.759814940677</v>
      </c>
      <c r="D992" s="3">
        <v>1010</v>
      </c>
      <c r="E992" s="3">
        <f>SalesMasterTable[[#This Row],[Sales]]-SalesMasterTable[[#This Row],[Cost Of Sales]]</f>
        <v>4277.4118661795655</v>
      </c>
    </row>
    <row r="993" spans="1:5" x14ac:dyDescent="0.3">
      <c r="A993" s="2">
        <v>42629</v>
      </c>
      <c r="B993" s="3">
        <v>69864.836990219526</v>
      </c>
      <c r="C993" s="3">
        <v>62545.19068453311</v>
      </c>
      <c r="D993" s="3">
        <v>1733</v>
      </c>
      <c r="E993" s="3">
        <f>SalesMasterTable[[#This Row],[Sales]]-SalesMasterTable[[#This Row],[Cost Of Sales]]</f>
        <v>7319.6463056864159</v>
      </c>
    </row>
    <row r="994" spans="1:5" x14ac:dyDescent="0.3">
      <c r="A994" s="2">
        <v>42630</v>
      </c>
      <c r="B994" s="3">
        <v>100120.7110532329</v>
      </c>
      <c r="C994" s="3">
        <v>89572.407615025208</v>
      </c>
      <c r="D994" s="3">
        <v>2482</v>
      </c>
      <c r="E994" s="3">
        <f>SalesMasterTable[[#This Row],[Sales]]-SalesMasterTable[[#This Row],[Cost Of Sales]]</f>
        <v>10548.303438207688</v>
      </c>
    </row>
    <row r="995" spans="1:5" x14ac:dyDescent="0.3">
      <c r="A995" s="2">
        <v>42631</v>
      </c>
      <c r="B995" s="3">
        <v>49825.097035430132</v>
      </c>
      <c r="C995" s="3">
        <v>44593.796883395269</v>
      </c>
      <c r="D995" s="3">
        <v>1235</v>
      </c>
      <c r="E995" s="3">
        <f>SalesMasterTable[[#This Row],[Sales]]-SalesMasterTable[[#This Row],[Cost Of Sales]]</f>
        <v>5231.3001520348625</v>
      </c>
    </row>
    <row r="996" spans="1:5" x14ac:dyDescent="0.3">
      <c r="A996" s="2">
        <v>42632</v>
      </c>
      <c r="B996" s="3">
        <v>46566.462052040253</v>
      </c>
      <c r="C996" s="3">
        <v>41660.440426083711</v>
      </c>
      <c r="D996" s="3">
        <v>1155</v>
      </c>
      <c r="E996" s="3">
        <f>SalesMasterTable[[#This Row],[Sales]]-SalesMasterTable[[#This Row],[Cost Of Sales]]</f>
        <v>4906.0216259565423</v>
      </c>
    </row>
    <row r="997" spans="1:5" x14ac:dyDescent="0.3">
      <c r="A997" s="2">
        <v>42633</v>
      </c>
      <c r="B997" s="3">
        <v>37923.765855785372</v>
      </c>
      <c r="C997" s="3">
        <v>34031.14948711513</v>
      </c>
      <c r="D997" s="3">
        <v>940</v>
      </c>
      <c r="E997" s="3">
        <f>SalesMasterTable[[#This Row],[Sales]]-SalesMasterTable[[#This Row],[Cost Of Sales]]</f>
        <v>3892.6163686702421</v>
      </c>
    </row>
    <row r="998" spans="1:5" x14ac:dyDescent="0.3">
      <c r="A998" s="2">
        <v>42634</v>
      </c>
      <c r="B998" s="3">
        <v>50084.812702065246</v>
      </c>
      <c r="C998" s="3">
        <v>44832.212598977239</v>
      </c>
      <c r="D998" s="3">
        <v>1241</v>
      </c>
      <c r="E998" s="3">
        <f>SalesMasterTable[[#This Row],[Sales]]-SalesMasterTable[[#This Row],[Cost Of Sales]]</f>
        <v>5252.600103088007</v>
      </c>
    </row>
    <row r="999" spans="1:5" x14ac:dyDescent="0.3">
      <c r="A999" s="2">
        <v>42635</v>
      </c>
      <c r="B999" s="3">
        <v>41885.828278280373</v>
      </c>
      <c r="C999" s="3">
        <v>37565.478590927647</v>
      </c>
      <c r="D999" s="3">
        <v>1039</v>
      </c>
      <c r="E999" s="3">
        <f>SalesMasterTable[[#This Row],[Sales]]-SalesMasterTable[[#This Row],[Cost Of Sales]]</f>
        <v>4320.3496873527256</v>
      </c>
    </row>
    <row r="1000" spans="1:5" x14ac:dyDescent="0.3">
      <c r="A1000" s="2">
        <v>42636</v>
      </c>
      <c r="B1000" s="3">
        <v>147503.57315832519</v>
      </c>
      <c r="C1000" s="3">
        <v>131964.51579369849</v>
      </c>
      <c r="D1000" s="3">
        <v>3657</v>
      </c>
      <c r="E1000" s="3">
        <f>SalesMasterTable[[#This Row],[Sales]]-SalesMasterTable[[#This Row],[Cost Of Sales]]</f>
        <v>15539.0573646267</v>
      </c>
    </row>
    <row r="1001" spans="1:5" x14ac:dyDescent="0.3">
      <c r="A1001" s="2">
        <v>42637</v>
      </c>
      <c r="B1001" s="3">
        <v>151639.18384341139</v>
      </c>
      <c r="C1001" s="3">
        <v>135498.16319719431</v>
      </c>
      <c r="D1001" s="3">
        <v>3758</v>
      </c>
      <c r="E1001" s="3">
        <f>SalesMasterTable[[#This Row],[Sales]]-SalesMasterTable[[#This Row],[Cost Of Sales]]</f>
        <v>16141.020646217075</v>
      </c>
    </row>
    <row r="1002" spans="1:5" x14ac:dyDescent="0.3">
      <c r="A1002" s="2">
        <v>42638</v>
      </c>
      <c r="B1002" s="3">
        <v>72457.297587654524</v>
      </c>
      <c r="C1002" s="3">
        <v>64758.504173580448</v>
      </c>
      <c r="D1002" s="3">
        <v>1797</v>
      </c>
      <c r="E1002" s="3">
        <f>SalesMasterTable[[#This Row],[Sales]]-SalesMasterTable[[#This Row],[Cost Of Sales]]</f>
        <v>7698.7934140740763</v>
      </c>
    </row>
    <row r="1003" spans="1:5" x14ac:dyDescent="0.3">
      <c r="A1003" s="2">
        <v>42639</v>
      </c>
      <c r="B1003" s="3">
        <v>67355.061182414633</v>
      </c>
      <c r="C1003" s="3">
        <v>60179.020849316512</v>
      </c>
      <c r="D1003" s="3">
        <v>1671</v>
      </c>
      <c r="E1003" s="3">
        <f>SalesMasterTable[[#This Row],[Sales]]-SalesMasterTable[[#This Row],[Cost Of Sales]]</f>
        <v>7176.0403330981208</v>
      </c>
    </row>
    <row r="1004" spans="1:5" x14ac:dyDescent="0.3">
      <c r="A1004" s="2">
        <v>42640</v>
      </c>
      <c r="B1004" s="3">
        <v>58941.792828474892</v>
      </c>
      <c r="C1004" s="3">
        <v>52812.7825145229</v>
      </c>
      <c r="D1004" s="3">
        <v>1462</v>
      </c>
      <c r="E1004" s="3">
        <f>SalesMasterTable[[#This Row],[Sales]]-SalesMasterTable[[#This Row],[Cost Of Sales]]</f>
        <v>6129.0103139519924</v>
      </c>
    </row>
    <row r="1005" spans="1:5" x14ac:dyDescent="0.3">
      <c r="A1005" s="2">
        <v>42641</v>
      </c>
      <c r="B1005" s="3">
        <v>58796.785015724643</v>
      </c>
      <c r="C1005" s="3">
        <v>57168.560498432882</v>
      </c>
      <c r="D1005" s="3">
        <v>1581</v>
      </c>
      <c r="E1005" s="3">
        <f>SalesMasterTable[[#This Row],[Sales]]-SalesMasterTable[[#This Row],[Cost Of Sales]]</f>
        <v>1628.224517291761</v>
      </c>
    </row>
    <row r="1006" spans="1:5" x14ac:dyDescent="0.3">
      <c r="A1006" s="2">
        <v>42642</v>
      </c>
      <c r="B1006" s="3">
        <v>57019.389671394638</v>
      </c>
      <c r="C1006" s="3">
        <v>55187.383906271898</v>
      </c>
      <c r="D1006" s="3">
        <v>1534</v>
      </c>
      <c r="E1006" s="3">
        <f>SalesMasterTable[[#This Row],[Sales]]-SalesMasterTable[[#This Row],[Cost Of Sales]]</f>
        <v>1832.0057651227398</v>
      </c>
    </row>
    <row r="1007" spans="1:5" x14ac:dyDescent="0.3">
      <c r="A1007" s="2">
        <v>42643</v>
      </c>
      <c r="B1007" s="3">
        <v>155918.3825994826</v>
      </c>
      <c r="C1007" s="3">
        <v>151036.44551858699</v>
      </c>
      <c r="D1007" s="3">
        <v>4216</v>
      </c>
      <c r="E1007" s="3">
        <f>SalesMasterTable[[#This Row],[Sales]]-SalesMasterTable[[#This Row],[Cost Of Sales]]</f>
        <v>4881.9370808956155</v>
      </c>
    </row>
    <row r="1008" spans="1:5" x14ac:dyDescent="0.3">
      <c r="A1008" s="2">
        <v>42644</v>
      </c>
      <c r="B1008" s="3">
        <v>208489.09032479019</v>
      </c>
      <c r="C1008" s="3">
        <v>201416.83759006459</v>
      </c>
      <c r="D1008" s="3">
        <v>5632</v>
      </c>
      <c r="E1008" s="3">
        <f>SalesMasterTable[[#This Row],[Sales]]-SalesMasterTable[[#This Row],[Cost Of Sales]]</f>
        <v>7072.2527347255964</v>
      </c>
    </row>
    <row r="1009" spans="1:5" x14ac:dyDescent="0.3">
      <c r="A1009" s="2">
        <v>42645</v>
      </c>
      <c r="B1009" s="3">
        <v>118580.4725762977</v>
      </c>
      <c r="C1009" s="3">
        <v>113346.95726852609</v>
      </c>
      <c r="D1009" s="3">
        <v>3173</v>
      </c>
      <c r="E1009" s="3">
        <f>SalesMasterTable[[#This Row],[Sales]]-SalesMasterTable[[#This Row],[Cost Of Sales]]</f>
        <v>5233.5153077716095</v>
      </c>
    </row>
    <row r="1010" spans="1:5" x14ac:dyDescent="0.3">
      <c r="A1010" s="2">
        <v>42646</v>
      </c>
      <c r="B1010" s="3">
        <v>142758.8811215114</v>
      </c>
      <c r="C1010" s="3">
        <v>126506.34468214821</v>
      </c>
      <c r="D1010" s="3">
        <v>3540</v>
      </c>
      <c r="E1010" s="3">
        <f>SalesMasterTable[[#This Row],[Sales]]-SalesMasterTable[[#This Row],[Cost Of Sales]]</f>
        <v>16252.53643936319</v>
      </c>
    </row>
    <row r="1011" spans="1:5" x14ac:dyDescent="0.3">
      <c r="A1011" s="2">
        <v>42647</v>
      </c>
      <c r="B1011" s="3">
        <v>96620.986929783307</v>
      </c>
      <c r="C1011" s="3">
        <v>85491.833244422392</v>
      </c>
      <c r="D1011" s="3">
        <v>2397</v>
      </c>
      <c r="E1011" s="3">
        <f>SalesMasterTable[[#This Row],[Sales]]-SalesMasterTable[[#This Row],[Cost Of Sales]]</f>
        <v>11129.153685360914</v>
      </c>
    </row>
    <row r="1012" spans="1:5" x14ac:dyDescent="0.3">
      <c r="A1012" s="2">
        <v>42648</v>
      </c>
      <c r="B1012" s="3">
        <v>78861.594940484283</v>
      </c>
      <c r="C1012" s="3">
        <v>69675.429153985417</v>
      </c>
      <c r="D1012" s="3">
        <v>1955</v>
      </c>
      <c r="E1012" s="3">
        <f>SalesMasterTable[[#This Row],[Sales]]-SalesMasterTable[[#This Row],[Cost Of Sales]]</f>
        <v>9186.1657864988665</v>
      </c>
    </row>
    <row r="1013" spans="1:5" x14ac:dyDescent="0.3">
      <c r="A1013" s="2">
        <v>42649</v>
      </c>
      <c r="B1013" s="3">
        <v>70279.474392869641</v>
      </c>
      <c r="C1013" s="3">
        <v>61976.305791476298</v>
      </c>
      <c r="D1013" s="3">
        <v>1740</v>
      </c>
      <c r="E1013" s="3">
        <f>SalesMasterTable[[#This Row],[Sales]]-SalesMasterTable[[#This Row],[Cost Of Sales]]</f>
        <v>8303.1686013933431</v>
      </c>
    </row>
    <row r="1014" spans="1:5" x14ac:dyDescent="0.3">
      <c r="A1014" s="2">
        <v>42650</v>
      </c>
      <c r="B1014" s="3">
        <v>87748.862891213546</v>
      </c>
      <c r="C1014" s="3">
        <v>77446.609435800405</v>
      </c>
      <c r="D1014" s="3">
        <v>2176</v>
      </c>
      <c r="E1014" s="3">
        <f>SalesMasterTable[[#This Row],[Sales]]-SalesMasterTable[[#This Row],[Cost Of Sales]]</f>
        <v>10302.253455413142</v>
      </c>
    </row>
    <row r="1015" spans="1:5" x14ac:dyDescent="0.3">
      <c r="A1015" s="2">
        <v>42651</v>
      </c>
      <c r="B1015" s="3">
        <v>92053.325769973191</v>
      </c>
      <c r="C1015" s="3">
        <v>81209.248347010551</v>
      </c>
      <c r="D1015" s="3">
        <v>2283</v>
      </c>
      <c r="E1015" s="3">
        <f>SalesMasterTable[[#This Row],[Sales]]-SalesMasterTable[[#This Row],[Cost Of Sales]]</f>
        <v>10844.07742296264</v>
      </c>
    </row>
    <row r="1016" spans="1:5" x14ac:dyDescent="0.3">
      <c r="A1016" s="2">
        <v>42652</v>
      </c>
      <c r="B1016" s="3">
        <v>51751.383246910009</v>
      </c>
      <c r="C1016" s="3">
        <v>45607.234099697387</v>
      </c>
      <c r="D1016" s="3">
        <v>1284</v>
      </c>
      <c r="E1016" s="3">
        <f>SalesMasterTable[[#This Row],[Sales]]-SalesMasterTable[[#This Row],[Cost Of Sales]]</f>
        <v>6144.1491472126218</v>
      </c>
    </row>
    <row r="1017" spans="1:5" x14ac:dyDescent="0.3">
      <c r="A1017" s="2">
        <v>42653</v>
      </c>
      <c r="B1017" s="3">
        <v>50934.983193855121</v>
      </c>
      <c r="C1017" s="3">
        <v>44983.777302442017</v>
      </c>
      <c r="D1017" s="3">
        <v>1263</v>
      </c>
      <c r="E1017" s="3">
        <f>SalesMasterTable[[#This Row],[Sales]]-SalesMasterTable[[#This Row],[Cost Of Sales]]</f>
        <v>5951.2058914131048</v>
      </c>
    </row>
    <row r="1018" spans="1:5" x14ac:dyDescent="0.3">
      <c r="A1018" s="2">
        <v>42654</v>
      </c>
      <c r="B1018" s="3">
        <v>36113.934872670237</v>
      </c>
      <c r="C1018" s="3">
        <v>31885.288450330809</v>
      </c>
      <c r="D1018" s="3">
        <v>896</v>
      </c>
      <c r="E1018" s="3">
        <f>SalesMasterTable[[#This Row],[Sales]]-SalesMasterTable[[#This Row],[Cost Of Sales]]</f>
        <v>4228.6464223394287</v>
      </c>
    </row>
    <row r="1019" spans="1:5" x14ac:dyDescent="0.3">
      <c r="A1019" s="2">
        <v>42655</v>
      </c>
      <c r="B1019" s="3">
        <v>31023.359765175119</v>
      </c>
      <c r="C1019" s="3">
        <v>27817.642466410722</v>
      </c>
      <c r="D1019" s="3">
        <v>768</v>
      </c>
      <c r="E1019" s="3">
        <f>SalesMasterTable[[#This Row],[Sales]]-SalesMasterTable[[#This Row],[Cost Of Sales]]</f>
        <v>3205.7172987643971</v>
      </c>
    </row>
    <row r="1020" spans="1:5" x14ac:dyDescent="0.3">
      <c r="A1020" s="2">
        <v>42656</v>
      </c>
      <c r="B1020" s="3">
        <v>22334.212530659999</v>
      </c>
      <c r="C1020" s="3">
        <v>19704.093150736491</v>
      </c>
      <c r="D1020" s="3">
        <v>521</v>
      </c>
      <c r="E1020" s="3">
        <f>SalesMasterTable[[#This Row],[Sales]]-SalesMasterTable[[#This Row],[Cost Of Sales]]</f>
        <v>2630.1193799235079</v>
      </c>
    </row>
    <row r="1021" spans="1:5" x14ac:dyDescent="0.3">
      <c r="A1021" s="2">
        <v>42657</v>
      </c>
      <c r="B1021" s="3">
        <v>69440.928795190252</v>
      </c>
      <c r="C1021" s="3">
        <v>62070.751184300032</v>
      </c>
      <c r="D1021" s="3">
        <v>1618</v>
      </c>
      <c r="E1021" s="3">
        <f>SalesMasterTable[[#This Row],[Sales]]-SalesMasterTable[[#This Row],[Cost Of Sales]]</f>
        <v>7370.1776108902195</v>
      </c>
    </row>
    <row r="1022" spans="1:5" x14ac:dyDescent="0.3">
      <c r="A1022" s="2">
        <v>42658</v>
      </c>
      <c r="B1022" s="3">
        <v>92159.029791471577</v>
      </c>
      <c r="C1022" s="3">
        <v>83371.817021350085</v>
      </c>
      <c r="D1022" s="3">
        <v>2147</v>
      </c>
      <c r="E1022" s="3">
        <f>SalesMasterTable[[#This Row],[Sales]]-SalesMasterTable[[#This Row],[Cost Of Sales]]</f>
        <v>8787.2127701214922</v>
      </c>
    </row>
    <row r="1023" spans="1:5" x14ac:dyDescent="0.3">
      <c r="A1023" s="2">
        <v>42659</v>
      </c>
      <c r="B1023" s="3">
        <v>57296.28785375024</v>
      </c>
      <c r="C1023" s="3">
        <v>52701.294613812352</v>
      </c>
      <c r="D1023" s="3">
        <v>1335</v>
      </c>
      <c r="E1023" s="3">
        <f>SalesMasterTable[[#This Row],[Sales]]-SalesMasterTable[[#This Row],[Cost Of Sales]]</f>
        <v>4594.9932399378886</v>
      </c>
    </row>
    <row r="1024" spans="1:5" x14ac:dyDescent="0.3">
      <c r="A1024" s="2">
        <v>42660</v>
      </c>
      <c r="B1024" s="3">
        <v>57184.941268830247</v>
      </c>
      <c r="C1024" s="3">
        <v>51764.937371772758</v>
      </c>
      <c r="D1024" s="3">
        <v>1332</v>
      </c>
      <c r="E1024" s="3">
        <f>SalesMasterTable[[#This Row],[Sales]]-SalesMasterTable[[#This Row],[Cost Of Sales]]</f>
        <v>5420.0038970574897</v>
      </c>
    </row>
    <row r="1025" spans="1:5" x14ac:dyDescent="0.3">
      <c r="A1025" s="2">
        <v>42661</v>
      </c>
      <c r="B1025" s="3">
        <v>40951.10427692964</v>
      </c>
      <c r="C1025" s="3">
        <v>37288.624545278682</v>
      </c>
      <c r="D1025" s="3">
        <v>954</v>
      </c>
      <c r="E1025" s="3">
        <f>SalesMasterTable[[#This Row],[Sales]]-SalesMasterTable[[#This Row],[Cost Of Sales]]</f>
        <v>3662.4797316509575</v>
      </c>
    </row>
    <row r="1026" spans="1:5" x14ac:dyDescent="0.3">
      <c r="A1026" s="2">
        <v>42662</v>
      </c>
      <c r="B1026" s="3">
        <v>37672.447294289763</v>
      </c>
      <c r="C1026" s="3">
        <v>33678.459271288069</v>
      </c>
      <c r="D1026" s="3">
        <v>877</v>
      </c>
      <c r="E1026" s="3">
        <f>SalesMasterTable[[#This Row],[Sales]]-SalesMasterTable[[#This Row],[Cost Of Sales]]</f>
        <v>3993.9880230016934</v>
      </c>
    </row>
    <row r="1027" spans="1:5" x14ac:dyDescent="0.3">
      <c r="A1027" s="2">
        <v>42663</v>
      </c>
      <c r="B1027" s="3">
        <v>38648.137519559627</v>
      </c>
      <c r="C1027" s="3">
        <v>35038.068691629327</v>
      </c>
      <c r="D1027" s="3">
        <v>906</v>
      </c>
      <c r="E1027" s="3">
        <f>SalesMasterTable[[#This Row],[Sales]]-SalesMasterTable[[#This Row],[Cost Of Sales]]</f>
        <v>3610.0688279302994</v>
      </c>
    </row>
    <row r="1028" spans="1:5" x14ac:dyDescent="0.3">
      <c r="A1028" s="2">
        <v>42664</v>
      </c>
      <c r="B1028" s="3">
        <v>96020.545374096837</v>
      </c>
      <c r="C1028" s="3">
        <v>86810.277533434695</v>
      </c>
      <c r="D1028" s="3">
        <v>2249</v>
      </c>
      <c r="E1028" s="3">
        <f>SalesMasterTable[[#This Row],[Sales]]-SalesMasterTable[[#This Row],[Cost Of Sales]]</f>
        <v>9210.2678406621417</v>
      </c>
    </row>
    <row r="1029" spans="1:5" x14ac:dyDescent="0.3">
      <c r="A1029" s="2">
        <v>42665</v>
      </c>
      <c r="B1029" s="3">
        <v>105662.59415837259</v>
      </c>
      <c r="C1029" s="3">
        <v>95930.016514689429</v>
      </c>
      <c r="D1029" s="3">
        <v>2472</v>
      </c>
      <c r="E1029" s="3">
        <f>SalesMasterTable[[#This Row],[Sales]]-SalesMasterTable[[#This Row],[Cost Of Sales]]</f>
        <v>9732.5776436831657</v>
      </c>
    </row>
    <row r="1030" spans="1:5" x14ac:dyDescent="0.3">
      <c r="A1030" s="2">
        <v>42666</v>
      </c>
      <c r="B1030" s="3">
        <v>54738.483516835127</v>
      </c>
      <c r="C1030" s="3">
        <v>49990.519289317977</v>
      </c>
      <c r="D1030" s="3">
        <v>1280</v>
      </c>
      <c r="E1030" s="3">
        <f>SalesMasterTable[[#This Row],[Sales]]-SalesMasterTable[[#This Row],[Cost Of Sales]]</f>
        <v>4747.96422751715</v>
      </c>
    </row>
    <row r="1031" spans="1:5" x14ac:dyDescent="0.3">
      <c r="A1031" s="2">
        <v>42667</v>
      </c>
      <c r="B1031" s="3">
        <v>40131.573511264643</v>
      </c>
      <c r="C1031" s="3">
        <v>36347.698715160222</v>
      </c>
      <c r="D1031" s="3">
        <v>940</v>
      </c>
      <c r="E1031" s="3">
        <f>SalesMasterTable[[#This Row],[Sales]]-SalesMasterTable[[#This Row],[Cost Of Sales]]</f>
        <v>3783.874796104421</v>
      </c>
    </row>
    <row r="1032" spans="1:5" x14ac:dyDescent="0.3">
      <c r="A1032" s="2">
        <v>42668</v>
      </c>
      <c r="B1032" s="3">
        <v>70402.991926425369</v>
      </c>
      <c r="C1032" s="3">
        <v>63452.761037813718</v>
      </c>
      <c r="D1032" s="3">
        <v>1650</v>
      </c>
      <c r="E1032" s="3">
        <f>SalesMasterTable[[#This Row],[Sales]]-SalesMasterTable[[#This Row],[Cost Of Sales]]</f>
        <v>6950.2308886116516</v>
      </c>
    </row>
    <row r="1033" spans="1:5" x14ac:dyDescent="0.3">
      <c r="A1033" s="2">
        <v>42669</v>
      </c>
      <c r="B1033" s="3">
        <v>62501.740698760252</v>
      </c>
      <c r="C1033" s="3">
        <v>56100.874288607927</v>
      </c>
      <c r="D1033" s="3">
        <v>1467</v>
      </c>
      <c r="E1033" s="3">
        <f>SalesMasterTable[[#This Row],[Sales]]-SalesMasterTable[[#This Row],[Cost Of Sales]]</f>
        <v>6400.8664101523245</v>
      </c>
    </row>
    <row r="1034" spans="1:5" x14ac:dyDescent="0.3">
      <c r="A1034" s="2">
        <v>42670</v>
      </c>
      <c r="B1034" s="3">
        <v>53675.218280300003</v>
      </c>
      <c r="C1034" s="3">
        <v>48201.940975749021</v>
      </c>
      <c r="D1034" s="3">
        <v>1257</v>
      </c>
      <c r="E1034" s="3">
        <f>SalesMasterTable[[#This Row],[Sales]]-SalesMasterTable[[#This Row],[Cost Of Sales]]</f>
        <v>5473.2773045509821</v>
      </c>
    </row>
    <row r="1035" spans="1:5" x14ac:dyDescent="0.3">
      <c r="A1035" s="2">
        <v>42671</v>
      </c>
      <c r="B1035" s="3">
        <v>102606.3269819471</v>
      </c>
      <c r="C1035" s="3">
        <v>92657.699525096017</v>
      </c>
      <c r="D1035" s="3">
        <v>2405</v>
      </c>
      <c r="E1035" s="3">
        <f>SalesMasterTable[[#This Row],[Sales]]-SalesMasterTable[[#This Row],[Cost Of Sales]]</f>
        <v>9948.6274568510853</v>
      </c>
    </row>
    <row r="1036" spans="1:5" x14ac:dyDescent="0.3">
      <c r="A1036" s="2">
        <v>42672</v>
      </c>
      <c r="B1036" s="3">
        <v>124988.1554671887</v>
      </c>
      <c r="C1036" s="3">
        <v>113187.8460229753</v>
      </c>
      <c r="D1036" s="3">
        <v>2929</v>
      </c>
      <c r="E1036" s="3">
        <f>SalesMasterTable[[#This Row],[Sales]]-SalesMasterTable[[#This Row],[Cost Of Sales]]</f>
        <v>11800.309444213402</v>
      </c>
    </row>
    <row r="1037" spans="1:5" x14ac:dyDescent="0.3">
      <c r="A1037" s="2">
        <v>42673</v>
      </c>
      <c r="B1037" s="3">
        <v>67521.037488925373</v>
      </c>
      <c r="C1037" s="3">
        <v>61233.718874185091</v>
      </c>
      <c r="D1037" s="3">
        <v>1582</v>
      </c>
      <c r="E1037" s="3">
        <f>SalesMasterTable[[#This Row],[Sales]]-SalesMasterTable[[#This Row],[Cost Of Sales]]</f>
        <v>6287.3186147402812</v>
      </c>
    </row>
    <row r="1038" spans="1:5" x14ac:dyDescent="0.3">
      <c r="A1038" s="2">
        <v>42674</v>
      </c>
      <c r="B1038" s="3">
        <v>70020.596009840374</v>
      </c>
      <c r="C1038" s="3">
        <v>62316.15133820178</v>
      </c>
      <c r="D1038" s="3">
        <v>1639</v>
      </c>
      <c r="E1038" s="3">
        <f>SalesMasterTable[[#This Row],[Sales]]-SalesMasterTable[[#This Row],[Cost Of Sales]]</f>
        <v>7704.4446716385937</v>
      </c>
    </row>
    <row r="1039" spans="1:5" x14ac:dyDescent="0.3">
      <c r="A1039" s="2">
        <v>42675</v>
      </c>
      <c r="B1039" s="3">
        <v>126954.1701789974</v>
      </c>
      <c r="C1039" s="3">
        <v>110698.74289754211</v>
      </c>
      <c r="D1039" s="3">
        <v>2971</v>
      </c>
      <c r="E1039" s="3">
        <f>SalesMasterTable[[#This Row],[Sales]]-SalesMasterTable[[#This Row],[Cost Of Sales]]</f>
        <v>16255.427281455297</v>
      </c>
    </row>
    <row r="1040" spans="1:5" x14ac:dyDescent="0.3">
      <c r="A1040" s="2">
        <v>42676</v>
      </c>
      <c r="B1040" s="3">
        <v>97558.247051041471</v>
      </c>
      <c r="C1040" s="3">
        <v>86203.875203719464</v>
      </c>
      <c r="D1040" s="3">
        <v>2284</v>
      </c>
      <c r="E1040" s="3">
        <f>SalesMasterTable[[#This Row],[Sales]]-SalesMasterTable[[#This Row],[Cost Of Sales]]</f>
        <v>11354.371847322007</v>
      </c>
    </row>
    <row r="1041" spans="1:7" x14ac:dyDescent="0.3">
      <c r="A1041" s="2">
        <v>42677</v>
      </c>
      <c r="B1041" s="3">
        <v>97039.009870491587</v>
      </c>
      <c r="C1041" s="3">
        <v>89413.415966019093</v>
      </c>
      <c r="D1041" s="3">
        <v>2266</v>
      </c>
      <c r="E1041" s="3">
        <f>SalesMasterTable[[#This Row],[Sales]]-SalesMasterTable[[#This Row],[Cost Of Sales]]</f>
        <v>7625.5939044724946</v>
      </c>
    </row>
    <row r="1042" spans="1:7" x14ac:dyDescent="0.3">
      <c r="A1042" s="2">
        <v>42678</v>
      </c>
      <c r="B1042" s="3">
        <v>168349.26532293609</v>
      </c>
      <c r="C1042" s="3">
        <v>156675.5901244042</v>
      </c>
      <c r="D1042" s="3">
        <v>3938</v>
      </c>
      <c r="E1042" s="3">
        <f>SalesMasterTable[[#This Row],[Sales]]-SalesMasterTable[[#This Row],[Cost Of Sales]]</f>
        <v>11673.675198531884</v>
      </c>
    </row>
    <row r="1043" spans="1:7" x14ac:dyDescent="0.3">
      <c r="A1043" s="2">
        <v>42679</v>
      </c>
      <c r="B1043" s="3">
        <v>202017.4219781323</v>
      </c>
      <c r="C1043" s="3">
        <v>189394.69373774901</v>
      </c>
      <c r="D1043" s="3">
        <v>4720</v>
      </c>
      <c r="E1043" s="3">
        <f>SalesMasterTable[[#This Row],[Sales]]-SalesMasterTable[[#This Row],[Cost Of Sales]]</f>
        <v>12622.728240383294</v>
      </c>
    </row>
    <row r="1044" spans="1:7" x14ac:dyDescent="0.3">
      <c r="A1044" s="2">
        <v>42680</v>
      </c>
      <c r="B1044" s="3">
        <v>108459.00005362221</v>
      </c>
      <c r="C1044" s="3">
        <v>102250.16777596821</v>
      </c>
      <c r="D1044" s="3">
        <v>2537</v>
      </c>
      <c r="E1044" s="3">
        <f>SalesMasterTable[[#This Row],[Sales]]-SalesMasterTable[[#This Row],[Cost Of Sales]]</f>
        <v>6208.8322776540008</v>
      </c>
    </row>
    <row r="1045" spans="1:7" x14ac:dyDescent="0.3">
      <c r="A1045" s="2">
        <v>42681</v>
      </c>
      <c r="B1045" s="3">
        <v>112536.3770572526</v>
      </c>
      <c r="C1045" s="3">
        <v>105978.4824783128</v>
      </c>
      <c r="D1045" s="3">
        <v>2621</v>
      </c>
      <c r="E1045" s="3">
        <f>SalesMasterTable[[#This Row],[Sales]]-SalesMasterTable[[#This Row],[Cost Of Sales]]</f>
        <v>6557.8945789397985</v>
      </c>
    </row>
    <row r="1046" spans="1:7" x14ac:dyDescent="0.3">
      <c r="A1046" s="2">
        <v>42682</v>
      </c>
      <c r="B1046" s="3">
        <v>100479.92998887179</v>
      </c>
      <c r="C1046" s="3">
        <v>94692.479289428011</v>
      </c>
      <c r="D1046" s="3">
        <v>2341</v>
      </c>
      <c r="E1046" s="3">
        <f>SalesMasterTable[[#This Row],[Sales]]-SalesMasterTable[[#This Row],[Cost Of Sales]]</f>
        <v>5787.4506994437834</v>
      </c>
    </row>
    <row r="1047" spans="1:7" x14ac:dyDescent="0.3">
      <c r="A1047" s="2">
        <v>42683</v>
      </c>
      <c r="B1047" s="3">
        <v>81649.688672410848</v>
      </c>
      <c r="C1047" s="3">
        <v>77081.66057395043</v>
      </c>
      <c r="D1047" s="3">
        <v>1901</v>
      </c>
      <c r="E1047" s="3">
        <f>SalesMasterTable[[#This Row],[Sales]]-SalesMasterTable[[#This Row],[Cost Of Sales]]</f>
        <v>4568.0280984604178</v>
      </c>
    </row>
    <row r="1048" spans="1:7" x14ac:dyDescent="0.3">
      <c r="A1048" s="2">
        <v>42684</v>
      </c>
      <c r="B1048" s="3">
        <v>71529.162644240496</v>
      </c>
      <c r="C1048" s="3">
        <v>67551.25097109293</v>
      </c>
      <c r="D1048" s="3">
        <v>1666</v>
      </c>
      <c r="E1048" s="3">
        <f>SalesMasterTable[[#This Row],[Sales]]-SalesMasterTable[[#This Row],[Cost Of Sales]]</f>
        <v>3977.911673147566</v>
      </c>
    </row>
    <row r="1049" spans="1:7" x14ac:dyDescent="0.3">
      <c r="A1049" s="2">
        <v>42685</v>
      </c>
      <c r="B1049" s="3">
        <v>160938.60161507491</v>
      </c>
      <c r="C1049" s="3">
        <v>152555.41733723061</v>
      </c>
      <c r="D1049" s="3">
        <v>3748</v>
      </c>
      <c r="E1049" s="3">
        <f>SalesMasterTable[[#This Row],[Sales]]-SalesMasterTable[[#This Row],[Cost Of Sales]]</f>
        <v>8383.1842778442951</v>
      </c>
    </row>
    <row r="1050" spans="1:7" x14ac:dyDescent="0.3">
      <c r="A1050" s="2">
        <v>42686</v>
      </c>
      <c r="B1050" s="3">
        <v>164998.84464116491</v>
      </c>
      <c r="C1050" s="3">
        <v>156263.1494739097</v>
      </c>
      <c r="D1050" s="3">
        <v>3843</v>
      </c>
      <c r="E1050" s="3">
        <f>SalesMasterTable[[#This Row],[Sales]]-SalesMasterTable[[#This Row],[Cost Of Sales]]</f>
        <v>8735.6951672552095</v>
      </c>
    </row>
    <row r="1051" spans="1:7" x14ac:dyDescent="0.3">
      <c r="A1051" s="2">
        <v>42687</v>
      </c>
      <c r="B1051" s="3">
        <v>97946.783047396821</v>
      </c>
      <c r="C1051" s="3">
        <v>93112.608909273331</v>
      </c>
      <c r="D1051" s="3">
        <v>2281</v>
      </c>
      <c r="E1051" s="3">
        <f>SalesMasterTable[[#This Row],[Sales]]-SalesMasterTable[[#This Row],[Cost Of Sales]]</f>
        <v>4834.1741381234897</v>
      </c>
    </row>
    <row r="1052" spans="1:7" x14ac:dyDescent="0.3">
      <c r="A1052" s="2">
        <v>42688</v>
      </c>
      <c r="B1052" s="3">
        <v>87834.253684381343</v>
      </c>
      <c r="C1052" s="3">
        <v>83068.269026507172</v>
      </c>
      <c r="D1052" s="3">
        <v>2046</v>
      </c>
      <c r="E1052" s="3">
        <f>SalesMasterTable[[#This Row],[Sales]]-SalesMasterTable[[#This Row],[Cost Of Sales]]</f>
        <v>4765.9846578741708</v>
      </c>
    </row>
    <row r="1053" spans="1:7" x14ac:dyDescent="0.3">
      <c r="A1053" s="2">
        <v>42689</v>
      </c>
      <c r="B1053" s="3">
        <v>95509.134975070017</v>
      </c>
      <c r="C1053" s="3">
        <v>88104.204530400457</v>
      </c>
      <c r="D1053" s="3">
        <v>2181</v>
      </c>
      <c r="E1053" s="3">
        <f>SalesMasterTable[[#This Row],[Sales]]-SalesMasterTable[[#This Row],[Cost Of Sales]]</f>
        <v>7404.9304446695605</v>
      </c>
    </row>
    <row r="1054" spans="1:7" x14ac:dyDescent="0.3">
      <c r="A1054" s="2">
        <v>42690</v>
      </c>
      <c r="B1054" s="3">
        <v>77229.971885239516</v>
      </c>
      <c r="C1054" s="3">
        <v>71428.870002172305</v>
      </c>
      <c r="D1054" s="3">
        <v>1763</v>
      </c>
      <c r="E1054" s="3">
        <f>SalesMasterTable[[#This Row],[Sales]]-SalesMasterTable[[#This Row],[Cost Of Sales]]</f>
        <v>5801.101883067211</v>
      </c>
    </row>
    <row r="1055" spans="1:7" x14ac:dyDescent="0.3">
      <c r="B1055" s="3">
        <f>SUBTOTAL(109,SalesMasterTable[Sales])</f>
        <v>186909828.25648293</v>
      </c>
      <c r="C1055" s="3">
        <f>SUBTOTAL(109,SalesMasterTable[Cost Of Sales])</f>
        <v>194026109.44650924</v>
      </c>
      <c r="D1055" s="26">
        <f>SUBTOTAL(109,SalesMasterTable[Quantity Sold])</f>
        <v>5279872</v>
      </c>
      <c r="E1055" s="26">
        <f>SUBTOTAL(109,SalesMasterTable[Gross Profit])</f>
        <v>-7116281.1900259992</v>
      </c>
      <c r="G1055" s="21"/>
    </row>
    <row r="1056" spans="1:7" x14ac:dyDescent="0.3">
      <c r="B1056" s="3"/>
      <c r="C1056" s="3"/>
      <c r="G1056" s="21"/>
    </row>
    <row r="1057" spans="1:6" x14ac:dyDescent="0.3">
      <c r="B1057" s="25" t="s">
        <v>1</v>
      </c>
      <c r="C1057" s="25" t="s">
        <v>3</v>
      </c>
      <c r="D1057" s="25" t="s">
        <v>12</v>
      </c>
    </row>
    <row r="1058" spans="1:6" x14ac:dyDescent="0.3">
      <c r="A1058" t="s">
        <v>12</v>
      </c>
      <c r="B1058" s="3">
        <f>B1061</f>
        <v>186909828.25648293</v>
      </c>
      <c r="C1058">
        <f>SalesMasterTable[[#Totals],[Quantity Sold]]</f>
        <v>5279872</v>
      </c>
      <c r="D1058" s="24">
        <f>B1058/C1058</f>
        <v>35.400446877591527</v>
      </c>
    </row>
    <row r="1059" spans="1:6" x14ac:dyDescent="0.3">
      <c r="B1059" s="3"/>
    </row>
    <row r="1060" spans="1:6" x14ac:dyDescent="0.3">
      <c r="B1060" s="19" t="s">
        <v>1</v>
      </c>
      <c r="C1060" s="19" t="s">
        <v>5</v>
      </c>
      <c r="D1060" s="19" t="s">
        <v>6</v>
      </c>
    </row>
    <row r="1061" spans="1:6" x14ac:dyDescent="0.3">
      <c r="A1061" t="s">
        <v>6</v>
      </c>
      <c r="B1061" s="3">
        <f>SalesMasterTable[[#Totals],[Sales]]</f>
        <v>186909828.25648293</v>
      </c>
      <c r="C1061" s="3">
        <f>SalesMasterTable[[#Totals],[Sales]]-SalesMasterTable[[#Totals],[Cost Of Sales]]</f>
        <v>-7116281.1900263131</v>
      </c>
      <c r="D1061" s="24">
        <f>SalesMasterTable[[#Totals],[Gross Profit]]/SalesMasterTable[[#Totals],[Sales]]*100</f>
        <v>-3.8073338659649494</v>
      </c>
      <c r="F1061" s="20"/>
    </row>
  </sheetData>
  <phoneticPr fontId="11" type="noConversion"/>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6B281-C883-4104-9F11-B385800477AE}">
  <dimension ref="A1:F10"/>
  <sheetViews>
    <sheetView workbookViewId="0">
      <selection activeCell="H7" sqref="H7"/>
    </sheetView>
  </sheetViews>
  <sheetFormatPr defaultRowHeight="14.4" x14ac:dyDescent="0.3"/>
  <cols>
    <col min="1" max="1" width="12.109375" customWidth="1"/>
    <col min="2" max="2" width="13.5546875" customWidth="1"/>
    <col min="3" max="3" width="13.33203125" customWidth="1"/>
    <col min="4" max="4" width="12.6640625" customWidth="1"/>
    <col min="5" max="5" width="12.5546875" customWidth="1"/>
    <col min="6" max="6" width="14.109375" customWidth="1"/>
  </cols>
  <sheetData>
    <row r="1" spans="1:6" x14ac:dyDescent="0.3">
      <c r="A1" s="42" t="s">
        <v>0</v>
      </c>
      <c r="B1" s="43" t="s">
        <v>1</v>
      </c>
      <c r="C1" s="43" t="s">
        <v>2</v>
      </c>
      <c r="D1" s="19" t="s">
        <v>5</v>
      </c>
      <c r="E1" s="22" t="s">
        <v>6</v>
      </c>
      <c r="F1" s="43" t="s">
        <v>3</v>
      </c>
    </row>
    <row r="2" spans="1:6" x14ac:dyDescent="0.3">
      <c r="A2" s="44">
        <v>41638</v>
      </c>
      <c r="B2" s="45">
        <v>223937.9678697265</v>
      </c>
      <c r="C2" s="45">
        <v>230079.62101244801</v>
      </c>
      <c r="D2" s="46">
        <f>SalesMasterTable[[#This Row],[Sales]]-SalesMasterTable[[#This Row],[Cost Of Sales]]</f>
        <v>-6141.6531427215086</v>
      </c>
      <c r="E2" s="23">
        <v>-2.7425689360074702E-2</v>
      </c>
      <c r="F2" s="45">
        <v>6827</v>
      </c>
    </row>
    <row r="3" spans="1:6" x14ac:dyDescent="0.3">
      <c r="A3" s="47">
        <v>41639</v>
      </c>
      <c r="B3" s="48">
        <v>300345.48456398572</v>
      </c>
      <c r="C3" s="48">
        <v>306986.12048428319</v>
      </c>
      <c r="D3" s="49">
        <f>SalesMasterTable[[#This Row],[Sales]]-SalesMasterTable[[#This Row],[Cost Of Sales]]</f>
        <v>-6640.6359202974709</v>
      </c>
      <c r="E3" s="23">
        <v>-2.2109990865811557E-2</v>
      </c>
      <c r="F3" s="48">
        <v>9268</v>
      </c>
    </row>
    <row r="4" spans="1:6" x14ac:dyDescent="0.3">
      <c r="A4" s="44">
        <v>41640</v>
      </c>
      <c r="B4" s="45">
        <v>86782.467727417796</v>
      </c>
      <c r="C4" s="45">
        <v>87986.318214449886</v>
      </c>
      <c r="D4" s="46">
        <f>SalesMasterTable[[#This Row],[Sales]]-SalesMasterTable[[#This Row],[Cost Of Sales]]</f>
        <v>-1203.8504870320903</v>
      </c>
      <c r="E4" s="23">
        <v>-1.387204718369341E-2</v>
      </c>
      <c r="F4" s="45">
        <v>2678</v>
      </c>
    </row>
    <row r="5" spans="1:6" x14ac:dyDescent="0.3">
      <c r="A5" s="47">
        <v>41641</v>
      </c>
      <c r="B5" s="48">
        <v>200173.11675267719</v>
      </c>
      <c r="C5" s="48">
        <v>202881.17770623259</v>
      </c>
      <c r="D5" s="49">
        <f>SalesMasterTable[[#This Row],[Sales]]-SalesMasterTable[[#This Row],[Cost Of Sales]]</f>
        <v>-2708.0609535553958</v>
      </c>
      <c r="E5" s="23">
        <v>-1.3528594635918698E-2</v>
      </c>
      <c r="F5" s="48">
        <v>6175</v>
      </c>
    </row>
    <row r="6" spans="1:6" x14ac:dyDescent="0.3">
      <c r="A6" s="44">
        <v>41642</v>
      </c>
      <c r="B6" s="45">
        <v>326906.07417633059</v>
      </c>
      <c r="C6" s="45">
        <v>333806.29187335481</v>
      </c>
      <c r="D6" s="46">
        <f>SalesMasterTable[[#This Row],[Sales]]-SalesMasterTable[[#This Row],[Cost Of Sales]]</f>
        <v>-6900.217697024229</v>
      </c>
      <c r="E6" s="23">
        <v>-2.1107646024656933E-2</v>
      </c>
      <c r="F6" s="45">
        <v>10084</v>
      </c>
    </row>
    <row r="7" spans="1:6" x14ac:dyDescent="0.3">
      <c r="A7" s="47">
        <v>41643</v>
      </c>
      <c r="B7" s="48">
        <v>307043.93542216189</v>
      </c>
      <c r="C7" s="48">
        <v>313652.34827236348</v>
      </c>
      <c r="D7" s="49">
        <f>SalesMasterTable[[#This Row],[Sales]]-SalesMasterTable[[#This Row],[Cost Of Sales]]</f>
        <v>-6608.4128502015956</v>
      </c>
      <c r="E7" s="23">
        <v>-2.1522694597812312E-2</v>
      </c>
      <c r="F7" s="48">
        <v>9470</v>
      </c>
    </row>
    <row r="8" spans="1:6" x14ac:dyDescent="0.3">
      <c r="A8" s="44">
        <v>41644</v>
      </c>
      <c r="B8" s="45">
        <v>179188.8844878097</v>
      </c>
      <c r="C8" s="45">
        <v>183083.28498402701</v>
      </c>
      <c r="D8" s="46">
        <f>SalesMasterTable[[#This Row],[Sales]]-SalesMasterTable[[#This Row],[Cost Of Sales]]</f>
        <v>-3894.4004962173058</v>
      </c>
      <c r="E8" s="23">
        <v>-2.1733493722833258E-2</v>
      </c>
      <c r="F8" s="45">
        <v>5524</v>
      </c>
    </row>
    <row r="9" spans="1:6" x14ac:dyDescent="0.3">
      <c r="A9" s="47">
        <v>41645</v>
      </c>
      <c r="B9" s="48">
        <v>306351.95085899188</v>
      </c>
      <c r="C9" s="48">
        <v>313446.06814884301</v>
      </c>
      <c r="D9" s="49">
        <f>SalesMasterTable[[#This Row],[Sales]]-SalesMasterTable[[#This Row],[Cost Of Sales]]</f>
        <v>-7094.1172898511286</v>
      </c>
      <c r="E9" s="23">
        <v>-2.3156755718250408E-2</v>
      </c>
      <c r="F9" s="48">
        <v>9448</v>
      </c>
    </row>
    <row r="10" spans="1:6" x14ac:dyDescent="0.3">
      <c r="A10" s="44">
        <v>41646</v>
      </c>
      <c r="B10" s="45">
        <v>224020.40996847831</v>
      </c>
      <c r="C10" s="45">
        <v>229533.9737283797</v>
      </c>
      <c r="D10" s="46">
        <f>SalesMasterTable[[#This Row],[Sales]]-SalesMasterTable[[#This Row],[Cost Of Sales]]</f>
        <v>-5513.5637599013862</v>
      </c>
      <c r="E10" s="23">
        <v>-2.4611881393651561E-2</v>
      </c>
      <c r="F10" s="45">
        <v>6911</v>
      </c>
    </row>
  </sheetData>
  <conditionalFormatting sqref="E2:E1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BB18C-09A4-4CA4-9EB5-12799CCA98E0}">
  <dimension ref="A2:A8"/>
  <sheetViews>
    <sheetView workbookViewId="0">
      <selection activeCell="A7" sqref="A7"/>
    </sheetView>
  </sheetViews>
  <sheetFormatPr defaultRowHeight="14.4" x14ac:dyDescent="0.3"/>
  <cols>
    <col min="1" max="1" width="22.44140625" bestFit="1" customWidth="1"/>
    <col min="2" max="2" width="19.21875" bestFit="1" customWidth="1"/>
  </cols>
  <sheetData>
    <row r="2" spans="1:1" x14ac:dyDescent="0.3">
      <c r="A2" t="s">
        <v>5</v>
      </c>
    </row>
    <row r="3" spans="1:1" x14ac:dyDescent="0.3">
      <c r="A3" t="s">
        <v>23</v>
      </c>
    </row>
    <row r="4" spans="1:1" x14ac:dyDescent="0.3">
      <c r="A4" s="3">
        <v>-7116281.1900259992</v>
      </c>
    </row>
    <row r="6" spans="1:1" x14ac:dyDescent="0.3">
      <c r="A6" t="s">
        <v>6</v>
      </c>
    </row>
    <row r="7" spans="1:1" x14ac:dyDescent="0.3">
      <c r="A7" s="18" t="s">
        <v>24</v>
      </c>
    </row>
    <row r="8" spans="1:1" x14ac:dyDescent="0.3">
      <c r="A8" s="5">
        <v>-8.7497665354086332E-3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6B241-9824-4CD3-BCD0-463BD606BBF3}">
  <dimension ref="A1:C22"/>
  <sheetViews>
    <sheetView workbookViewId="0">
      <selection activeCell="S12" sqref="S12"/>
    </sheetView>
  </sheetViews>
  <sheetFormatPr defaultRowHeight="14.4" x14ac:dyDescent="0.3"/>
  <cols>
    <col min="1" max="1" width="13.6640625" bestFit="1" customWidth="1"/>
    <col min="2" max="2" width="18.44140625" bestFit="1" customWidth="1"/>
    <col min="3" max="3" width="12" bestFit="1" customWidth="1"/>
  </cols>
  <sheetData>
    <row r="1" spans="1:3" x14ac:dyDescent="0.3">
      <c r="A1" s="12" t="s">
        <v>61</v>
      </c>
      <c r="B1" t="s">
        <v>60</v>
      </c>
    </row>
    <row r="3" spans="1:3" x14ac:dyDescent="0.3">
      <c r="A3" s="12" t="s">
        <v>25</v>
      </c>
      <c r="B3" t="s">
        <v>22</v>
      </c>
      <c r="C3" t="s">
        <v>19</v>
      </c>
    </row>
    <row r="4" spans="1:3" x14ac:dyDescent="0.3">
      <c r="A4" s="14" t="s">
        <v>27</v>
      </c>
      <c r="B4" s="38">
        <v>537065.74149673118</v>
      </c>
      <c r="C4" s="38">
        <v>524283.4524337122</v>
      </c>
    </row>
    <row r="5" spans="1:3" x14ac:dyDescent="0.3">
      <c r="A5" s="14" t="s">
        <v>28</v>
      </c>
      <c r="B5" s="38">
        <v>77680849.70107311</v>
      </c>
      <c r="C5" s="38">
        <v>75414975.711700588</v>
      </c>
    </row>
    <row r="6" spans="1:3" x14ac:dyDescent="0.3">
      <c r="A6" s="14" t="s">
        <v>29</v>
      </c>
      <c r="B6" s="38">
        <v>67917203.833992675</v>
      </c>
      <c r="C6" s="38">
        <v>64017593.387223274</v>
      </c>
    </row>
    <row r="7" spans="1:3" x14ac:dyDescent="0.3">
      <c r="A7" s="14" t="s">
        <v>30</v>
      </c>
      <c r="B7" s="38">
        <v>47890990.169946611</v>
      </c>
      <c r="C7" s="38">
        <v>46952975.705125488</v>
      </c>
    </row>
    <row r="8" spans="1:3" x14ac:dyDescent="0.3">
      <c r="A8" s="14" t="s">
        <v>26</v>
      </c>
      <c r="B8" s="38">
        <v>194026109.44650912</v>
      </c>
      <c r="C8" s="38">
        <v>186909828.25648305</v>
      </c>
    </row>
    <row r="17" spans="1:3" x14ac:dyDescent="0.3">
      <c r="A17" s="10" t="s">
        <v>25</v>
      </c>
      <c r="B17" s="10" t="s">
        <v>22</v>
      </c>
      <c r="C17" s="10" t="s">
        <v>19</v>
      </c>
    </row>
    <row r="18" spans="1:3" x14ac:dyDescent="0.3">
      <c r="A18" s="14" t="s">
        <v>27</v>
      </c>
      <c r="B18">
        <v>537065.74149673118</v>
      </c>
      <c r="C18">
        <v>524283.4524337122</v>
      </c>
    </row>
    <row r="19" spans="1:3" x14ac:dyDescent="0.3">
      <c r="A19" s="14" t="s">
        <v>28</v>
      </c>
      <c r="B19">
        <v>77680849.70107311</v>
      </c>
      <c r="C19">
        <v>75414975.711700588</v>
      </c>
    </row>
    <row r="20" spans="1:3" x14ac:dyDescent="0.3">
      <c r="A20" s="14" t="s">
        <v>29</v>
      </c>
      <c r="B20">
        <v>67917203.833992675</v>
      </c>
      <c r="C20">
        <v>64017593.387223274</v>
      </c>
    </row>
    <row r="21" spans="1:3" x14ac:dyDescent="0.3">
      <c r="A21" s="14" t="s">
        <v>30</v>
      </c>
      <c r="B21">
        <v>47890990.169946611</v>
      </c>
      <c r="C21">
        <v>46952975.705125488</v>
      </c>
    </row>
    <row r="22" spans="1:3" x14ac:dyDescent="0.3">
      <c r="A22" s="27" t="s">
        <v>26</v>
      </c>
      <c r="B22" s="28">
        <v>194026109.44650912</v>
      </c>
      <c r="C22" s="28">
        <v>186909828.25648305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61"/>
  <sheetViews>
    <sheetView workbookViewId="0">
      <pane ySplit="1" topLeftCell="A2" activePane="bottomLeft" state="frozen"/>
      <selection pane="bottomLeft" activeCell="G1" sqref="G1:G10"/>
    </sheetView>
  </sheetViews>
  <sheetFormatPr defaultRowHeight="14.4" x14ac:dyDescent="0.3"/>
  <cols>
    <col min="1" max="5" width="20" customWidth="1"/>
    <col min="6" max="6" width="20" style="17" customWidth="1"/>
    <col min="7" max="7" width="20" style="23" customWidth="1"/>
    <col min="8" max="8" width="20" customWidth="1"/>
  </cols>
  <sheetData>
    <row r="1" spans="1:8" x14ac:dyDescent="0.3">
      <c r="A1" s="4" t="s">
        <v>0</v>
      </c>
      <c r="B1" s="4" t="s">
        <v>1</v>
      </c>
      <c r="C1" s="4" t="s">
        <v>2</v>
      </c>
      <c r="D1" s="4" t="s">
        <v>3</v>
      </c>
      <c r="E1" s="4" t="s">
        <v>4</v>
      </c>
      <c r="F1" s="15" t="s">
        <v>5</v>
      </c>
      <c r="G1" s="22" t="s">
        <v>6</v>
      </c>
      <c r="H1" s="4" t="s">
        <v>7</v>
      </c>
    </row>
    <row r="2" spans="1:8" x14ac:dyDescent="0.3">
      <c r="A2" s="2">
        <v>41638</v>
      </c>
      <c r="B2" s="3">
        <v>223937.9678697265</v>
      </c>
      <c r="C2" s="3">
        <v>230079.62101244801</v>
      </c>
      <c r="D2">
        <v>6827</v>
      </c>
      <c r="E2" s="3">
        <f t="shared" ref="E2:E65" si="0">B2/D2</f>
        <v>32.801811611209388</v>
      </c>
      <c r="F2" s="16">
        <f t="shared" ref="F2:F65" si="1">B2-C2</f>
        <v>-6141.6531427215086</v>
      </c>
      <c r="G2" s="23">
        <f>F2/B2</f>
        <v>-2.7425689360074702E-2</v>
      </c>
      <c r="H2" s="3">
        <f t="shared" ref="H2:H65" si="2">F2/D2</f>
        <v>-0.89961229569672019</v>
      </c>
    </row>
    <row r="3" spans="1:8" x14ac:dyDescent="0.3">
      <c r="A3" s="2">
        <v>41639</v>
      </c>
      <c r="B3" s="3">
        <v>300345.48456398572</v>
      </c>
      <c r="C3" s="3">
        <v>306986.12048428319</v>
      </c>
      <c r="D3">
        <v>9268</v>
      </c>
      <c r="E3" s="3">
        <f t="shared" si="0"/>
        <v>32.40672038886337</v>
      </c>
      <c r="F3" s="16">
        <f t="shared" si="1"/>
        <v>-6640.6359202974709</v>
      </c>
      <c r="G3" s="23">
        <f t="shared" ref="G3:G65" si="3">F3/B3</f>
        <v>-2.2109990865811557E-2</v>
      </c>
      <c r="H3" s="3">
        <f t="shared" si="2"/>
        <v>-0.71651229178867837</v>
      </c>
    </row>
    <row r="4" spans="1:8" x14ac:dyDescent="0.3">
      <c r="A4" s="2">
        <v>41640</v>
      </c>
      <c r="B4" s="3">
        <v>86782.467727417796</v>
      </c>
      <c r="C4" s="3">
        <v>87986.318214449886</v>
      </c>
      <c r="D4">
        <v>2678</v>
      </c>
      <c r="E4" s="3">
        <f t="shared" si="0"/>
        <v>32.405701167818442</v>
      </c>
      <c r="F4" s="16">
        <f t="shared" si="1"/>
        <v>-1203.8504870320903</v>
      </c>
      <c r="G4" s="23">
        <f t="shared" si="3"/>
        <v>-1.387204718369341E-2</v>
      </c>
      <c r="H4" s="3">
        <f t="shared" si="2"/>
        <v>-0.44953341562064614</v>
      </c>
    </row>
    <row r="5" spans="1:8" x14ac:dyDescent="0.3">
      <c r="A5" s="2">
        <v>41641</v>
      </c>
      <c r="B5" s="3">
        <v>200173.11675267719</v>
      </c>
      <c r="C5" s="3">
        <v>202881.17770623259</v>
      </c>
      <c r="D5">
        <v>6175</v>
      </c>
      <c r="E5" s="3">
        <f t="shared" si="0"/>
        <v>32.416699069259465</v>
      </c>
      <c r="F5" s="16">
        <f t="shared" si="1"/>
        <v>-2708.0609535553958</v>
      </c>
      <c r="G5" s="23">
        <f t="shared" si="3"/>
        <v>-1.3528594635918698E-2</v>
      </c>
      <c r="H5" s="3">
        <f t="shared" si="2"/>
        <v>-0.43855238114257422</v>
      </c>
    </row>
    <row r="6" spans="1:8" x14ac:dyDescent="0.3">
      <c r="A6" s="2">
        <v>41642</v>
      </c>
      <c r="B6" s="3">
        <v>326906.07417633059</v>
      </c>
      <c r="C6" s="3">
        <v>333806.29187335481</v>
      </c>
      <c r="D6">
        <v>10084</v>
      </c>
      <c r="E6" s="3">
        <f t="shared" si="0"/>
        <v>32.418293750131951</v>
      </c>
      <c r="F6" s="16">
        <f t="shared" si="1"/>
        <v>-6900.217697024229</v>
      </c>
      <c r="G6" s="23">
        <f t="shared" si="3"/>
        <v>-2.1107646024656933E-2</v>
      </c>
      <c r="H6" s="3">
        <f t="shared" si="2"/>
        <v>-0.68427386920113342</v>
      </c>
    </row>
    <row r="7" spans="1:8" x14ac:dyDescent="0.3">
      <c r="A7" s="2">
        <v>41643</v>
      </c>
      <c r="B7" s="3">
        <v>307043.93542216189</v>
      </c>
      <c r="C7" s="3">
        <v>313652.34827236348</v>
      </c>
      <c r="D7">
        <v>9470</v>
      </c>
      <c r="E7" s="3">
        <f t="shared" si="0"/>
        <v>32.422802050914669</v>
      </c>
      <c r="F7" s="16">
        <f t="shared" si="1"/>
        <v>-6608.4128502015956</v>
      </c>
      <c r="G7" s="23">
        <f t="shared" si="3"/>
        <v>-2.1522694597812312E-2</v>
      </c>
      <c r="H7" s="3">
        <f t="shared" si="2"/>
        <v>-0.69782606654715895</v>
      </c>
    </row>
    <row r="8" spans="1:8" x14ac:dyDescent="0.3">
      <c r="A8" s="2">
        <v>41644</v>
      </c>
      <c r="B8" s="3">
        <v>179188.8844878097</v>
      </c>
      <c r="C8" s="3">
        <v>183083.28498402701</v>
      </c>
      <c r="D8">
        <v>5524</v>
      </c>
      <c r="E8" s="3">
        <f t="shared" si="0"/>
        <v>32.43824845905317</v>
      </c>
      <c r="F8" s="16">
        <f t="shared" si="1"/>
        <v>-3894.4004962173058</v>
      </c>
      <c r="G8" s="23">
        <f t="shared" si="3"/>
        <v>-2.1733493722833258E-2</v>
      </c>
      <c r="H8" s="3">
        <f t="shared" si="2"/>
        <v>-0.70499646926453763</v>
      </c>
    </row>
    <row r="9" spans="1:8" x14ac:dyDescent="0.3">
      <c r="A9" s="2">
        <v>41645</v>
      </c>
      <c r="B9" s="3">
        <v>306351.95085899188</v>
      </c>
      <c r="C9" s="3">
        <v>313446.06814884301</v>
      </c>
      <c r="D9">
        <v>9448</v>
      </c>
      <c r="E9" s="3">
        <f t="shared" si="0"/>
        <v>32.42505830429635</v>
      </c>
      <c r="F9" s="16">
        <f t="shared" si="1"/>
        <v>-7094.1172898511286</v>
      </c>
      <c r="G9" s="23">
        <f t="shared" si="3"/>
        <v>-2.3156755718250408E-2</v>
      </c>
      <c r="H9" s="3">
        <f t="shared" si="2"/>
        <v>-0.75085915430261729</v>
      </c>
    </row>
    <row r="10" spans="1:8" x14ac:dyDescent="0.3">
      <c r="A10" s="2">
        <v>41646</v>
      </c>
      <c r="B10" s="3">
        <v>224020.40996847831</v>
      </c>
      <c r="C10" s="3">
        <v>229533.9737283797</v>
      </c>
      <c r="D10">
        <v>6911</v>
      </c>
      <c r="E10" s="3">
        <f t="shared" si="0"/>
        <v>32.41504991585564</v>
      </c>
      <c r="F10" s="16">
        <f t="shared" si="1"/>
        <v>-5513.5637599013862</v>
      </c>
      <c r="G10" s="23">
        <f t="shared" si="3"/>
        <v>-2.4611881393651561E-2</v>
      </c>
      <c r="H10" s="3">
        <f t="shared" si="2"/>
        <v>-0.79779536389833394</v>
      </c>
    </row>
    <row r="11" spans="1:8" x14ac:dyDescent="0.3">
      <c r="A11" s="2">
        <v>41647</v>
      </c>
      <c r="B11" s="3">
        <v>101836.4022362371</v>
      </c>
      <c r="C11" s="3">
        <v>99381.967517224926</v>
      </c>
      <c r="D11">
        <v>2990</v>
      </c>
      <c r="E11" s="3">
        <f t="shared" si="0"/>
        <v>34.058997403423781</v>
      </c>
      <c r="F11" s="16">
        <f t="shared" si="1"/>
        <v>2454.4347190121771</v>
      </c>
      <c r="G11" s="23">
        <f t="shared" si="3"/>
        <v>2.4101742256353982E-2</v>
      </c>
      <c r="H11" s="3">
        <f t="shared" si="2"/>
        <v>0.82088117692714957</v>
      </c>
    </row>
    <row r="12" spans="1:8" x14ac:dyDescent="0.3">
      <c r="A12" s="2">
        <v>41648</v>
      </c>
      <c r="B12" s="3">
        <v>107804.30494723171</v>
      </c>
      <c r="C12" s="3">
        <v>104816.45851255261</v>
      </c>
      <c r="D12">
        <v>3159</v>
      </c>
      <c r="E12" s="3">
        <f t="shared" si="0"/>
        <v>34.126085769937227</v>
      </c>
      <c r="F12" s="16">
        <f t="shared" si="1"/>
        <v>2987.8464346791006</v>
      </c>
      <c r="G12" s="23">
        <f t="shared" si="3"/>
        <v>2.7715464944944437E-2</v>
      </c>
      <c r="H12" s="3">
        <f t="shared" si="2"/>
        <v>0.94582033386486253</v>
      </c>
    </row>
    <row r="13" spans="1:8" x14ac:dyDescent="0.3">
      <c r="A13" s="2">
        <v>41649</v>
      </c>
      <c r="B13" s="3">
        <v>144829.9567239302</v>
      </c>
      <c r="C13" s="3">
        <v>141333.99628349251</v>
      </c>
      <c r="D13">
        <v>4246</v>
      </c>
      <c r="E13" s="3">
        <f t="shared" si="0"/>
        <v>34.109740161076353</v>
      </c>
      <c r="F13" s="16">
        <f t="shared" si="1"/>
        <v>3495.9604404376878</v>
      </c>
      <c r="G13" s="23">
        <f t="shared" si="3"/>
        <v>2.4138379376178132E-2</v>
      </c>
      <c r="H13" s="3">
        <f t="shared" si="2"/>
        <v>0.8233538484309203</v>
      </c>
    </row>
    <row r="14" spans="1:8" x14ac:dyDescent="0.3">
      <c r="A14" s="2">
        <v>41650</v>
      </c>
      <c r="B14" s="3">
        <v>146571.48235324019</v>
      </c>
      <c r="C14" s="3">
        <v>143179.66998839291</v>
      </c>
      <c r="D14">
        <v>4297</v>
      </c>
      <c r="E14" s="3">
        <f t="shared" si="0"/>
        <v>34.110189051254409</v>
      </c>
      <c r="F14" s="16">
        <f t="shared" si="1"/>
        <v>3391.8123648472829</v>
      </c>
      <c r="G14" s="23">
        <f t="shared" si="3"/>
        <v>2.314101154188335E-2</v>
      </c>
      <c r="H14" s="3">
        <f t="shared" si="2"/>
        <v>0.78934427853090128</v>
      </c>
    </row>
    <row r="15" spans="1:8" x14ac:dyDescent="0.3">
      <c r="A15" s="2">
        <v>41651</v>
      </c>
      <c r="B15" s="3">
        <v>95422.3729783171</v>
      </c>
      <c r="C15" s="3">
        <v>93126.147238344056</v>
      </c>
      <c r="D15">
        <v>2796</v>
      </c>
      <c r="E15" s="3">
        <f t="shared" si="0"/>
        <v>34.128173454333727</v>
      </c>
      <c r="F15" s="16">
        <f t="shared" si="1"/>
        <v>2296.2257399730443</v>
      </c>
      <c r="G15" s="23">
        <f t="shared" si="3"/>
        <v>2.4063808814467624E-2</v>
      </c>
      <c r="H15" s="3">
        <f t="shared" si="2"/>
        <v>0.8212538411920759</v>
      </c>
    </row>
    <row r="16" spans="1:8" x14ac:dyDescent="0.3">
      <c r="A16" s="2">
        <v>41652</v>
      </c>
      <c r="B16" s="3">
        <v>114883.17379115619</v>
      </c>
      <c r="C16" s="3">
        <v>112186.3086630527</v>
      </c>
      <c r="D16">
        <v>3369</v>
      </c>
      <c r="E16" s="3">
        <f t="shared" si="0"/>
        <v>34.100081267781597</v>
      </c>
      <c r="F16" s="16">
        <f t="shared" si="1"/>
        <v>2696.8651281034981</v>
      </c>
      <c r="G16" s="23">
        <f t="shared" si="3"/>
        <v>2.3474848745091904E-2</v>
      </c>
      <c r="H16" s="3">
        <f t="shared" si="2"/>
        <v>0.80049424995651475</v>
      </c>
    </row>
    <row r="17" spans="1:8" x14ac:dyDescent="0.3">
      <c r="A17" s="2">
        <v>41653</v>
      </c>
      <c r="B17" s="3">
        <v>80090.80007989271</v>
      </c>
      <c r="C17" s="3">
        <v>78096.76018225115</v>
      </c>
      <c r="D17">
        <v>2348</v>
      </c>
      <c r="E17" s="3">
        <f t="shared" si="0"/>
        <v>34.110221499102515</v>
      </c>
      <c r="F17" s="16">
        <f t="shared" si="1"/>
        <v>1994.0398976415599</v>
      </c>
      <c r="G17" s="23">
        <f t="shared" si="3"/>
        <v>2.4897240327883503E-2</v>
      </c>
      <c r="H17" s="3">
        <f t="shared" si="2"/>
        <v>0.84925038230049399</v>
      </c>
    </row>
    <row r="18" spans="1:8" x14ac:dyDescent="0.3">
      <c r="A18" s="2">
        <v>41654</v>
      </c>
      <c r="B18" s="3">
        <v>98945.371159077826</v>
      </c>
      <c r="C18" s="3">
        <v>97159.002586869974</v>
      </c>
      <c r="D18">
        <v>2903</v>
      </c>
      <c r="E18" s="3">
        <f t="shared" si="0"/>
        <v>34.083834364132905</v>
      </c>
      <c r="F18" s="16">
        <f t="shared" si="1"/>
        <v>1786.3685722078517</v>
      </c>
      <c r="G18" s="23">
        <f t="shared" si="3"/>
        <v>1.8054089355386282E-2</v>
      </c>
      <c r="H18" s="3">
        <f t="shared" si="2"/>
        <v>0.61535259118424102</v>
      </c>
    </row>
    <row r="19" spans="1:8" x14ac:dyDescent="0.3">
      <c r="A19" s="2">
        <v>41655</v>
      </c>
      <c r="B19" s="3">
        <v>84904.901714107822</v>
      </c>
      <c r="C19" s="3">
        <v>83350.433158824555</v>
      </c>
      <c r="D19">
        <v>2491</v>
      </c>
      <c r="E19" s="3">
        <f t="shared" si="0"/>
        <v>34.084665481376085</v>
      </c>
      <c r="F19" s="16">
        <f t="shared" si="1"/>
        <v>1554.4685552832671</v>
      </c>
      <c r="G19" s="23">
        <f t="shared" si="3"/>
        <v>1.8308348798488465E-2</v>
      </c>
      <c r="H19" s="3">
        <f t="shared" si="2"/>
        <v>0.62403394431283299</v>
      </c>
    </row>
    <row r="20" spans="1:8" x14ac:dyDescent="0.3">
      <c r="A20" s="2">
        <v>41656</v>
      </c>
      <c r="B20" s="3">
        <v>135460.6197039852</v>
      </c>
      <c r="C20" s="3">
        <v>132703.3354197717</v>
      </c>
      <c r="D20">
        <v>3968</v>
      </c>
      <c r="E20" s="3">
        <f t="shared" si="0"/>
        <v>34.138261014109176</v>
      </c>
      <c r="F20" s="16">
        <f t="shared" si="1"/>
        <v>2757.2842842134996</v>
      </c>
      <c r="G20" s="23">
        <f t="shared" si="3"/>
        <v>2.0354877234718433E-2</v>
      </c>
      <c r="H20" s="3">
        <f t="shared" si="2"/>
        <v>0.69488011194896659</v>
      </c>
    </row>
    <row r="21" spans="1:8" x14ac:dyDescent="0.3">
      <c r="A21" s="2">
        <v>41657</v>
      </c>
      <c r="B21" s="3">
        <v>149925.74968577511</v>
      </c>
      <c r="C21" s="3">
        <v>146928.41178089229</v>
      </c>
      <c r="D21">
        <v>4393</v>
      </c>
      <c r="E21" s="3">
        <f t="shared" si="0"/>
        <v>34.128329088498774</v>
      </c>
      <c r="F21" s="16">
        <f t="shared" si="1"/>
        <v>2997.337904882821</v>
      </c>
      <c r="G21" s="23">
        <f t="shared" si="3"/>
        <v>1.9992148854782128E-2</v>
      </c>
      <c r="H21" s="3">
        <f t="shared" si="2"/>
        <v>0.68229863530225832</v>
      </c>
    </row>
    <row r="22" spans="1:8" x14ac:dyDescent="0.3">
      <c r="A22" s="2">
        <v>41658</v>
      </c>
      <c r="B22" s="3">
        <v>74297.307184182937</v>
      </c>
      <c r="C22" s="3">
        <v>72782.284321402927</v>
      </c>
      <c r="D22">
        <v>2176</v>
      </c>
      <c r="E22" s="3">
        <f t="shared" si="0"/>
        <v>34.143983080966422</v>
      </c>
      <c r="F22" s="16">
        <f t="shared" si="1"/>
        <v>1515.0228627800097</v>
      </c>
      <c r="G22" s="23">
        <f t="shared" si="3"/>
        <v>2.0391356298072417E-2</v>
      </c>
      <c r="H22" s="3">
        <f t="shared" si="2"/>
        <v>0.69624212443934275</v>
      </c>
    </row>
    <row r="23" spans="1:8" x14ac:dyDescent="0.3">
      <c r="A23" s="2">
        <v>41659</v>
      </c>
      <c r="B23" s="3">
        <v>83356.424561202701</v>
      </c>
      <c r="C23" s="3">
        <v>81789.136122352749</v>
      </c>
      <c r="D23">
        <v>2443</v>
      </c>
      <c r="E23" s="3">
        <f t="shared" si="0"/>
        <v>34.120517626362137</v>
      </c>
      <c r="F23" s="16">
        <f t="shared" si="1"/>
        <v>1567.2884388499515</v>
      </c>
      <c r="G23" s="23">
        <f t="shared" si="3"/>
        <v>1.8802251261379414E-2</v>
      </c>
      <c r="H23" s="3">
        <f t="shared" si="2"/>
        <v>0.641542545579186</v>
      </c>
    </row>
    <row r="24" spans="1:8" x14ac:dyDescent="0.3">
      <c r="A24" s="2">
        <v>41660</v>
      </c>
      <c r="B24" s="3">
        <v>89922.014286172576</v>
      </c>
      <c r="C24" s="3">
        <v>88388.916069159721</v>
      </c>
      <c r="D24">
        <v>2638</v>
      </c>
      <c r="E24" s="3">
        <f t="shared" si="0"/>
        <v>34.087192678609775</v>
      </c>
      <c r="F24" s="16">
        <f t="shared" si="1"/>
        <v>1533.0982170128555</v>
      </c>
      <c r="G24" s="23">
        <f t="shared" si="3"/>
        <v>1.7049197898679657E-2</v>
      </c>
      <c r="H24" s="3">
        <f t="shared" si="2"/>
        <v>0.58115929378804221</v>
      </c>
    </row>
    <row r="25" spans="1:8" x14ac:dyDescent="0.3">
      <c r="A25" s="2">
        <v>41661</v>
      </c>
      <c r="B25" s="3">
        <v>57806.302780099039</v>
      </c>
      <c r="C25" s="3">
        <v>57157.282544092297</v>
      </c>
      <c r="D25">
        <v>1704</v>
      </c>
      <c r="E25" s="3">
        <f t="shared" si="0"/>
        <v>33.923886608039339</v>
      </c>
      <c r="F25" s="16">
        <f t="shared" si="1"/>
        <v>649.02023600674147</v>
      </c>
      <c r="G25" s="23">
        <f t="shared" si="3"/>
        <v>1.1227499507721147E-2</v>
      </c>
      <c r="H25" s="3">
        <f t="shared" si="2"/>
        <v>0.38088042019174967</v>
      </c>
    </row>
    <row r="26" spans="1:8" x14ac:dyDescent="0.3">
      <c r="A26" s="2">
        <v>41662</v>
      </c>
      <c r="B26" s="3">
        <v>63977.750348923553</v>
      </c>
      <c r="C26" s="3">
        <v>62863.98723906299</v>
      </c>
      <c r="D26">
        <v>1872</v>
      </c>
      <c r="E26" s="3">
        <f t="shared" si="0"/>
        <v>34.176148690664292</v>
      </c>
      <c r="F26" s="16">
        <f t="shared" si="1"/>
        <v>1113.7631098605634</v>
      </c>
      <c r="G26" s="23">
        <f t="shared" si="3"/>
        <v>1.7408600705499842E-2</v>
      </c>
      <c r="H26" s="3">
        <f t="shared" si="2"/>
        <v>0.59495892620756596</v>
      </c>
    </row>
    <row r="27" spans="1:8" x14ac:dyDescent="0.3">
      <c r="A27" s="2">
        <v>41663</v>
      </c>
      <c r="B27" s="3">
        <v>116958.799847952</v>
      </c>
      <c r="C27" s="3">
        <v>114823.7952238127</v>
      </c>
      <c r="D27">
        <v>3423</v>
      </c>
      <c r="E27" s="3">
        <f t="shared" si="0"/>
        <v>34.168507113044697</v>
      </c>
      <c r="F27" s="16">
        <f t="shared" si="1"/>
        <v>2135.0046241392993</v>
      </c>
      <c r="G27" s="23">
        <f t="shared" si="3"/>
        <v>1.8254330814909469E-2</v>
      </c>
      <c r="H27" s="3">
        <f t="shared" si="2"/>
        <v>0.62372323229310522</v>
      </c>
    </row>
    <row r="28" spans="1:8" x14ac:dyDescent="0.3">
      <c r="A28" s="2">
        <v>41664</v>
      </c>
      <c r="B28" s="3">
        <v>155272.8248054802</v>
      </c>
      <c r="C28" s="3">
        <v>152636.27656236591</v>
      </c>
      <c r="D28">
        <v>4544</v>
      </c>
      <c r="E28" s="3">
        <f t="shared" si="0"/>
        <v>34.170956163177863</v>
      </c>
      <c r="F28" s="16">
        <f t="shared" si="1"/>
        <v>2636.5482431142882</v>
      </c>
      <c r="G28" s="23">
        <f t="shared" si="3"/>
        <v>1.6980100970129541E-2</v>
      </c>
      <c r="H28" s="3">
        <f t="shared" si="2"/>
        <v>0.58022628589663028</v>
      </c>
    </row>
    <row r="29" spans="1:8" x14ac:dyDescent="0.3">
      <c r="A29" s="2">
        <v>41665</v>
      </c>
      <c r="B29" s="3">
        <v>82885.215909762715</v>
      </c>
      <c r="C29" s="3">
        <v>81583.166949853185</v>
      </c>
      <c r="D29">
        <v>2426</v>
      </c>
      <c r="E29" s="3">
        <f t="shared" si="0"/>
        <v>34.165381661072843</v>
      </c>
      <c r="F29" s="16">
        <f t="shared" si="1"/>
        <v>1302.0489599095308</v>
      </c>
      <c r="G29" s="23">
        <f t="shared" si="3"/>
        <v>1.5709061569280026E-2</v>
      </c>
      <c r="H29" s="3">
        <f t="shared" si="2"/>
        <v>0.53670608405174391</v>
      </c>
    </row>
    <row r="30" spans="1:8" x14ac:dyDescent="0.3">
      <c r="A30" s="2">
        <v>41666</v>
      </c>
      <c r="B30" s="3">
        <v>72353.425882453303</v>
      </c>
      <c r="C30" s="3">
        <v>71377.156455436343</v>
      </c>
      <c r="D30">
        <v>2117</v>
      </c>
      <c r="E30" s="3">
        <f t="shared" si="0"/>
        <v>34.177338631295846</v>
      </c>
      <c r="F30" s="16">
        <f t="shared" si="1"/>
        <v>976.26942701695953</v>
      </c>
      <c r="G30" s="23">
        <f t="shared" si="3"/>
        <v>1.3493064289768734E-2</v>
      </c>
      <c r="H30" s="3">
        <f t="shared" si="2"/>
        <v>0.46115702740527137</v>
      </c>
    </row>
    <row r="31" spans="1:8" x14ac:dyDescent="0.3">
      <c r="A31" s="2">
        <v>41667</v>
      </c>
      <c r="B31" s="3">
        <v>50415.903762389164</v>
      </c>
      <c r="C31" s="3">
        <v>49769.098243003224</v>
      </c>
      <c r="D31">
        <v>1476</v>
      </c>
      <c r="E31" s="3">
        <f t="shared" si="0"/>
        <v>34.157116370182358</v>
      </c>
      <c r="F31" s="16">
        <f t="shared" si="1"/>
        <v>646.80551938593999</v>
      </c>
      <c r="G31" s="23">
        <f t="shared" si="3"/>
        <v>1.2829394518728518E-2</v>
      </c>
      <c r="H31" s="3">
        <f t="shared" si="2"/>
        <v>0.43821512153518971</v>
      </c>
    </row>
    <row r="32" spans="1:8" x14ac:dyDescent="0.3">
      <c r="A32" s="2">
        <v>41668</v>
      </c>
      <c r="B32" s="3">
        <v>67458.30189127379</v>
      </c>
      <c r="C32" s="3">
        <v>66529.441996531445</v>
      </c>
      <c r="D32">
        <v>1974</v>
      </c>
      <c r="E32" s="3">
        <f t="shared" si="0"/>
        <v>34.173405213411243</v>
      </c>
      <c r="F32" s="16">
        <f t="shared" si="1"/>
        <v>928.8598947423452</v>
      </c>
      <c r="G32" s="23">
        <f t="shared" si="3"/>
        <v>1.3769393368950188E-2</v>
      </c>
      <c r="H32" s="3">
        <f t="shared" si="2"/>
        <v>0.47054705913999251</v>
      </c>
    </row>
    <row r="33" spans="1:8" x14ac:dyDescent="0.3">
      <c r="A33" s="2">
        <v>41669</v>
      </c>
      <c r="B33" s="3">
        <v>64640.369313193798</v>
      </c>
      <c r="C33" s="3">
        <v>63757.83986845208</v>
      </c>
      <c r="D33">
        <v>1892</v>
      </c>
      <c r="E33" s="3">
        <f t="shared" si="0"/>
        <v>34.165100059827587</v>
      </c>
      <c r="F33" s="16">
        <f t="shared" si="1"/>
        <v>882.52944474171818</v>
      </c>
      <c r="G33" s="23">
        <f t="shared" si="3"/>
        <v>1.3652914643258147E-2</v>
      </c>
      <c r="H33" s="3">
        <f t="shared" si="2"/>
        <v>0.46645319489519987</v>
      </c>
    </row>
    <row r="34" spans="1:8" x14ac:dyDescent="0.3">
      <c r="A34" s="2">
        <v>41670</v>
      </c>
      <c r="B34" s="3">
        <v>137693.87350033139</v>
      </c>
      <c r="C34" s="3">
        <v>135609.5075820497</v>
      </c>
      <c r="D34">
        <v>4030</v>
      </c>
      <c r="E34" s="3">
        <f t="shared" si="0"/>
        <v>34.167214268072307</v>
      </c>
      <c r="F34" s="16">
        <f t="shared" si="1"/>
        <v>2084.3659182816918</v>
      </c>
      <c r="G34" s="23">
        <f t="shared" si="3"/>
        <v>1.5137680895270008E-2</v>
      </c>
      <c r="H34" s="3">
        <f t="shared" si="2"/>
        <v>0.51721238667039504</v>
      </c>
    </row>
    <row r="35" spans="1:8" x14ac:dyDescent="0.3">
      <c r="A35" s="2">
        <v>41671</v>
      </c>
      <c r="B35" s="3">
        <v>181209.1284812126</v>
      </c>
      <c r="C35" s="3">
        <v>178435.71534579591</v>
      </c>
      <c r="D35">
        <v>5304</v>
      </c>
      <c r="E35" s="3">
        <f t="shared" si="0"/>
        <v>34.164616983637366</v>
      </c>
      <c r="F35" s="16">
        <f t="shared" si="1"/>
        <v>2773.4131354166893</v>
      </c>
      <c r="G35" s="23">
        <f t="shared" si="3"/>
        <v>1.5305040969303218E-2</v>
      </c>
      <c r="H35" s="3">
        <f t="shared" si="2"/>
        <v>0.52289086263512241</v>
      </c>
    </row>
    <row r="36" spans="1:8" x14ac:dyDescent="0.3">
      <c r="A36" s="2">
        <v>41672</v>
      </c>
      <c r="B36" s="3">
        <v>113433.581045457</v>
      </c>
      <c r="C36" s="3">
        <v>111466.5168475372</v>
      </c>
      <c r="D36">
        <v>3320</v>
      </c>
      <c r="E36" s="3">
        <f t="shared" si="0"/>
        <v>34.166741278752106</v>
      </c>
      <c r="F36" s="16">
        <f t="shared" si="1"/>
        <v>1967.0641979197972</v>
      </c>
      <c r="G36" s="23">
        <f t="shared" si="3"/>
        <v>1.7341109923449585E-2</v>
      </c>
      <c r="H36" s="3">
        <f t="shared" si="2"/>
        <v>0.59248921624090278</v>
      </c>
    </row>
    <row r="37" spans="1:8" x14ac:dyDescent="0.3">
      <c r="A37" s="2">
        <v>41673</v>
      </c>
      <c r="B37" s="3">
        <v>143192.5333561764</v>
      </c>
      <c r="C37" s="3">
        <v>140505.6347230032</v>
      </c>
      <c r="D37">
        <v>4191</v>
      </c>
      <c r="E37" s="3">
        <f t="shared" si="0"/>
        <v>34.166674625668435</v>
      </c>
      <c r="F37" s="16">
        <f t="shared" si="1"/>
        <v>2686.8986331732012</v>
      </c>
      <c r="G37" s="23">
        <f t="shared" si="3"/>
        <v>1.8764237004521896E-2</v>
      </c>
      <c r="H37" s="3">
        <f t="shared" si="2"/>
        <v>0.64111158033242688</v>
      </c>
    </row>
    <row r="38" spans="1:8" x14ac:dyDescent="0.3">
      <c r="A38" s="2">
        <v>41674</v>
      </c>
      <c r="B38" s="3">
        <v>130126.6498928814</v>
      </c>
      <c r="C38" s="3">
        <v>128496.2877011727</v>
      </c>
      <c r="D38">
        <v>3809</v>
      </c>
      <c r="E38" s="3">
        <f t="shared" si="0"/>
        <v>34.162943001544079</v>
      </c>
      <c r="F38" s="16">
        <f t="shared" si="1"/>
        <v>1630.3621917087003</v>
      </c>
      <c r="G38" s="23">
        <f t="shared" si="3"/>
        <v>1.2529041461151837E-2</v>
      </c>
      <c r="H38" s="3">
        <f t="shared" si="2"/>
        <v>0.42802892930131275</v>
      </c>
    </row>
    <row r="39" spans="1:8" x14ac:dyDescent="0.3">
      <c r="A39" s="2">
        <v>41675</v>
      </c>
      <c r="B39" s="3">
        <v>187155.86854573971</v>
      </c>
      <c r="C39" s="3">
        <v>195078.6033309428</v>
      </c>
      <c r="D39">
        <v>5764</v>
      </c>
      <c r="E39" s="3">
        <f t="shared" si="0"/>
        <v>32.469789824035338</v>
      </c>
      <c r="F39" s="16">
        <f t="shared" si="1"/>
        <v>-7922.7347852030944</v>
      </c>
      <c r="G39" s="23">
        <f t="shared" si="3"/>
        <v>-4.2332280824348437E-2</v>
      </c>
      <c r="H39" s="3">
        <f t="shared" si="2"/>
        <v>-1.3745202611386353</v>
      </c>
    </row>
    <row r="40" spans="1:8" x14ac:dyDescent="0.3">
      <c r="A40" s="2">
        <v>41676</v>
      </c>
      <c r="B40" s="3">
        <v>102314.70959650401</v>
      </c>
      <c r="C40" s="3">
        <v>101977.98995528861</v>
      </c>
      <c r="D40">
        <v>3028</v>
      </c>
      <c r="E40" s="3">
        <f t="shared" si="0"/>
        <v>33.789534212848089</v>
      </c>
      <c r="F40" s="16">
        <f t="shared" si="1"/>
        <v>336.71964121540077</v>
      </c>
      <c r="G40" s="23">
        <f t="shared" si="3"/>
        <v>3.2910188822634955E-3</v>
      </c>
      <c r="H40" s="3">
        <f t="shared" si="2"/>
        <v>0.11120199511737146</v>
      </c>
    </row>
    <row r="41" spans="1:8" x14ac:dyDescent="0.3">
      <c r="A41" s="2">
        <v>41677</v>
      </c>
      <c r="B41" s="3">
        <v>301553.84255508689</v>
      </c>
      <c r="C41" s="3">
        <v>313529.18774871569</v>
      </c>
      <c r="D41">
        <v>9284</v>
      </c>
      <c r="E41" s="3">
        <f t="shared" si="0"/>
        <v>32.481025695291564</v>
      </c>
      <c r="F41" s="16">
        <f t="shared" si="1"/>
        <v>-11975.345193628804</v>
      </c>
      <c r="G41" s="23">
        <f t="shared" si="3"/>
        <v>-3.9712129323774693E-2</v>
      </c>
      <c r="H41" s="3">
        <f t="shared" si="2"/>
        <v>-1.2898906929802676</v>
      </c>
    </row>
    <row r="42" spans="1:8" x14ac:dyDescent="0.3">
      <c r="A42" s="2">
        <v>41678</v>
      </c>
      <c r="B42" s="3">
        <v>316073.17754939431</v>
      </c>
      <c r="C42" s="3">
        <v>329754.77946358221</v>
      </c>
      <c r="D42">
        <v>9737</v>
      </c>
      <c r="E42" s="3">
        <f t="shared" si="0"/>
        <v>32.461043190859023</v>
      </c>
      <c r="F42" s="16">
        <f t="shared" si="1"/>
        <v>-13681.601914187893</v>
      </c>
      <c r="G42" s="23">
        <f t="shared" si="3"/>
        <v>-4.328618461163096E-2</v>
      </c>
      <c r="H42" s="3">
        <f t="shared" si="2"/>
        <v>-1.4051147082456499</v>
      </c>
    </row>
    <row r="43" spans="1:8" x14ac:dyDescent="0.3">
      <c r="A43" s="2">
        <v>41679</v>
      </c>
      <c r="B43" s="3">
        <v>135178.04255458229</v>
      </c>
      <c r="C43" s="3">
        <v>141530.7086832913</v>
      </c>
      <c r="D43">
        <v>4163</v>
      </c>
      <c r="E43" s="3">
        <f t="shared" si="0"/>
        <v>32.47130496146584</v>
      </c>
      <c r="F43" s="16">
        <f t="shared" si="1"/>
        <v>-6352.6661287090101</v>
      </c>
      <c r="G43" s="23">
        <f t="shared" si="3"/>
        <v>-4.6994807800563657E-2</v>
      </c>
      <c r="H43" s="3">
        <f t="shared" si="2"/>
        <v>-1.5259827356975764</v>
      </c>
    </row>
    <row r="44" spans="1:8" x14ac:dyDescent="0.3">
      <c r="A44" s="2">
        <v>41680</v>
      </c>
      <c r="B44" s="3">
        <v>147727.5161863135</v>
      </c>
      <c r="C44" s="3">
        <v>154828.68457507671</v>
      </c>
      <c r="D44">
        <v>4552</v>
      </c>
      <c r="E44" s="3">
        <f t="shared" si="0"/>
        <v>32.453320779067113</v>
      </c>
      <c r="F44" s="16">
        <f t="shared" si="1"/>
        <v>-7101.1683887632098</v>
      </c>
      <c r="G44" s="23">
        <f t="shared" si="3"/>
        <v>-4.8069368334923049E-2</v>
      </c>
      <c r="H44" s="3">
        <f t="shared" si="2"/>
        <v>-1.5600106302203889</v>
      </c>
    </row>
    <row r="45" spans="1:8" x14ac:dyDescent="0.3">
      <c r="A45" s="2">
        <v>41681</v>
      </c>
      <c r="B45" s="3">
        <v>135498.74644438611</v>
      </c>
      <c r="C45" s="3">
        <v>139824.1616410127</v>
      </c>
      <c r="D45">
        <v>4172</v>
      </c>
      <c r="E45" s="3">
        <f t="shared" si="0"/>
        <v>32.478127143908466</v>
      </c>
      <c r="F45" s="16">
        <f t="shared" si="1"/>
        <v>-4325.4151966265927</v>
      </c>
      <c r="G45" s="23">
        <f t="shared" si="3"/>
        <v>-3.1922178692641329E-2</v>
      </c>
      <c r="H45" s="3">
        <f t="shared" si="2"/>
        <v>-1.0367725782901709</v>
      </c>
    </row>
    <row r="46" spans="1:8" x14ac:dyDescent="0.3">
      <c r="A46" s="2">
        <v>41682</v>
      </c>
      <c r="B46" s="3">
        <v>163432.8452052823</v>
      </c>
      <c r="C46" s="3">
        <v>166893.36891900509</v>
      </c>
      <c r="D46">
        <v>5037</v>
      </c>
      <c r="E46" s="3">
        <f t="shared" si="0"/>
        <v>32.446465198586914</v>
      </c>
      <c r="F46" s="16">
        <f t="shared" si="1"/>
        <v>-3460.5237137227959</v>
      </c>
      <c r="G46" s="23">
        <f t="shared" si="3"/>
        <v>-2.1173979498283549E-2</v>
      </c>
      <c r="H46" s="3">
        <f t="shared" si="2"/>
        <v>-0.68702078890664997</v>
      </c>
    </row>
    <row r="47" spans="1:8" x14ac:dyDescent="0.3">
      <c r="A47" s="2">
        <v>41683</v>
      </c>
      <c r="B47" s="3">
        <v>138291.63332158609</v>
      </c>
      <c r="C47" s="3">
        <v>141027.4344556813</v>
      </c>
      <c r="D47">
        <v>4259</v>
      </c>
      <c r="E47" s="3">
        <f t="shared" si="0"/>
        <v>32.470446894009413</v>
      </c>
      <c r="F47" s="16">
        <f t="shared" si="1"/>
        <v>-2735.8011340952071</v>
      </c>
      <c r="G47" s="23">
        <f t="shared" si="3"/>
        <v>-1.9782839123270179E-2</v>
      </c>
      <c r="H47" s="3">
        <f t="shared" si="2"/>
        <v>-0.6423576271648761</v>
      </c>
    </row>
    <row r="48" spans="1:8" x14ac:dyDescent="0.3">
      <c r="A48" s="2">
        <v>41684</v>
      </c>
      <c r="B48" s="3">
        <v>336901.37170009938</v>
      </c>
      <c r="C48" s="3">
        <v>343519.87554694671</v>
      </c>
      <c r="D48">
        <v>10381</v>
      </c>
      <c r="E48" s="3">
        <f t="shared" si="0"/>
        <v>32.453652991050902</v>
      </c>
      <c r="F48" s="16">
        <f t="shared" si="1"/>
        <v>-6618.5038468473358</v>
      </c>
      <c r="G48" s="23">
        <f t="shared" si="3"/>
        <v>-1.9645226772003029E-2</v>
      </c>
      <c r="H48" s="3">
        <f t="shared" si="2"/>
        <v>-0.63755937258908923</v>
      </c>
    </row>
    <row r="49" spans="1:8" x14ac:dyDescent="0.3">
      <c r="A49" s="2">
        <v>41685</v>
      </c>
      <c r="B49" s="3">
        <v>367729.26821441198</v>
      </c>
      <c r="C49" s="3">
        <v>373973.59333485219</v>
      </c>
      <c r="D49">
        <v>11332</v>
      </c>
      <c r="E49" s="3">
        <f t="shared" si="0"/>
        <v>32.450517844547477</v>
      </c>
      <c r="F49" s="16">
        <f t="shared" si="1"/>
        <v>-6244.3251204402186</v>
      </c>
      <c r="G49" s="23">
        <f t="shared" si="3"/>
        <v>-1.6980767265985852E-2</v>
      </c>
      <c r="H49" s="3">
        <f t="shared" si="2"/>
        <v>-0.55103469117898152</v>
      </c>
    </row>
    <row r="50" spans="1:8" x14ac:dyDescent="0.3">
      <c r="A50" s="2">
        <v>41686</v>
      </c>
      <c r="B50" s="3">
        <v>133913.84138739109</v>
      </c>
      <c r="C50" s="3">
        <v>136797.07737015281</v>
      </c>
      <c r="D50">
        <v>4127</v>
      </c>
      <c r="E50" s="3">
        <f t="shared" si="0"/>
        <v>32.448229073756018</v>
      </c>
      <c r="F50" s="16">
        <f t="shared" si="1"/>
        <v>-2883.2359827617183</v>
      </c>
      <c r="G50" s="23">
        <f t="shared" si="3"/>
        <v>-2.1530530025055311E-2</v>
      </c>
      <c r="H50" s="3">
        <f t="shared" si="2"/>
        <v>-0.69862757033237666</v>
      </c>
    </row>
    <row r="51" spans="1:8" x14ac:dyDescent="0.3">
      <c r="A51" s="2">
        <v>41687</v>
      </c>
      <c r="B51" s="3">
        <v>150800.3470166623</v>
      </c>
      <c r="C51" s="3">
        <v>152887.1063994804</v>
      </c>
      <c r="D51">
        <v>4649</v>
      </c>
      <c r="E51" s="3">
        <f t="shared" si="0"/>
        <v>32.437157886999849</v>
      </c>
      <c r="F51" s="16">
        <f t="shared" si="1"/>
        <v>-2086.7593828180979</v>
      </c>
      <c r="G51" s="23">
        <f t="shared" si="3"/>
        <v>-1.3837895098394745E-2</v>
      </c>
      <c r="H51" s="3">
        <f t="shared" si="2"/>
        <v>-0.4488619881303717</v>
      </c>
    </row>
    <row r="52" spans="1:8" x14ac:dyDescent="0.3">
      <c r="A52" s="2">
        <v>41688</v>
      </c>
      <c r="B52" s="3">
        <v>55591.930335773912</v>
      </c>
      <c r="C52" s="3">
        <v>53463.244211993297</v>
      </c>
      <c r="D52">
        <v>1627</v>
      </c>
      <c r="E52" s="3">
        <f t="shared" si="0"/>
        <v>34.168365295497182</v>
      </c>
      <c r="F52" s="16">
        <f t="shared" si="1"/>
        <v>2128.6861237806152</v>
      </c>
      <c r="G52" s="23">
        <f t="shared" si="3"/>
        <v>3.8291279164501084E-2</v>
      </c>
      <c r="H52" s="3">
        <f t="shared" si="2"/>
        <v>1.308350414124533</v>
      </c>
    </row>
    <row r="53" spans="1:8" x14ac:dyDescent="0.3">
      <c r="A53" s="2">
        <v>41689</v>
      </c>
      <c r="B53" s="3">
        <v>106427.191838824</v>
      </c>
      <c r="C53" s="3">
        <v>107736.4440759586</v>
      </c>
      <c r="D53">
        <v>3281</v>
      </c>
      <c r="E53" s="3">
        <f t="shared" si="0"/>
        <v>32.437425126127401</v>
      </c>
      <c r="F53" s="16">
        <f t="shared" si="1"/>
        <v>-1309.2522371345985</v>
      </c>
      <c r="G53" s="23">
        <f t="shared" si="3"/>
        <v>-1.2301858336329713E-2</v>
      </c>
      <c r="H53" s="3">
        <f t="shared" si="2"/>
        <v>-0.39904060869692121</v>
      </c>
    </row>
    <row r="54" spans="1:8" x14ac:dyDescent="0.3">
      <c r="A54" s="2">
        <v>41690</v>
      </c>
      <c r="B54" s="3">
        <v>78940.554424797941</v>
      </c>
      <c r="C54" s="3">
        <v>75934.394822039583</v>
      </c>
      <c r="D54">
        <v>2310</v>
      </c>
      <c r="E54" s="3">
        <f t="shared" si="0"/>
        <v>34.173400183895211</v>
      </c>
      <c r="F54" s="16">
        <f t="shared" si="1"/>
        <v>3006.1596027583582</v>
      </c>
      <c r="G54" s="23">
        <f t="shared" si="3"/>
        <v>3.8081308456253002E-2</v>
      </c>
      <c r="H54" s="3">
        <f t="shared" si="2"/>
        <v>1.3013677934018866</v>
      </c>
    </row>
    <row r="55" spans="1:8" x14ac:dyDescent="0.3">
      <c r="A55" s="2">
        <v>41691</v>
      </c>
      <c r="B55" s="3">
        <v>317916.31785853428</v>
      </c>
      <c r="C55" s="3">
        <v>322089.78895544191</v>
      </c>
      <c r="D55">
        <v>9802</v>
      </c>
      <c r="E55" s="3">
        <f t="shared" si="0"/>
        <v>32.433821450574811</v>
      </c>
      <c r="F55" s="16">
        <f t="shared" si="1"/>
        <v>-4173.4710969076259</v>
      </c>
      <c r="G55" s="23">
        <f t="shared" si="3"/>
        <v>-1.3127577486490417E-2</v>
      </c>
      <c r="H55" s="3">
        <f t="shared" si="2"/>
        <v>-0.42577750427541583</v>
      </c>
    </row>
    <row r="56" spans="1:8" x14ac:dyDescent="0.3">
      <c r="A56" s="2">
        <v>41692</v>
      </c>
      <c r="B56" s="3">
        <v>309217.87556252623</v>
      </c>
      <c r="C56" s="3">
        <v>320116.92432327801</v>
      </c>
      <c r="D56">
        <v>9772</v>
      </c>
      <c r="E56" s="3">
        <f t="shared" si="0"/>
        <v>31.643253741560194</v>
      </c>
      <c r="F56" s="16">
        <f t="shared" si="1"/>
        <v>-10899.048760751786</v>
      </c>
      <c r="G56" s="23">
        <f t="shared" si="3"/>
        <v>-3.5247149735196714E-2</v>
      </c>
      <c r="H56" s="3">
        <f t="shared" si="2"/>
        <v>-1.1153345027375958</v>
      </c>
    </row>
    <row r="57" spans="1:8" x14ac:dyDescent="0.3">
      <c r="A57" s="2">
        <v>41693</v>
      </c>
      <c r="B57" s="3">
        <v>138491.5499504623</v>
      </c>
      <c r="C57" s="3">
        <v>140752.60159166719</v>
      </c>
      <c r="D57">
        <v>4270</v>
      </c>
      <c r="E57" s="3">
        <f t="shared" si="0"/>
        <v>32.433618255377588</v>
      </c>
      <c r="F57" s="16">
        <f t="shared" si="1"/>
        <v>-2261.0516412048892</v>
      </c>
      <c r="G57" s="23">
        <f t="shared" si="3"/>
        <v>-1.6326278693636221E-2</v>
      </c>
      <c r="H57" s="3">
        <f t="shared" si="2"/>
        <v>-0.52952029068030193</v>
      </c>
    </row>
    <row r="58" spans="1:8" x14ac:dyDescent="0.3">
      <c r="A58" s="2">
        <v>41694</v>
      </c>
      <c r="B58" s="3">
        <v>133146.22220523609</v>
      </c>
      <c r="C58" s="3">
        <v>134505.40422379479</v>
      </c>
      <c r="D58">
        <v>4106</v>
      </c>
      <c r="E58" s="3">
        <f t="shared" si="0"/>
        <v>32.427233854173423</v>
      </c>
      <c r="F58" s="16">
        <f t="shared" si="1"/>
        <v>-1359.1820185586985</v>
      </c>
      <c r="G58" s="23">
        <f t="shared" si="3"/>
        <v>-1.0208190634681391E-2</v>
      </c>
      <c r="H58" s="3">
        <f t="shared" si="2"/>
        <v>-0.33102338493879652</v>
      </c>
    </row>
    <row r="59" spans="1:8" x14ac:dyDescent="0.3">
      <c r="A59" s="2">
        <v>41695</v>
      </c>
      <c r="B59" s="3">
        <v>224994.65618289221</v>
      </c>
      <c r="C59" s="3">
        <v>227546.44655960059</v>
      </c>
      <c r="D59">
        <v>6937</v>
      </c>
      <c r="E59" s="3">
        <f t="shared" si="0"/>
        <v>32.433999738055675</v>
      </c>
      <c r="F59" s="16">
        <f t="shared" si="1"/>
        <v>-2551.7903767083772</v>
      </c>
      <c r="G59" s="23">
        <f t="shared" si="3"/>
        <v>-1.1341559928579345E-2</v>
      </c>
      <c r="H59" s="3">
        <f t="shared" si="2"/>
        <v>-0.36785215175268521</v>
      </c>
    </row>
    <row r="60" spans="1:8" x14ac:dyDescent="0.3">
      <c r="A60" s="2">
        <v>41696</v>
      </c>
      <c r="B60" s="3">
        <v>225051.59146803219</v>
      </c>
      <c r="C60" s="3">
        <v>228214.1421194314</v>
      </c>
      <c r="D60">
        <v>6934</v>
      </c>
      <c r="E60" s="3">
        <f t="shared" si="0"/>
        <v>32.456243361412199</v>
      </c>
      <c r="F60" s="16">
        <f t="shared" si="1"/>
        <v>-3162.550651399215</v>
      </c>
      <c r="G60" s="23">
        <f t="shared" si="3"/>
        <v>-1.4052558485677026E-2</v>
      </c>
      <c r="H60" s="3">
        <f t="shared" si="2"/>
        <v>-0.45609325806161161</v>
      </c>
    </row>
    <row r="61" spans="1:8" x14ac:dyDescent="0.3">
      <c r="A61" s="2">
        <v>41697</v>
      </c>
      <c r="B61" s="3">
        <v>344299.68244112999</v>
      </c>
      <c r="C61" s="3">
        <v>365935.6529559262</v>
      </c>
      <c r="D61">
        <v>11082</v>
      </c>
      <c r="E61" s="3">
        <f t="shared" si="0"/>
        <v>31.068370550544124</v>
      </c>
      <c r="F61" s="16">
        <f t="shared" si="1"/>
        <v>-21635.970514796209</v>
      </c>
      <c r="G61" s="23">
        <f t="shared" si="3"/>
        <v>-6.2840518357131017E-2</v>
      </c>
      <c r="H61" s="3">
        <f t="shared" si="2"/>
        <v>-1.9523525099076167</v>
      </c>
    </row>
    <row r="62" spans="1:8" x14ac:dyDescent="0.3">
      <c r="A62" s="2">
        <v>41698</v>
      </c>
      <c r="B62" s="3">
        <v>661876.49999964947</v>
      </c>
      <c r="C62" s="3">
        <v>686656.79099217081</v>
      </c>
      <c r="D62">
        <v>20805</v>
      </c>
      <c r="E62" s="3">
        <f t="shared" si="0"/>
        <v>31.813338139853375</v>
      </c>
      <c r="F62" s="16">
        <f t="shared" si="1"/>
        <v>-24780.290992521332</v>
      </c>
      <c r="G62" s="23">
        <f t="shared" si="3"/>
        <v>-3.743944828458852E-2</v>
      </c>
      <c r="H62" s="3">
        <f t="shared" si="2"/>
        <v>-1.191073828047168</v>
      </c>
    </row>
    <row r="63" spans="1:8" x14ac:dyDescent="0.3">
      <c r="A63" s="2">
        <v>41699</v>
      </c>
      <c r="B63" s="3">
        <v>846678.38816080405</v>
      </c>
      <c r="C63" s="3">
        <v>872081.58500352106</v>
      </c>
      <c r="D63">
        <v>26410</v>
      </c>
      <c r="E63" s="3">
        <f t="shared" si="0"/>
        <v>32.059007503248921</v>
      </c>
      <c r="F63" s="16">
        <f t="shared" si="1"/>
        <v>-25403.196842717007</v>
      </c>
      <c r="G63" s="23">
        <f t="shared" si="3"/>
        <v>-3.0003360423429569E-2</v>
      </c>
      <c r="H63" s="3">
        <f t="shared" si="2"/>
        <v>-0.96187795693741029</v>
      </c>
    </row>
    <row r="64" spans="1:8" x14ac:dyDescent="0.3">
      <c r="A64" s="2">
        <v>41700</v>
      </c>
      <c r="B64" s="3">
        <v>478902.30487182317</v>
      </c>
      <c r="C64" s="3">
        <v>495554.44992388849</v>
      </c>
      <c r="D64">
        <v>15004</v>
      </c>
      <c r="E64" s="3">
        <f t="shared" si="0"/>
        <v>31.918308775781338</v>
      </c>
      <c r="F64" s="16">
        <f t="shared" si="1"/>
        <v>-16652.145052065316</v>
      </c>
      <c r="G64" s="23">
        <f t="shared" si="3"/>
        <v>-3.4771486548853037E-2</v>
      </c>
      <c r="H64" s="3">
        <f t="shared" si="2"/>
        <v>-1.1098470442592185</v>
      </c>
    </row>
    <row r="65" spans="1:8" x14ac:dyDescent="0.3">
      <c r="A65" s="2">
        <v>41701</v>
      </c>
      <c r="B65" s="3">
        <v>538827.20213254262</v>
      </c>
      <c r="C65" s="3">
        <v>557567.13698481338</v>
      </c>
      <c r="D65">
        <v>16884</v>
      </c>
      <c r="E65" s="3">
        <f t="shared" si="0"/>
        <v>31.913480344263363</v>
      </c>
      <c r="F65" s="16">
        <f t="shared" si="1"/>
        <v>-18739.934852270759</v>
      </c>
      <c r="G65" s="23">
        <f t="shared" si="3"/>
        <v>-3.4779118014277688E-2</v>
      </c>
      <c r="H65" s="3">
        <f t="shared" si="2"/>
        <v>-1.1099226991394668</v>
      </c>
    </row>
    <row r="66" spans="1:8" x14ac:dyDescent="0.3">
      <c r="A66" s="2">
        <v>41702</v>
      </c>
      <c r="B66" s="3">
        <v>310346.12128754472</v>
      </c>
      <c r="C66" s="3">
        <v>323325.02992702462</v>
      </c>
      <c r="D66">
        <v>9789</v>
      </c>
      <c r="E66" s="3">
        <f t="shared" ref="E66:E129" si="4">B66/D66</f>
        <v>31.703557185365689</v>
      </c>
      <c r="F66" s="16">
        <f t="shared" ref="F66:F129" si="5">B66-C66</f>
        <v>-12978.908639479894</v>
      </c>
      <c r="G66" s="23">
        <f t="shared" ref="G66:G129" si="6">F66/B66</f>
        <v>-4.1820753504615442E-2</v>
      </c>
      <c r="H66" s="3">
        <f t="shared" ref="H66:H129" si="7">F66/D66</f>
        <v>-1.325866650268658</v>
      </c>
    </row>
    <row r="67" spans="1:8" x14ac:dyDescent="0.3">
      <c r="A67" s="2">
        <v>41703</v>
      </c>
      <c r="B67" s="3">
        <v>256390.52221047229</v>
      </c>
      <c r="C67" s="3">
        <v>267308.50708271051</v>
      </c>
      <c r="D67">
        <v>8079</v>
      </c>
      <c r="E67" s="3">
        <f t="shared" si="4"/>
        <v>31.735427925544286</v>
      </c>
      <c r="F67" s="16">
        <f t="shared" si="5"/>
        <v>-10917.984872238216</v>
      </c>
      <c r="G67" s="23">
        <f t="shared" si="6"/>
        <v>-4.258341836550255E-2</v>
      </c>
      <c r="H67" s="3">
        <f t="shared" si="7"/>
        <v>-1.3514030043617051</v>
      </c>
    </row>
    <row r="68" spans="1:8" x14ac:dyDescent="0.3">
      <c r="A68" s="2">
        <v>41704</v>
      </c>
      <c r="B68" s="3">
        <v>167803.65977609379</v>
      </c>
      <c r="C68" s="3">
        <v>168135.69000612191</v>
      </c>
      <c r="D68">
        <v>5072</v>
      </c>
      <c r="E68" s="3">
        <f t="shared" si="4"/>
        <v>33.084317779198301</v>
      </c>
      <c r="F68" s="16">
        <f t="shared" si="5"/>
        <v>-332.03023002811824</v>
      </c>
      <c r="G68" s="23">
        <f t="shared" si="6"/>
        <v>-1.9786828873169849E-3</v>
      </c>
      <c r="H68" s="3">
        <f t="shared" si="7"/>
        <v>-6.5463373428256755E-2</v>
      </c>
    </row>
    <row r="69" spans="1:8" x14ac:dyDescent="0.3">
      <c r="A69" s="2">
        <v>41705</v>
      </c>
      <c r="B69" s="3">
        <v>465318.02151156618</v>
      </c>
      <c r="C69" s="3">
        <v>483774.59671529243</v>
      </c>
      <c r="D69">
        <v>14551</v>
      </c>
      <c r="E69" s="3">
        <f t="shared" si="4"/>
        <v>31.978422205454347</v>
      </c>
      <c r="F69" s="16">
        <f t="shared" si="5"/>
        <v>-18456.575203726243</v>
      </c>
      <c r="G69" s="23">
        <f t="shared" si="6"/>
        <v>-3.966443238920949E-2</v>
      </c>
      <c r="H69" s="3">
        <f t="shared" si="7"/>
        <v>-1.2684059654818391</v>
      </c>
    </row>
    <row r="70" spans="1:8" x14ac:dyDescent="0.3">
      <c r="A70" s="2">
        <v>41706</v>
      </c>
      <c r="B70" s="3">
        <v>520146.74963959062</v>
      </c>
      <c r="C70" s="3">
        <v>541498.95824459626</v>
      </c>
      <c r="D70">
        <v>16262</v>
      </c>
      <c r="E70" s="3">
        <f t="shared" si="4"/>
        <v>31.985410751419913</v>
      </c>
      <c r="F70" s="16">
        <f t="shared" si="5"/>
        <v>-21352.208605005639</v>
      </c>
      <c r="G70" s="23">
        <f t="shared" si="6"/>
        <v>-4.1050354769688692E-2</v>
      </c>
      <c r="H70" s="3">
        <f t="shared" si="7"/>
        <v>-1.3130124588000023</v>
      </c>
    </row>
    <row r="71" spans="1:8" x14ac:dyDescent="0.3">
      <c r="A71" s="2">
        <v>41707</v>
      </c>
      <c r="B71" s="3">
        <v>224699.25281941221</v>
      </c>
      <c r="C71" s="3">
        <v>233589.98296831999</v>
      </c>
      <c r="D71">
        <v>7014</v>
      </c>
      <c r="E71" s="3">
        <f t="shared" si="4"/>
        <v>32.035821616682668</v>
      </c>
      <c r="F71" s="16">
        <f t="shared" si="5"/>
        <v>-8890.7301489077799</v>
      </c>
      <c r="G71" s="23">
        <f t="shared" si="6"/>
        <v>-3.9567243937625111E-2</v>
      </c>
      <c r="H71" s="3">
        <f t="shared" si="7"/>
        <v>-1.2675691686495267</v>
      </c>
    </row>
    <row r="72" spans="1:8" x14ac:dyDescent="0.3">
      <c r="A72" s="2">
        <v>41708</v>
      </c>
      <c r="B72" s="3">
        <v>286230.67889633839</v>
      </c>
      <c r="C72" s="3">
        <v>297642.8914364595</v>
      </c>
      <c r="D72">
        <v>8932</v>
      </c>
      <c r="E72" s="3">
        <f t="shared" si="4"/>
        <v>32.045530552657681</v>
      </c>
      <c r="F72" s="16">
        <f t="shared" si="5"/>
        <v>-11412.212540121109</v>
      </c>
      <c r="G72" s="23">
        <f t="shared" si="6"/>
        <v>-3.9870682570173295E-2</v>
      </c>
      <c r="H72" s="3">
        <f t="shared" si="7"/>
        <v>-1.2776771764578043</v>
      </c>
    </row>
    <row r="73" spans="1:8" x14ac:dyDescent="0.3">
      <c r="A73" s="2">
        <v>41709</v>
      </c>
      <c r="B73" s="3">
        <v>187143.01806258349</v>
      </c>
      <c r="C73" s="3">
        <v>191499.0428132079</v>
      </c>
      <c r="D73">
        <v>5737</v>
      </c>
      <c r="E73" s="3">
        <f t="shared" si="4"/>
        <v>32.620362221123145</v>
      </c>
      <c r="F73" s="16">
        <f t="shared" si="5"/>
        <v>-4356.024750624405</v>
      </c>
      <c r="G73" s="23">
        <f t="shared" si="6"/>
        <v>-2.3276448118239087E-2</v>
      </c>
      <c r="H73" s="3">
        <f t="shared" si="7"/>
        <v>-0.75928616883813926</v>
      </c>
    </row>
    <row r="74" spans="1:8" x14ac:dyDescent="0.3">
      <c r="A74" s="2">
        <v>41710</v>
      </c>
      <c r="B74" s="3">
        <v>191700.3891282347</v>
      </c>
      <c r="C74" s="3">
        <v>197153.4240190601</v>
      </c>
      <c r="D74">
        <v>5903</v>
      </c>
      <c r="E74" s="3">
        <f t="shared" si="4"/>
        <v>32.475078625823258</v>
      </c>
      <c r="F74" s="16">
        <f t="shared" si="5"/>
        <v>-5453.0348908253945</v>
      </c>
      <c r="G74" s="23">
        <f t="shared" si="6"/>
        <v>-2.8445612007483616E-2</v>
      </c>
      <c r="H74" s="3">
        <f t="shared" si="7"/>
        <v>-0.92377348650269264</v>
      </c>
    </row>
    <row r="75" spans="1:8" x14ac:dyDescent="0.3">
      <c r="A75" s="2">
        <v>41711</v>
      </c>
      <c r="B75" s="3">
        <v>164663.9676028023</v>
      </c>
      <c r="C75" s="3">
        <v>168975.1740454408</v>
      </c>
      <c r="D75">
        <v>5056</v>
      </c>
      <c r="E75" s="3">
        <f t="shared" si="4"/>
        <v>32.568031567009946</v>
      </c>
      <c r="F75" s="16">
        <f t="shared" si="5"/>
        <v>-4311.2064426385041</v>
      </c>
      <c r="G75" s="23">
        <f t="shared" si="6"/>
        <v>-2.618184479216408E-2</v>
      </c>
      <c r="H75" s="3">
        <f t="shared" si="7"/>
        <v>-0.85269114767375476</v>
      </c>
    </row>
    <row r="76" spans="1:8" x14ac:dyDescent="0.3">
      <c r="A76" s="2">
        <v>41712</v>
      </c>
      <c r="B76" s="3">
        <v>395941.34513216221</v>
      </c>
      <c r="C76" s="3">
        <v>406765.91395402339</v>
      </c>
      <c r="D76">
        <v>12167</v>
      </c>
      <c r="E76" s="3">
        <f t="shared" si="4"/>
        <v>32.542232689419102</v>
      </c>
      <c r="F76" s="16">
        <f t="shared" si="5"/>
        <v>-10824.568821861176</v>
      </c>
      <c r="G76" s="23">
        <f t="shared" si="6"/>
        <v>-2.7338819133041075E-2</v>
      </c>
      <c r="H76" s="3">
        <f t="shared" si="7"/>
        <v>-0.88966621368136567</v>
      </c>
    </row>
    <row r="77" spans="1:8" x14ac:dyDescent="0.3">
      <c r="A77" s="2">
        <v>41713</v>
      </c>
      <c r="B77" s="3">
        <v>518183.2103749144</v>
      </c>
      <c r="C77" s="3">
        <v>534383.14311860851</v>
      </c>
      <c r="D77">
        <v>15971</v>
      </c>
      <c r="E77" s="3">
        <f t="shared" si="4"/>
        <v>32.44525767797348</v>
      </c>
      <c r="F77" s="16">
        <f t="shared" si="5"/>
        <v>-16199.932743694109</v>
      </c>
      <c r="G77" s="23">
        <f t="shared" si="6"/>
        <v>-3.1262944108075563E-2</v>
      </c>
      <c r="H77" s="3">
        <f t="shared" si="7"/>
        <v>-1.0143342773585944</v>
      </c>
    </row>
    <row r="78" spans="1:8" x14ac:dyDescent="0.3">
      <c r="A78" s="2">
        <v>41714</v>
      </c>
      <c r="B78" s="3">
        <v>226617.95494027081</v>
      </c>
      <c r="C78" s="3">
        <v>233191.1045662229</v>
      </c>
      <c r="D78">
        <v>6968</v>
      </c>
      <c r="E78" s="3">
        <f t="shared" si="4"/>
        <v>32.522668619441852</v>
      </c>
      <c r="F78" s="16">
        <f t="shared" si="5"/>
        <v>-6573.1496259520936</v>
      </c>
      <c r="G78" s="23">
        <f t="shared" si="6"/>
        <v>-2.9005422927254658E-2</v>
      </c>
      <c r="H78" s="3">
        <f t="shared" si="7"/>
        <v>-0.94333375802986419</v>
      </c>
    </row>
    <row r="79" spans="1:8" x14ac:dyDescent="0.3">
      <c r="A79" s="2">
        <v>41715</v>
      </c>
      <c r="B79" s="3">
        <v>243707.87194737699</v>
      </c>
      <c r="C79" s="3">
        <v>250794.2212640947</v>
      </c>
      <c r="D79">
        <v>7494</v>
      </c>
      <c r="E79" s="3">
        <f t="shared" si="4"/>
        <v>32.520399245713506</v>
      </c>
      <c r="F79" s="16">
        <f t="shared" si="5"/>
        <v>-7086.3493167177076</v>
      </c>
      <c r="G79" s="23">
        <f t="shared" si="6"/>
        <v>-2.9077227830571838E-2</v>
      </c>
      <c r="H79" s="3">
        <f t="shared" si="7"/>
        <v>-0.94560305800876798</v>
      </c>
    </row>
    <row r="80" spans="1:8" x14ac:dyDescent="0.3">
      <c r="A80" s="2">
        <v>41716</v>
      </c>
      <c r="B80" s="3">
        <v>94849.743799770498</v>
      </c>
      <c r="C80" s="3">
        <v>90571.58892297688</v>
      </c>
      <c r="D80">
        <v>2707</v>
      </c>
      <c r="E80" s="3">
        <f t="shared" si="4"/>
        <v>35.038693682959178</v>
      </c>
      <c r="F80" s="16">
        <f t="shared" si="5"/>
        <v>4278.1548767936183</v>
      </c>
      <c r="G80" s="23">
        <f t="shared" si="6"/>
        <v>4.51045485776417E-2</v>
      </c>
      <c r="H80" s="3">
        <f t="shared" si="7"/>
        <v>1.5804044613201398</v>
      </c>
    </row>
    <row r="81" spans="1:8" x14ac:dyDescent="0.3">
      <c r="A81" s="2">
        <v>41717</v>
      </c>
      <c r="B81" s="3">
        <v>92386.783066575619</v>
      </c>
      <c r="C81" s="3">
        <v>88255.840991793899</v>
      </c>
      <c r="D81">
        <v>2637</v>
      </c>
      <c r="E81" s="3">
        <f t="shared" si="4"/>
        <v>35.034805865216391</v>
      </c>
      <c r="F81" s="16">
        <f t="shared" si="5"/>
        <v>4130.9420747817203</v>
      </c>
      <c r="G81" s="23">
        <f t="shared" si="6"/>
        <v>4.4713561157388573E-2</v>
      </c>
      <c r="H81" s="3">
        <f t="shared" si="7"/>
        <v>1.566530934691589</v>
      </c>
    </row>
    <row r="82" spans="1:8" x14ac:dyDescent="0.3">
      <c r="A82" s="2">
        <v>41718</v>
      </c>
      <c r="B82" s="3">
        <v>180394.82770444019</v>
      </c>
      <c r="C82" s="3">
        <v>172344.30443948091</v>
      </c>
      <c r="D82">
        <v>5149</v>
      </c>
      <c r="E82" s="3">
        <f t="shared" si="4"/>
        <v>35.034924782373317</v>
      </c>
      <c r="F82" s="16">
        <f t="shared" si="5"/>
        <v>8050.5232649592799</v>
      </c>
      <c r="G82" s="23">
        <f t="shared" si="6"/>
        <v>4.4627239968039988E-2</v>
      </c>
      <c r="H82" s="3">
        <f t="shared" si="7"/>
        <v>1.5635119955252048</v>
      </c>
    </row>
    <row r="83" spans="1:8" x14ac:dyDescent="0.3">
      <c r="A83" s="2">
        <v>41719</v>
      </c>
      <c r="B83" s="3">
        <v>200939.69236394399</v>
      </c>
      <c r="C83" s="3">
        <v>192019.14427492701</v>
      </c>
      <c r="D83">
        <v>5735</v>
      </c>
      <c r="E83" s="3">
        <f t="shared" si="4"/>
        <v>35.037435460147165</v>
      </c>
      <c r="F83" s="16">
        <f t="shared" si="5"/>
        <v>8920.5480890169856</v>
      </c>
      <c r="G83" s="23">
        <f t="shared" si="6"/>
        <v>4.4394156197173823E-2</v>
      </c>
      <c r="H83" s="3">
        <f t="shared" si="7"/>
        <v>1.5554573825661702</v>
      </c>
    </row>
    <row r="84" spans="1:8" x14ac:dyDescent="0.3">
      <c r="A84" s="2">
        <v>41720</v>
      </c>
      <c r="B84" s="3">
        <v>172953.92471044019</v>
      </c>
      <c r="C84" s="3">
        <v>165201.30501850991</v>
      </c>
      <c r="D84">
        <v>4936</v>
      </c>
      <c r="E84" s="3">
        <f t="shared" si="4"/>
        <v>35.039287826264221</v>
      </c>
      <c r="F84" s="16">
        <f t="shared" si="5"/>
        <v>7752.6196919302747</v>
      </c>
      <c r="G84" s="23">
        <f t="shared" si="6"/>
        <v>4.4824768821579077E-2</v>
      </c>
      <c r="H84" s="3">
        <f t="shared" si="7"/>
        <v>1.5706279764850637</v>
      </c>
    </row>
    <row r="85" spans="1:8" x14ac:dyDescent="0.3">
      <c r="A85" s="2">
        <v>41721</v>
      </c>
      <c r="B85" s="3">
        <v>70194.79953786121</v>
      </c>
      <c r="C85" s="3">
        <v>67061.622709446878</v>
      </c>
      <c r="D85">
        <v>2003</v>
      </c>
      <c r="E85" s="3">
        <f t="shared" si="4"/>
        <v>35.044832520150379</v>
      </c>
      <c r="F85" s="16">
        <f t="shared" si="5"/>
        <v>3133.1768284143327</v>
      </c>
      <c r="G85" s="23">
        <f t="shared" si="6"/>
        <v>4.4635455176766765E-2</v>
      </c>
      <c r="H85" s="3">
        <f t="shared" si="7"/>
        <v>1.5642420511304707</v>
      </c>
    </row>
    <row r="86" spans="1:8" x14ac:dyDescent="0.3">
      <c r="A86" s="2">
        <v>41722</v>
      </c>
      <c r="B86" s="3">
        <v>81378.21463167097</v>
      </c>
      <c r="C86" s="3">
        <v>77703.6463336835</v>
      </c>
      <c r="D86">
        <v>2323</v>
      </c>
      <c r="E86" s="3">
        <f t="shared" si="4"/>
        <v>35.031517275794648</v>
      </c>
      <c r="F86" s="16">
        <f t="shared" si="5"/>
        <v>3674.5682979874691</v>
      </c>
      <c r="G86" s="23">
        <f t="shared" si="6"/>
        <v>4.5154201460662076E-2</v>
      </c>
      <c r="H86" s="3">
        <f t="shared" si="7"/>
        <v>1.5818201885438954</v>
      </c>
    </row>
    <row r="87" spans="1:8" x14ac:dyDescent="0.3">
      <c r="A87" s="2">
        <v>41723</v>
      </c>
      <c r="B87" s="3">
        <v>130227.01471457881</v>
      </c>
      <c r="C87" s="3">
        <v>127394.2892421362</v>
      </c>
      <c r="D87">
        <v>3822</v>
      </c>
      <c r="E87" s="3">
        <f t="shared" si="4"/>
        <v>34.073002280109577</v>
      </c>
      <c r="F87" s="16">
        <f t="shared" si="5"/>
        <v>2832.725472442602</v>
      </c>
      <c r="G87" s="23">
        <f t="shared" si="6"/>
        <v>2.1752210773249653E-2</v>
      </c>
      <c r="H87" s="3">
        <f t="shared" si="7"/>
        <v>0.74116312727435951</v>
      </c>
    </row>
    <row r="88" spans="1:8" x14ac:dyDescent="0.3">
      <c r="A88" s="2">
        <v>41724</v>
      </c>
      <c r="B88" s="3">
        <v>125310.0364078538</v>
      </c>
      <c r="C88" s="3">
        <v>122275.1025821775</v>
      </c>
      <c r="D88">
        <v>3666</v>
      </c>
      <c r="E88" s="3">
        <f t="shared" si="4"/>
        <v>34.181679325655701</v>
      </c>
      <c r="F88" s="16">
        <f t="shared" si="5"/>
        <v>3034.9338256763003</v>
      </c>
      <c r="G88" s="23">
        <f t="shared" si="6"/>
        <v>2.4219399440586917E-2</v>
      </c>
      <c r="H88" s="3">
        <f t="shared" si="7"/>
        <v>0.82785974513810701</v>
      </c>
    </row>
    <row r="89" spans="1:8" x14ac:dyDescent="0.3">
      <c r="A89" s="2">
        <v>41725</v>
      </c>
      <c r="B89" s="3">
        <v>119452.33963454991</v>
      </c>
      <c r="C89" s="3">
        <v>118186.5750412271</v>
      </c>
      <c r="D89">
        <v>3543</v>
      </c>
      <c r="E89" s="3">
        <f t="shared" si="4"/>
        <v>33.715026710287866</v>
      </c>
      <c r="F89" s="16">
        <f t="shared" si="5"/>
        <v>1265.764593322805</v>
      </c>
      <c r="G89" s="23">
        <f t="shared" si="6"/>
        <v>1.0596398506678562E-2</v>
      </c>
      <c r="H89" s="3">
        <f t="shared" si="7"/>
        <v>0.35725785868552218</v>
      </c>
    </row>
    <row r="90" spans="1:8" x14ac:dyDescent="0.3">
      <c r="A90" s="2">
        <v>41726</v>
      </c>
      <c r="B90" s="3">
        <v>276174.76932028373</v>
      </c>
      <c r="C90" s="3">
        <v>271550.89558082249</v>
      </c>
      <c r="D90">
        <v>8130</v>
      </c>
      <c r="E90" s="3">
        <f t="shared" si="4"/>
        <v>33.969836324758148</v>
      </c>
      <c r="F90" s="16">
        <f t="shared" si="5"/>
        <v>4623.8737394612399</v>
      </c>
      <c r="G90" s="23">
        <f t="shared" si="6"/>
        <v>1.674256395992086E-2</v>
      </c>
      <c r="H90" s="3">
        <f t="shared" si="7"/>
        <v>0.56874215737530631</v>
      </c>
    </row>
    <row r="91" spans="1:8" x14ac:dyDescent="0.3">
      <c r="A91" s="2">
        <v>41727</v>
      </c>
      <c r="B91" s="3">
        <v>357369.26694065123</v>
      </c>
      <c r="C91" s="3">
        <v>352250.83007461781</v>
      </c>
      <c r="D91">
        <v>10518</v>
      </c>
      <c r="E91" s="3">
        <f t="shared" si="4"/>
        <v>33.976922127842862</v>
      </c>
      <c r="F91" s="16">
        <f t="shared" si="5"/>
        <v>5118.4368660334148</v>
      </c>
      <c r="G91" s="23">
        <f t="shared" si="6"/>
        <v>1.4322543485205291E-2</v>
      </c>
      <c r="H91" s="3">
        <f t="shared" si="7"/>
        <v>0.48663594466946331</v>
      </c>
    </row>
    <row r="92" spans="1:8" x14ac:dyDescent="0.3">
      <c r="A92" s="2">
        <v>41728</v>
      </c>
      <c r="B92" s="3">
        <v>163865.49027270381</v>
      </c>
      <c r="C92" s="3">
        <v>160525.4268777135</v>
      </c>
      <c r="D92">
        <v>4791</v>
      </c>
      <c r="E92" s="3">
        <f t="shared" si="4"/>
        <v>34.202774008078443</v>
      </c>
      <c r="F92" s="16">
        <f t="shared" si="5"/>
        <v>3340.0633949903131</v>
      </c>
      <c r="G92" s="23">
        <f t="shared" si="6"/>
        <v>2.0382957933557596E-2</v>
      </c>
      <c r="H92" s="3">
        <f t="shared" si="7"/>
        <v>0.69715370381763997</v>
      </c>
    </row>
    <row r="93" spans="1:8" x14ac:dyDescent="0.3">
      <c r="A93" s="2">
        <v>41729</v>
      </c>
      <c r="B93" s="3">
        <v>190719.61452860001</v>
      </c>
      <c r="C93" s="3">
        <v>187072.59522993831</v>
      </c>
      <c r="D93">
        <v>5583</v>
      </c>
      <c r="E93" s="3">
        <f t="shared" si="4"/>
        <v>34.160776379831631</v>
      </c>
      <c r="F93" s="16">
        <f t="shared" si="5"/>
        <v>3647.0192986617039</v>
      </c>
      <c r="G93" s="23">
        <f t="shared" si="6"/>
        <v>1.9122413327417893E-2</v>
      </c>
      <c r="H93" s="3">
        <f t="shared" si="7"/>
        <v>0.65323648552063474</v>
      </c>
    </row>
    <row r="94" spans="1:8" x14ac:dyDescent="0.3">
      <c r="A94" s="2">
        <v>41730</v>
      </c>
      <c r="B94" s="3">
        <v>244535.20522546369</v>
      </c>
      <c r="C94" s="3">
        <v>239700.68479759869</v>
      </c>
      <c r="D94">
        <v>7155</v>
      </c>
      <c r="E94" s="3">
        <f t="shared" si="4"/>
        <v>34.176828123754532</v>
      </c>
      <c r="F94" s="16">
        <f t="shared" si="5"/>
        <v>4834.5204278650053</v>
      </c>
      <c r="G94" s="23">
        <f t="shared" si="6"/>
        <v>1.977024299387703E-2</v>
      </c>
      <c r="H94" s="3">
        <f t="shared" si="7"/>
        <v>0.67568419676659752</v>
      </c>
    </row>
    <row r="95" spans="1:8" x14ac:dyDescent="0.3">
      <c r="A95" s="2">
        <v>41731</v>
      </c>
      <c r="B95" s="3">
        <v>155620.50378882751</v>
      </c>
      <c r="C95" s="3">
        <v>153366.0188105522</v>
      </c>
      <c r="D95">
        <v>4575</v>
      </c>
      <c r="E95" s="3">
        <f t="shared" si="4"/>
        <v>34.015410664224589</v>
      </c>
      <c r="F95" s="16">
        <f t="shared" si="5"/>
        <v>2254.4849782753154</v>
      </c>
      <c r="G95" s="23">
        <f t="shared" si="6"/>
        <v>1.4487069013313219E-2</v>
      </c>
      <c r="H95" s="3">
        <f t="shared" si="7"/>
        <v>0.49278360180881209</v>
      </c>
    </row>
    <row r="96" spans="1:8" x14ac:dyDescent="0.3">
      <c r="A96" s="2">
        <v>41732</v>
      </c>
      <c r="B96" s="3">
        <v>136001.97816007739</v>
      </c>
      <c r="C96" s="3">
        <v>134523.0686337204</v>
      </c>
      <c r="D96">
        <v>3997</v>
      </c>
      <c r="E96" s="3">
        <f t="shared" si="4"/>
        <v>34.026014050557265</v>
      </c>
      <c r="F96" s="16">
        <f t="shared" si="5"/>
        <v>1478.9095263569907</v>
      </c>
      <c r="G96" s="23">
        <f t="shared" si="6"/>
        <v>1.0874176584522034E-2</v>
      </c>
      <c r="H96" s="3">
        <f t="shared" si="7"/>
        <v>0.37000488525318759</v>
      </c>
    </row>
    <row r="97" spans="1:8" x14ac:dyDescent="0.3">
      <c r="A97" s="2">
        <v>41733</v>
      </c>
      <c r="B97" s="3">
        <v>190559.8875127674</v>
      </c>
      <c r="C97" s="3">
        <v>187742.30001175261</v>
      </c>
      <c r="D97">
        <v>5558</v>
      </c>
      <c r="E97" s="3">
        <f t="shared" si="4"/>
        <v>34.285694046917484</v>
      </c>
      <c r="F97" s="16">
        <f t="shared" si="5"/>
        <v>2817.5875010147865</v>
      </c>
      <c r="G97" s="23">
        <f t="shared" si="6"/>
        <v>1.4785837343790466E-2</v>
      </c>
      <c r="H97" s="3">
        <f t="shared" si="7"/>
        <v>0.50694269539668702</v>
      </c>
    </row>
    <row r="98" spans="1:8" x14ac:dyDescent="0.3">
      <c r="A98" s="2">
        <v>41734</v>
      </c>
      <c r="B98" s="3">
        <v>217110.50252912121</v>
      </c>
      <c r="C98" s="3">
        <v>213540.7341841938</v>
      </c>
      <c r="D98">
        <v>6320</v>
      </c>
      <c r="E98" s="3">
        <f t="shared" si="4"/>
        <v>34.352927615367278</v>
      </c>
      <c r="F98" s="16">
        <f t="shared" si="5"/>
        <v>3569.7683449274045</v>
      </c>
      <c r="G98" s="23">
        <f t="shared" si="6"/>
        <v>1.6442172549660919E-2</v>
      </c>
      <c r="H98" s="3">
        <f t="shared" si="7"/>
        <v>0.56483676343788047</v>
      </c>
    </row>
    <row r="99" spans="1:8" x14ac:dyDescent="0.3">
      <c r="A99" s="2">
        <v>41735</v>
      </c>
      <c r="B99" s="3">
        <v>119190.0999825563</v>
      </c>
      <c r="C99" s="3">
        <v>116856.31461341619</v>
      </c>
      <c r="D99">
        <v>3447</v>
      </c>
      <c r="E99" s="3">
        <f t="shared" si="4"/>
        <v>34.577922826387095</v>
      </c>
      <c r="F99" s="16">
        <f t="shared" si="5"/>
        <v>2333.7853691401106</v>
      </c>
      <c r="G99" s="23">
        <f t="shared" si="6"/>
        <v>1.9580362542540568E-2</v>
      </c>
      <c r="H99" s="3">
        <f t="shared" si="7"/>
        <v>0.67704826490864822</v>
      </c>
    </row>
    <row r="100" spans="1:8" x14ac:dyDescent="0.3">
      <c r="A100" s="2">
        <v>41736</v>
      </c>
      <c r="B100" s="3">
        <v>131910.19745153241</v>
      </c>
      <c r="C100" s="3">
        <v>130784.4447090652</v>
      </c>
      <c r="D100">
        <v>3854</v>
      </c>
      <c r="E100" s="3">
        <f t="shared" si="4"/>
        <v>34.226828607040062</v>
      </c>
      <c r="F100" s="16">
        <f t="shared" si="5"/>
        <v>1125.7527424672153</v>
      </c>
      <c r="G100" s="23">
        <f t="shared" si="6"/>
        <v>8.53423589848578E-3</v>
      </c>
      <c r="H100" s="3">
        <f t="shared" si="7"/>
        <v>0.29209982938952134</v>
      </c>
    </row>
    <row r="101" spans="1:8" x14ac:dyDescent="0.3">
      <c r="A101" s="2">
        <v>41737</v>
      </c>
      <c r="B101" s="3">
        <v>118921.3076762588</v>
      </c>
      <c r="C101" s="3">
        <v>115305.8051854457</v>
      </c>
      <c r="D101">
        <v>3394</v>
      </c>
      <c r="E101" s="3">
        <f t="shared" si="4"/>
        <v>35.038688178037361</v>
      </c>
      <c r="F101" s="16">
        <f t="shared" si="5"/>
        <v>3615.5024908131018</v>
      </c>
      <c r="G101" s="23">
        <f t="shared" si="6"/>
        <v>3.0402478424267219E-2</v>
      </c>
      <c r="H101" s="3">
        <f t="shared" si="7"/>
        <v>1.0652629613474076</v>
      </c>
    </row>
    <row r="102" spans="1:8" x14ac:dyDescent="0.3">
      <c r="A102" s="2">
        <v>41738</v>
      </c>
      <c r="B102" s="3">
        <v>124828.28283680879</v>
      </c>
      <c r="C102" s="3">
        <v>121264.7031181628</v>
      </c>
      <c r="D102">
        <v>3563</v>
      </c>
      <c r="E102" s="3">
        <f t="shared" si="4"/>
        <v>35.034600852317929</v>
      </c>
      <c r="F102" s="16">
        <f t="shared" si="5"/>
        <v>3563.5797186459968</v>
      </c>
      <c r="G102" s="23">
        <f t="shared" si="6"/>
        <v>2.8547855002577865E-2</v>
      </c>
      <c r="H102" s="3">
        <f t="shared" si="7"/>
        <v>1.0001627052051634</v>
      </c>
    </row>
    <row r="103" spans="1:8" x14ac:dyDescent="0.3">
      <c r="A103" s="2">
        <v>41739</v>
      </c>
      <c r="B103" s="3">
        <v>179326.4902280964</v>
      </c>
      <c r="C103" s="3">
        <v>183278.50242698641</v>
      </c>
      <c r="D103">
        <v>5380</v>
      </c>
      <c r="E103" s="3">
        <f t="shared" si="4"/>
        <v>33.332061380687065</v>
      </c>
      <c r="F103" s="16">
        <f t="shared" si="5"/>
        <v>-3952.0121988900064</v>
      </c>
      <c r="G103" s="23">
        <f t="shared" si="6"/>
        <v>-2.2038083686705734E-2</v>
      </c>
      <c r="H103" s="3">
        <f t="shared" si="7"/>
        <v>-0.73457475815799378</v>
      </c>
    </row>
    <row r="104" spans="1:8" x14ac:dyDescent="0.3">
      <c r="A104" s="2">
        <v>41740</v>
      </c>
      <c r="B104" s="3">
        <v>318949.81705616001</v>
      </c>
      <c r="C104" s="3">
        <v>326322.52601226018</v>
      </c>
      <c r="D104">
        <v>9573</v>
      </c>
      <c r="E104" s="3">
        <f t="shared" si="4"/>
        <v>33.317645153678058</v>
      </c>
      <c r="F104" s="16">
        <f t="shared" si="5"/>
        <v>-7372.708956100163</v>
      </c>
      <c r="G104" s="23">
        <f t="shared" si="6"/>
        <v>-2.3115576688987383E-2</v>
      </c>
      <c r="H104" s="3">
        <f t="shared" si="7"/>
        <v>-0.77015658164631395</v>
      </c>
    </row>
    <row r="105" spans="1:8" x14ac:dyDescent="0.3">
      <c r="A105" s="2">
        <v>41741</v>
      </c>
      <c r="B105" s="3">
        <v>375031.10932268901</v>
      </c>
      <c r="C105" s="3">
        <v>383727.19401292427</v>
      </c>
      <c r="D105">
        <v>11250</v>
      </c>
      <c r="E105" s="3">
        <f t="shared" si="4"/>
        <v>33.336098606461242</v>
      </c>
      <c r="F105" s="16">
        <f t="shared" si="5"/>
        <v>-8696.0846902352641</v>
      </c>
      <c r="G105" s="23">
        <f t="shared" si="6"/>
        <v>-2.3187635569594491E-2</v>
      </c>
      <c r="H105" s="3">
        <f t="shared" si="7"/>
        <v>-0.77298530579869018</v>
      </c>
    </row>
    <row r="106" spans="1:8" x14ac:dyDescent="0.3">
      <c r="A106" s="2">
        <v>41742</v>
      </c>
      <c r="B106" s="3">
        <v>166393.5407052727</v>
      </c>
      <c r="C106" s="3">
        <v>170061.86414652271</v>
      </c>
      <c r="D106">
        <v>4990</v>
      </c>
      <c r="E106" s="3">
        <f t="shared" si="4"/>
        <v>33.345398938932405</v>
      </c>
      <c r="F106" s="16">
        <f t="shared" si="5"/>
        <v>-3668.3234412500169</v>
      </c>
      <c r="G106" s="23">
        <f t="shared" si="6"/>
        <v>-2.2046068769866464E-2</v>
      </c>
      <c r="H106" s="3">
        <f t="shared" si="7"/>
        <v>-0.73513495816633601</v>
      </c>
    </row>
    <row r="107" spans="1:8" x14ac:dyDescent="0.3">
      <c r="A107" s="2">
        <v>41743</v>
      </c>
      <c r="B107" s="3">
        <v>193652.32776782889</v>
      </c>
      <c r="C107" s="3">
        <v>198212.06872996839</v>
      </c>
      <c r="D107">
        <v>5810</v>
      </c>
      <c r="E107" s="3">
        <f t="shared" si="4"/>
        <v>33.330865364514437</v>
      </c>
      <c r="F107" s="16">
        <f t="shared" si="5"/>
        <v>-4559.7409621395054</v>
      </c>
      <c r="G107" s="23">
        <f t="shared" si="6"/>
        <v>-2.3546016795657682E-2</v>
      </c>
      <c r="H107" s="3">
        <f t="shared" si="7"/>
        <v>-0.7848091156866619</v>
      </c>
    </row>
    <row r="108" spans="1:8" x14ac:dyDescent="0.3">
      <c r="A108" s="2">
        <v>41744</v>
      </c>
      <c r="B108" s="3">
        <v>249805.5172134914</v>
      </c>
      <c r="C108" s="3">
        <v>255956.65403528849</v>
      </c>
      <c r="D108">
        <v>7497</v>
      </c>
      <c r="E108" s="3">
        <f t="shared" si="4"/>
        <v>33.320730587367137</v>
      </c>
      <c r="F108" s="16">
        <f t="shared" si="5"/>
        <v>-6151.1368217970885</v>
      </c>
      <c r="G108" s="23">
        <f t="shared" si="6"/>
        <v>-2.4623702832552493E-2</v>
      </c>
      <c r="H108" s="3">
        <f t="shared" si="7"/>
        <v>-0.82047976814687051</v>
      </c>
    </row>
    <row r="109" spans="1:8" x14ac:dyDescent="0.3">
      <c r="A109" s="2">
        <v>41745</v>
      </c>
      <c r="B109" s="3">
        <v>294023.41088805022</v>
      </c>
      <c r="C109" s="3">
        <v>301522.35225437139</v>
      </c>
      <c r="D109">
        <v>8821</v>
      </c>
      <c r="E109" s="3">
        <f t="shared" si="4"/>
        <v>33.332208467072917</v>
      </c>
      <c r="F109" s="16">
        <f t="shared" si="5"/>
        <v>-7498.9413663211744</v>
      </c>
      <c r="G109" s="23">
        <f t="shared" si="6"/>
        <v>-2.5504572386504304E-2</v>
      </c>
      <c r="H109" s="3">
        <f t="shared" si="7"/>
        <v>-0.85012372365051292</v>
      </c>
    </row>
    <row r="110" spans="1:8" x14ac:dyDescent="0.3">
      <c r="A110" s="2">
        <v>41746</v>
      </c>
      <c r="B110" s="3">
        <v>612236.00579723774</v>
      </c>
      <c r="C110" s="3">
        <v>627927.75867338968</v>
      </c>
      <c r="D110">
        <v>18366</v>
      </c>
      <c r="E110" s="3">
        <f t="shared" si="4"/>
        <v>33.335293792727747</v>
      </c>
      <c r="F110" s="16">
        <f t="shared" si="5"/>
        <v>-15691.752876151935</v>
      </c>
      <c r="G110" s="23">
        <f t="shared" si="6"/>
        <v>-2.5630235281112787E-2</v>
      </c>
      <c r="H110" s="3">
        <f t="shared" si="7"/>
        <v>-0.85439142307263072</v>
      </c>
    </row>
    <row r="111" spans="1:8" x14ac:dyDescent="0.3">
      <c r="A111" s="2">
        <v>41747</v>
      </c>
      <c r="B111" s="3">
        <v>464815.51786854689</v>
      </c>
      <c r="C111" s="3">
        <v>476692.5436944089</v>
      </c>
      <c r="D111">
        <v>13940</v>
      </c>
      <c r="E111" s="3">
        <f t="shared" si="4"/>
        <v>33.344011324859892</v>
      </c>
      <c r="F111" s="16">
        <f t="shared" si="5"/>
        <v>-11877.025825862016</v>
      </c>
      <c r="G111" s="23">
        <f t="shared" si="6"/>
        <v>-2.5552128466633774E-2</v>
      </c>
      <c r="H111" s="3">
        <f t="shared" si="7"/>
        <v>-0.85201046096571131</v>
      </c>
    </row>
    <row r="112" spans="1:8" x14ac:dyDescent="0.3">
      <c r="A112" s="2">
        <v>41748</v>
      </c>
      <c r="B112" s="3">
        <v>360480.94044953783</v>
      </c>
      <c r="C112" s="3">
        <v>369765.61276322469</v>
      </c>
      <c r="D112">
        <v>10814</v>
      </c>
      <c r="E112" s="3">
        <f t="shared" si="4"/>
        <v>33.334653268867932</v>
      </c>
      <c r="F112" s="16">
        <f t="shared" si="5"/>
        <v>-9284.6723136868677</v>
      </c>
      <c r="G112" s="23">
        <f t="shared" si="6"/>
        <v>-2.5756347345600061E-2</v>
      </c>
      <c r="H112" s="3">
        <f t="shared" si="7"/>
        <v>-0.85857890823810501</v>
      </c>
    </row>
    <row r="113" spans="1:8" x14ac:dyDescent="0.3">
      <c r="A113" s="2">
        <v>41749</v>
      </c>
      <c r="B113" s="3">
        <v>114279.5772537695</v>
      </c>
      <c r="C113" s="3">
        <v>117190.8261541667</v>
      </c>
      <c r="D113">
        <v>3429</v>
      </c>
      <c r="E113" s="3">
        <f t="shared" si="4"/>
        <v>33.327377443502336</v>
      </c>
      <c r="F113" s="16">
        <f t="shared" si="5"/>
        <v>-2911.2489003972005</v>
      </c>
      <c r="G113" s="23">
        <f t="shared" si="6"/>
        <v>-2.5474795850289805E-2</v>
      </c>
      <c r="H113" s="3">
        <f t="shared" si="7"/>
        <v>-0.84900813659877528</v>
      </c>
    </row>
    <row r="114" spans="1:8" x14ac:dyDescent="0.3">
      <c r="A114" s="2">
        <v>41750</v>
      </c>
      <c r="B114" s="3">
        <v>161170.8204027302</v>
      </c>
      <c r="C114" s="3">
        <v>165415.08384550369</v>
      </c>
      <c r="D114">
        <v>4834</v>
      </c>
      <c r="E114" s="3">
        <f t="shared" si="4"/>
        <v>33.341088209087751</v>
      </c>
      <c r="F114" s="16">
        <f t="shared" si="5"/>
        <v>-4244.2634427734884</v>
      </c>
      <c r="G114" s="23">
        <f t="shared" si="6"/>
        <v>-2.6333944520279873E-2</v>
      </c>
      <c r="H114" s="3">
        <f t="shared" si="7"/>
        <v>-0.87800236714387425</v>
      </c>
    </row>
    <row r="115" spans="1:8" x14ac:dyDescent="0.3">
      <c r="A115" s="2">
        <v>41751</v>
      </c>
      <c r="B115" s="3">
        <v>182483.14649530521</v>
      </c>
      <c r="C115" s="3">
        <v>187344.7371716582</v>
      </c>
      <c r="D115">
        <v>5475</v>
      </c>
      <c r="E115" s="3">
        <f t="shared" si="4"/>
        <v>33.330255067635655</v>
      </c>
      <c r="F115" s="16">
        <f t="shared" si="5"/>
        <v>-4861.5906763529929</v>
      </c>
      <c r="G115" s="23">
        <f t="shared" si="6"/>
        <v>-2.6641313292337758E-2</v>
      </c>
      <c r="H115" s="3">
        <f t="shared" si="7"/>
        <v>-0.88796176737040966</v>
      </c>
    </row>
    <row r="116" spans="1:8" x14ac:dyDescent="0.3">
      <c r="A116" s="2">
        <v>41752</v>
      </c>
      <c r="B116" s="3">
        <v>109358.41252901949</v>
      </c>
      <c r="C116" s="3">
        <v>106849.898795566</v>
      </c>
      <c r="D116">
        <v>3121</v>
      </c>
      <c r="E116" s="3">
        <f t="shared" si="4"/>
        <v>35.03954262384476</v>
      </c>
      <c r="F116" s="16">
        <f t="shared" si="5"/>
        <v>2508.5137334534957</v>
      </c>
      <c r="G116" s="23">
        <f t="shared" si="6"/>
        <v>2.2938461481304268E-2</v>
      </c>
      <c r="H116" s="3">
        <f t="shared" si="7"/>
        <v>0.80375319879958207</v>
      </c>
    </row>
    <row r="117" spans="1:8" x14ac:dyDescent="0.3">
      <c r="A117" s="2">
        <v>41753</v>
      </c>
      <c r="B117" s="3">
        <v>98430.114109290502</v>
      </c>
      <c r="C117" s="3">
        <v>96197.482231430811</v>
      </c>
      <c r="D117">
        <v>2809</v>
      </c>
      <c r="E117" s="3">
        <f t="shared" si="4"/>
        <v>35.04098045898558</v>
      </c>
      <c r="F117" s="16">
        <f t="shared" si="5"/>
        <v>2232.6318778596906</v>
      </c>
      <c r="G117" s="23">
        <f t="shared" si="6"/>
        <v>2.2682406680751371E-2</v>
      </c>
      <c r="H117" s="3">
        <f t="shared" si="7"/>
        <v>0.79481376926297276</v>
      </c>
    </row>
    <row r="118" spans="1:8" x14ac:dyDescent="0.3">
      <c r="A118" s="2">
        <v>41754</v>
      </c>
      <c r="B118" s="3">
        <v>295741.34696188261</v>
      </c>
      <c r="C118" s="3">
        <v>292327.02825568401</v>
      </c>
      <c r="D118">
        <v>8537</v>
      </c>
      <c r="E118" s="3">
        <f t="shared" si="4"/>
        <v>34.642303732210685</v>
      </c>
      <c r="F118" s="16">
        <f t="shared" si="5"/>
        <v>3414.3187061985955</v>
      </c>
      <c r="G118" s="23">
        <f t="shared" si="6"/>
        <v>1.1544948791481154E-2</v>
      </c>
      <c r="H118" s="3">
        <f t="shared" si="7"/>
        <v>0.39994362260730881</v>
      </c>
    </row>
    <row r="119" spans="1:8" x14ac:dyDescent="0.3">
      <c r="A119" s="2">
        <v>41755</v>
      </c>
      <c r="B119" s="3">
        <v>285053.97993312759</v>
      </c>
      <c r="C119" s="3">
        <v>281159.58112341299</v>
      </c>
      <c r="D119">
        <v>8209</v>
      </c>
      <c r="E119" s="3">
        <f t="shared" si="4"/>
        <v>34.724568148754734</v>
      </c>
      <c r="F119" s="16">
        <f t="shared" si="5"/>
        <v>3894.3988097145921</v>
      </c>
      <c r="G119" s="23">
        <f t="shared" si="6"/>
        <v>1.3661969605294411E-2</v>
      </c>
      <c r="H119" s="3">
        <f t="shared" si="7"/>
        <v>0.47440599460526156</v>
      </c>
    </row>
    <row r="120" spans="1:8" x14ac:dyDescent="0.3">
      <c r="A120" s="2">
        <v>41756</v>
      </c>
      <c r="B120" s="3">
        <v>124964.7964680588</v>
      </c>
      <c r="C120" s="3">
        <v>123042.1589528976</v>
      </c>
      <c r="D120">
        <v>3592</v>
      </c>
      <c r="E120" s="3">
        <f t="shared" si="4"/>
        <v>34.789754027856013</v>
      </c>
      <c r="F120" s="16">
        <f t="shared" si="5"/>
        <v>1922.637515161201</v>
      </c>
      <c r="G120" s="23">
        <f t="shared" si="6"/>
        <v>1.5385433093972431E-2</v>
      </c>
      <c r="H120" s="3">
        <f t="shared" si="7"/>
        <v>0.5352554329513366</v>
      </c>
    </row>
    <row r="121" spans="1:8" x14ac:dyDescent="0.3">
      <c r="A121" s="2">
        <v>41757</v>
      </c>
      <c r="B121" s="3">
        <v>124175.8083521588</v>
      </c>
      <c r="C121" s="3">
        <v>122516.0657042025</v>
      </c>
      <c r="D121">
        <v>3576</v>
      </c>
      <c r="E121" s="3">
        <f t="shared" si="4"/>
        <v>34.724778621968341</v>
      </c>
      <c r="F121" s="16">
        <f t="shared" si="5"/>
        <v>1659.7426479563001</v>
      </c>
      <c r="G121" s="23">
        <f t="shared" si="6"/>
        <v>1.3366070815092427E-2</v>
      </c>
      <c r="H121" s="3">
        <f t="shared" si="7"/>
        <v>0.46413385009963648</v>
      </c>
    </row>
    <row r="122" spans="1:8" x14ac:dyDescent="0.3">
      <c r="A122" s="2">
        <v>41758</v>
      </c>
      <c r="B122" s="3">
        <v>131842.57163224381</v>
      </c>
      <c r="C122" s="3">
        <v>130405.26385817111</v>
      </c>
      <c r="D122">
        <v>3807</v>
      </c>
      <c r="E122" s="3">
        <f t="shared" si="4"/>
        <v>34.631618500720727</v>
      </c>
      <c r="F122" s="16">
        <f t="shared" si="5"/>
        <v>1437.3077740727022</v>
      </c>
      <c r="G122" s="23">
        <f t="shared" si="6"/>
        <v>1.0901697048824781E-2</v>
      </c>
      <c r="H122" s="3">
        <f t="shared" si="7"/>
        <v>0.37754341320533286</v>
      </c>
    </row>
    <row r="123" spans="1:8" x14ac:dyDescent="0.3">
      <c r="A123" s="2">
        <v>41759</v>
      </c>
      <c r="B123" s="3">
        <v>154850.05725768139</v>
      </c>
      <c r="C123" s="3">
        <v>150644.3482406672</v>
      </c>
      <c r="D123">
        <v>4398</v>
      </c>
      <c r="E123" s="3">
        <f t="shared" si="4"/>
        <v>35.209199012660612</v>
      </c>
      <c r="F123" s="16">
        <f t="shared" si="5"/>
        <v>4205.7090170141892</v>
      </c>
      <c r="G123" s="23">
        <f t="shared" si="6"/>
        <v>2.7159880283515774E-2</v>
      </c>
      <c r="H123" s="3">
        <f t="shared" si="7"/>
        <v>0.95627763006234401</v>
      </c>
    </row>
    <row r="124" spans="1:8" x14ac:dyDescent="0.3">
      <c r="A124" s="2">
        <v>41760</v>
      </c>
      <c r="B124" s="3">
        <v>180294.2687300276</v>
      </c>
      <c r="C124" s="3">
        <v>175656.65039321329</v>
      </c>
      <c r="D124">
        <v>5124</v>
      </c>
      <c r="E124" s="3">
        <f t="shared" si="4"/>
        <v>35.186235115149806</v>
      </c>
      <c r="F124" s="16">
        <f t="shared" si="5"/>
        <v>4637.6183368143102</v>
      </c>
      <c r="G124" s="23">
        <f t="shared" si="6"/>
        <v>2.5722494505683226E-2</v>
      </c>
      <c r="H124" s="3">
        <f t="shared" si="7"/>
        <v>0.90507773942511904</v>
      </c>
    </row>
    <row r="125" spans="1:8" x14ac:dyDescent="0.3">
      <c r="A125" s="2">
        <v>41761</v>
      </c>
      <c r="B125" s="3">
        <v>163849.03582968141</v>
      </c>
      <c r="C125" s="3">
        <v>157300.625596072</v>
      </c>
      <c r="D125">
        <v>4581</v>
      </c>
      <c r="E125" s="3">
        <f t="shared" si="4"/>
        <v>35.76708924463685</v>
      </c>
      <c r="F125" s="16">
        <f t="shared" si="5"/>
        <v>6548.4102336094074</v>
      </c>
      <c r="G125" s="23">
        <f t="shared" si="6"/>
        <v>3.9966120035130268E-2</v>
      </c>
      <c r="H125" s="3">
        <f t="shared" si="7"/>
        <v>1.4294717820583731</v>
      </c>
    </row>
    <row r="126" spans="1:8" x14ac:dyDescent="0.3">
      <c r="A126" s="2">
        <v>41762</v>
      </c>
      <c r="B126" s="3">
        <v>131436.7924474414</v>
      </c>
      <c r="C126" s="3">
        <v>127601.9447259398</v>
      </c>
      <c r="D126">
        <v>3697</v>
      </c>
      <c r="E126" s="3">
        <f t="shared" si="4"/>
        <v>35.552283594114527</v>
      </c>
      <c r="F126" s="16">
        <f t="shared" si="5"/>
        <v>3834.8477215016028</v>
      </c>
      <c r="G126" s="23">
        <f t="shared" si="6"/>
        <v>2.917636416785712E-2</v>
      </c>
      <c r="H126" s="3">
        <f t="shared" si="7"/>
        <v>1.0372863731408177</v>
      </c>
    </row>
    <row r="127" spans="1:8" x14ac:dyDescent="0.3">
      <c r="A127" s="2">
        <v>41763</v>
      </c>
      <c r="B127" s="3">
        <v>93082.043956892812</v>
      </c>
      <c r="C127" s="3">
        <v>91601.506543395022</v>
      </c>
      <c r="D127">
        <v>2642</v>
      </c>
      <c r="E127" s="3">
        <f t="shared" si="4"/>
        <v>35.231659332661927</v>
      </c>
      <c r="F127" s="16">
        <f t="shared" si="5"/>
        <v>1480.5374134977901</v>
      </c>
      <c r="G127" s="23">
        <f t="shared" si="6"/>
        <v>1.5905725213591584E-2</v>
      </c>
      <c r="H127" s="3">
        <f t="shared" si="7"/>
        <v>0.56038509216419008</v>
      </c>
    </row>
    <row r="128" spans="1:8" x14ac:dyDescent="0.3">
      <c r="A128" s="2">
        <v>41764</v>
      </c>
      <c r="B128" s="3">
        <v>110887.01329721219</v>
      </c>
      <c r="C128" s="3">
        <v>109460.1532226706</v>
      </c>
      <c r="D128">
        <v>3154</v>
      </c>
      <c r="E128" s="3">
        <f t="shared" si="4"/>
        <v>35.157581895121176</v>
      </c>
      <c r="F128" s="16">
        <f t="shared" si="5"/>
        <v>1426.8600745415897</v>
      </c>
      <c r="G128" s="23">
        <f t="shared" si="6"/>
        <v>1.2867693268256351E-2</v>
      </c>
      <c r="H128" s="3">
        <f t="shared" si="7"/>
        <v>0.45239697988002209</v>
      </c>
    </row>
    <row r="129" spans="1:8" x14ac:dyDescent="0.3">
      <c r="A129" s="2">
        <v>41765</v>
      </c>
      <c r="B129" s="3">
        <v>119385.5753679569</v>
      </c>
      <c r="C129" s="3">
        <v>115693.1066418478</v>
      </c>
      <c r="D129">
        <v>3324</v>
      </c>
      <c r="E129" s="3">
        <f t="shared" si="4"/>
        <v>35.916238077002681</v>
      </c>
      <c r="F129" s="16">
        <f t="shared" si="5"/>
        <v>3692.4687261091021</v>
      </c>
      <c r="G129" s="23">
        <f t="shared" si="6"/>
        <v>3.0928935214564968E-2</v>
      </c>
      <c r="H129" s="3">
        <f t="shared" si="7"/>
        <v>1.1108510006345074</v>
      </c>
    </row>
    <row r="130" spans="1:8" x14ac:dyDescent="0.3">
      <c r="A130" s="2">
        <v>41766</v>
      </c>
      <c r="B130" s="3">
        <v>91719.589378837452</v>
      </c>
      <c r="C130" s="3">
        <v>93157.170582525898</v>
      </c>
      <c r="D130">
        <v>2677</v>
      </c>
      <c r="E130" s="3">
        <f t="shared" ref="E130:E193" si="8">B130/D130</f>
        <v>34.26208045529976</v>
      </c>
      <c r="F130" s="16">
        <f t="shared" ref="F130:F193" si="9">B130-C130</f>
        <v>-1437.5812036884454</v>
      </c>
      <c r="G130" s="23">
        <f t="shared" ref="G130:G193" si="10">F130/B130</f>
        <v>-1.5673655032957878E-2</v>
      </c>
      <c r="H130" s="3">
        <f t="shared" ref="H130:H193" si="11">F130/D130</f>
        <v>-0.5370120297678167</v>
      </c>
    </row>
    <row r="131" spans="1:8" x14ac:dyDescent="0.3">
      <c r="A131" s="2">
        <v>41767</v>
      </c>
      <c r="B131" s="3">
        <v>96335.448951387458</v>
      </c>
      <c r="C131" s="3">
        <v>93696.216137213793</v>
      </c>
      <c r="D131">
        <v>2683</v>
      </c>
      <c r="E131" s="3">
        <f t="shared" si="8"/>
        <v>35.905869903610679</v>
      </c>
      <c r="F131" s="16">
        <f t="shared" si="9"/>
        <v>2639.2328141736652</v>
      </c>
      <c r="G131" s="23">
        <f t="shared" si="10"/>
        <v>2.7396278762405187E-2</v>
      </c>
      <c r="H131" s="3">
        <f t="shared" si="11"/>
        <v>0.98368722108597284</v>
      </c>
    </row>
    <row r="132" spans="1:8" x14ac:dyDescent="0.3">
      <c r="A132" s="2">
        <v>41768</v>
      </c>
      <c r="B132" s="3">
        <v>303226.29835425451</v>
      </c>
      <c r="C132" s="3">
        <v>325836.94011389237</v>
      </c>
      <c r="D132">
        <v>9328</v>
      </c>
      <c r="E132" s="3">
        <f t="shared" si="8"/>
        <v>32.507107456502411</v>
      </c>
      <c r="F132" s="16">
        <f t="shared" si="9"/>
        <v>-22610.64175963786</v>
      </c>
      <c r="G132" s="23">
        <f t="shared" si="10"/>
        <v>-7.4566889093577907E-2</v>
      </c>
      <c r="H132" s="3">
        <f t="shared" si="11"/>
        <v>-2.4239538764620345</v>
      </c>
    </row>
    <row r="133" spans="1:8" x14ac:dyDescent="0.3">
      <c r="A133" s="2">
        <v>41769</v>
      </c>
      <c r="B133" s="3">
        <v>431695.70916738012</v>
      </c>
      <c r="C133" s="3">
        <v>465253.81571558799</v>
      </c>
      <c r="D133">
        <v>13306</v>
      </c>
      <c r="E133" s="3">
        <f t="shared" si="8"/>
        <v>32.443687747435753</v>
      </c>
      <c r="F133" s="16">
        <f t="shared" si="9"/>
        <v>-33558.10654820787</v>
      </c>
      <c r="G133" s="23">
        <f t="shared" si="10"/>
        <v>-7.7735557327942961E-2</v>
      </c>
      <c r="H133" s="3">
        <f t="shared" si="11"/>
        <v>-2.5220281488206728</v>
      </c>
    </row>
    <row r="134" spans="1:8" x14ac:dyDescent="0.3">
      <c r="A134" s="2">
        <v>41770</v>
      </c>
      <c r="B134" s="3">
        <v>200407.27706754219</v>
      </c>
      <c r="C134" s="3">
        <v>215907.82491282909</v>
      </c>
      <c r="D134">
        <v>6173</v>
      </c>
      <c r="E134" s="3">
        <f t="shared" si="8"/>
        <v>32.465134791437258</v>
      </c>
      <c r="F134" s="16">
        <f t="shared" si="9"/>
        <v>-15500.547845286899</v>
      </c>
      <c r="G134" s="23">
        <f t="shared" si="10"/>
        <v>-7.7345234524906159E-2</v>
      </c>
      <c r="H134" s="3">
        <f t="shared" si="11"/>
        <v>-2.5110234643264051</v>
      </c>
    </row>
    <row r="135" spans="1:8" x14ac:dyDescent="0.3">
      <c r="A135" s="2">
        <v>41771</v>
      </c>
      <c r="B135" s="3">
        <v>183413.70834773601</v>
      </c>
      <c r="C135" s="3">
        <v>197835.49508379781</v>
      </c>
      <c r="D135">
        <v>5653</v>
      </c>
      <c r="E135" s="3">
        <f t="shared" si="8"/>
        <v>32.445375614317356</v>
      </c>
      <c r="F135" s="16">
        <f t="shared" si="9"/>
        <v>-14421.786736061797</v>
      </c>
      <c r="G135" s="23">
        <f t="shared" si="10"/>
        <v>-7.8629819253855204E-2</v>
      </c>
      <c r="H135" s="3">
        <f t="shared" si="11"/>
        <v>-2.5511740201772151</v>
      </c>
    </row>
    <row r="136" spans="1:8" x14ac:dyDescent="0.3">
      <c r="A136" s="2">
        <v>41772</v>
      </c>
      <c r="B136" s="3">
        <v>146166.60112478229</v>
      </c>
      <c r="C136" s="3">
        <v>157693.18930052701</v>
      </c>
      <c r="D136">
        <v>4503</v>
      </c>
      <c r="E136" s="3">
        <f t="shared" si="8"/>
        <v>32.459827031930331</v>
      </c>
      <c r="F136" s="16">
        <f t="shared" si="9"/>
        <v>-11526.588175744721</v>
      </c>
      <c r="G136" s="23">
        <f t="shared" si="10"/>
        <v>-7.8859247509658406E-2</v>
      </c>
      <c r="H136" s="3">
        <f t="shared" si="11"/>
        <v>-2.5597575340316947</v>
      </c>
    </row>
    <row r="137" spans="1:8" x14ac:dyDescent="0.3">
      <c r="A137" s="2">
        <v>41773</v>
      </c>
      <c r="B137" s="3">
        <v>201120.7276408147</v>
      </c>
      <c r="C137" s="3">
        <v>218098.7618880111</v>
      </c>
      <c r="D137">
        <v>6253</v>
      </c>
      <c r="E137" s="3">
        <f t="shared" si="8"/>
        <v>32.163877761204972</v>
      </c>
      <c r="F137" s="16">
        <f t="shared" si="9"/>
        <v>-16978.034247196396</v>
      </c>
      <c r="G137" s="23">
        <f t="shared" si="10"/>
        <v>-8.4417128191370649E-2</v>
      </c>
      <c r="H137" s="3">
        <f t="shared" si="11"/>
        <v>-2.7151821920992156</v>
      </c>
    </row>
    <row r="138" spans="1:8" x14ac:dyDescent="0.3">
      <c r="A138" s="2">
        <v>41774</v>
      </c>
      <c r="B138" s="3">
        <v>270123.55082332838</v>
      </c>
      <c r="C138" s="3">
        <v>289864.79847427219</v>
      </c>
      <c r="D138">
        <v>8408</v>
      </c>
      <c r="E138" s="3">
        <f t="shared" si="8"/>
        <v>32.126968461385395</v>
      </c>
      <c r="F138" s="16">
        <f t="shared" si="9"/>
        <v>-19741.247650943813</v>
      </c>
      <c r="G138" s="23">
        <f t="shared" si="10"/>
        <v>-7.3082289903168715E-2</v>
      </c>
      <c r="H138" s="3">
        <f t="shared" si="11"/>
        <v>-2.3479124228049253</v>
      </c>
    </row>
    <row r="139" spans="1:8" x14ac:dyDescent="0.3">
      <c r="A139" s="2">
        <v>41775</v>
      </c>
      <c r="B139" s="3">
        <v>415315.38394824741</v>
      </c>
      <c r="C139" s="3">
        <v>441790.76722722728</v>
      </c>
      <c r="D139">
        <v>12949</v>
      </c>
      <c r="E139" s="3">
        <f t="shared" si="8"/>
        <v>32.073162711270939</v>
      </c>
      <c r="F139" s="16">
        <f t="shared" si="9"/>
        <v>-26475.383278979862</v>
      </c>
      <c r="G139" s="23">
        <f t="shared" si="10"/>
        <v>-6.3747658531904922E-2</v>
      </c>
      <c r="H139" s="3">
        <f t="shared" si="11"/>
        <v>-2.0445890245563256</v>
      </c>
    </row>
    <row r="140" spans="1:8" x14ac:dyDescent="0.3">
      <c r="A140" s="2">
        <v>41776</v>
      </c>
      <c r="B140" s="3">
        <v>498716.9975550141</v>
      </c>
      <c r="C140" s="3">
        <v>526707.3769616452</v>
      </c>
      <c r="D140">
        <v>15508</v>
      </c>
      <c r="E140" s="3">
        <f t="shared" si="8"/>
        <v>32.158692130191781</v>
      </c>
      <c r="F140" s="16">
        <f t="shared" si="9"/>
        <v>-27990.379406631109</v>
      </c>
      <c r="G140" s="23">
        <f t="shared" si="10"/>
        <v>-5.6124775261030595E-2</v>
      </c>
      <c r="H140" s="3">
        <f t="shared" si="11"/>
        <v>-1.8048993684956867</v>
      </c>
    </row>
    <row r="141" spans="1:8" x14ac:dyDescent="0.3">
      <c r="A141" s="2">
        <v>41777</v>
      </c>
      <c r="B141" s="3">
        <v>166433.17212925971</v>
      </c>
      <c r="C141" s="3">
        <v>174376.63247461841</v>
      </c>
      <c r="D141">
        <v>5141</v>
      </c>
      <c r="E141" s="3">
        <f t="shared" si="8"/>
        <v>32.3736961932036</v>
      </c>
      <c r="F141" s="16">
        <f t="shared" si="9"/>
        <v>-7943.4603453587042</v>
      </c>
      <c r="G141" s="23">
        <f t="shared" si="10"/>
        <v>-4.7727626913157947E-2</v>
      </c>
      <c r="H141" s="3">
        <f t="shared" si="11"/>
        <v>-1.5451196937091429</v>
      </c>
    </row>
    <row r="142" spans="1:8" x14ac:dyDescent="0.3">
      <c r="A142" s="2">
        <v>41778</v>
      </c>
      <c r="B142" s="3">
        <v>168520.62936742851</v>
      </c>
      <c r="C142" s="3">
        <v>175540.11551824521</v>
      </c>
      <c r="D142">
        <v>5194</v>
      </c>
      <c r="E142" s="3">
        <f t="shared" si="8"/>
        <v>32.445250167005874</v>
      </c>
      <c r="F142" s="16">
        <f t="shared" si="9"/>
        <v>-7019.4861508166941</v>
      </c>
      <c r="G142" s="23">
        <f t="shared" si="10"/>
        <v>-4.1653571893040968E-2</v>
      </c>
      <c r="H142" s="3">
        <f t="shared" si="11"/>
        <v>-1.3514605604190786</v>
      </c>
    </row>
    <row r="143" spans="1:8" x14ac:dyDescent="0.3">
      <c r="A143" s="2">
        <v>41779</v>
      </c>
      <c r="B143" s="3">
        <v>178123.53210953469</v>
      </c>
      <c r="C143" s="3">
        <v>187748.1722021974</v>
      </c>
      <c r="D143">
        <v>5550</v>
      </c>
      <c r="E143" s="3">
        <f t="shared" si="8"/>
        <v>32.094330109826068</v>
      </c>
      <c r="F143" s="16">
        <f t="shared" si="9"/>
        <v>-9624.6400926627102</v>
      </c>
      <c r="G143" s="23">
        <f t="shared" si="10"/>
        <v>-5.4033512465630686E-2</v>
      </c>
      <c r="H143" s="3">
        <f t="shared" si="11"/>
        <v>-1.7341693860653531</v>
      </c>
    </row>
    <row r="144" spans="1:8" x14ac:dyDescent="0.3">
      <c r="A144" s="2">
        <v>41780</v>
      </c>
      <c r="B144" s="3">
        <v>194878.80263463091</v>
      </c>
      <c r="C144" s="3">
        <v>204460.66537744281</v>
      </c>
      <c r="D144">
        <v>6070</v>
      </c>
      <c r="E144" s="3">
        <f t="shared" si="8"/>
        <v>32.105239313777744</v>
      </c>
      <c r="F144" s="16">
        <f t="shared" si="9"/>
        <v>-9581.8627428119071</v>
      </c>
      <c r="G144" s="23">
        <f t="shared" si="10"/>
        <v>-4.9168316991235271E-2</v>
      </c>
      <c r="H144" s="3">
        <f t="shared" si="11"/>
        <v>-1.5785605836592929</v>
      </c>
    </row>
    <row r="145" spans="1:8" x14ac:dyDescent="0.3">
      <c r="A145" s="2">
        <v>41781</v>
      </c>
      <c r="B145" s="3">
        <v>115475.0968962598</v>
      </c>
      <c r="C145" s="3">
        <v>115011.3226088317</v>
      </c>
      <c r="D145">
        <v>3421</v>
      </c>
      <c r="E145" s="3">
        <f t="shared" si="8"/>
        <v>33.754778397035892</v>
      </c>
      <c r="F145" s="16">
        <f t="shared" si="9"/>
        <v>463.7742874280957</v>
      </c>
      <c r="G145" s="23">
        <f t="shared" si="10"/>
        <v>4.0162277399493325E-3</v>
      </c>
      <c r="H145" s="3">
        <f t="shared" si="11"/>
        <v>0.13556687735401804</v>
      </c>
    </row>
    <row r="146" spans="1:8" x14ac:dyDescent="0.3">
      <c r="A146" s="2">
        <v>41782</v>
      </c>
      <c r="B146" s="3">
        <v>430521.02453865513</v>
      </c>
      <c r="C146" s="3">
        <v>449274.18625836552</v>
      </c>
      <c r="D146">
        <v>13384</v>
      </c>
      <c r="E146" s="3">
        <f t="shared" si="8"/>
        <v>32.166842837616194</v>
      </c>
      <c r="F146" s="16">
        <f t="shared" si="9"/>
        <v>-18753.161719710391</v>
      </c>
      <c r="G146" s="23">
        <f t="shared" si="10"/>
        <v>-4.3559223942213315E-2</v>
      </c>
      <c r="H146" s="3">
        <f t="shared" si="11"/>
        <v>-1.401162710677704</v>
      </c>
    </row>
    <row r="147" spans="1:8" x14ac:dyDescent="0.3">
      <c r="A147" s="2">
        <v>41783</v>
      </c>
      <c r="B147" s="3">
        <v>590642.82566064375</v>
      </c>
      <c r="C147" s="3">
        <v>614245.79414952744</v>
      </c>
      <c r="D147">
        <v>18356</v>
      </c>
      <c r="E147" s="3">
        <f t="shared" si="8"/>
        <v>32.177098804785558</v>
      </c>
      <c r="F147" s="16">
        <f t="shared" si="9"/>
        <v>-23602.968488883693</v>
      </c>
      <c r="G147" s="23">
        <f t="shared" si="10"/>
        <v>-3.9961491892301214E-2</v>
      </c>
      <c r="H147" s="3">
        <f t="shared" si="11"/>
        <v>-1.2858448730052132</v>
      </c>
    </row>
    <row r="148" spans="1:8" x14ac:dyDescent="0.3">
      <c r="A148" s="2">
        <v>41784</v>
      </c>
      <c r="B148" s="3">
        <v>210764.7179522909</v>
      </c>
      <c r="C148" s="3">
        <v>217364.46301139219</v>
      </c>
      <c r="D148">
        <v>6500</v>
      </c>
      <c r="E148" s="3">
        <f t="shared" si="8"/>
        <v>32.425341223429371</v>
      </c>
      <c r="F148" s="16">
        <f t="shared" si="9"/>
        <v>-6599.7450591012894</v>
      </c>
      <c r="G148" s="23">
        <f t="shared" si="10"/>
        <v>-3.1313329494717518E-2</v>
      </c>
      <c r="H148" s="3">
        <f t="shared" si="11"/>
        <v>-1.0153453937078907</v>
      </c>
    </row>
    <row r="149" spans="1:8" x14ac:dyDescent="0.3">
      <c r="A149" s="2">
        <v>41785</v>
      </c>
      <c r="B149" s="3">
        <v>218189.34852144719</v>
      </c>
      <c r="C149" s="3">
        <v>225607.5951852721</v>
      </c>
      <c r="D149">
        <v>6752</v>
      </c>
      <c r="E149" s="3">
        <f t="shared" si="8"/>
        <v>32.314773181493955</v>
      </c>
      <c r="F149" s="16">
        <f t="shared" si="9"/>
        <v>-7418.2466638249171</v>
      </c>
      <c r="G149" s="23">
        <f t="shared" si="10"/>
        <v>-3.3999123761514559E-2</v>
      </c>
      <c r="H149" s="3">
        <f t="shared" si="11"/>
        <v>-1.0986739727228847</v>
      </c>
    </row>
    <row r="150" spans="1:8" x14ac:dyDescent="0.3">
      <c r="A150" s="2">
        <v>41786</v>
      </c>
      <c r="B150" s="3">
        <v>226132.46392936219</v>
      </c>
      <c r="C150" s="3">
        <v>234496.51283165641</v>
      </c>
      <c r="D150">
        <v>7023</v>
      </c>
      <c r="E150" s="3">
        <f t="shared" si="8"/>
        <v>32.198841510659577</v>
      </c>
      <c r="F150" s="16">
        <f t="shared" si="9"/>
        <v>-8364.0489022942202</v>
      </c>
      <c r="G150" s="23">
        <f t="shared" si="10"/>
        <v>-3.6987386759766296E-2</v>
      </c>
      <c r="H150" s="3">
        <f t="shared" si="11"/>
        <v>-1.1909510041711833</v>
      </c>
    </row>
    <row r="151" spans="1:8" x14ac:dyDescent="0.3">
      <c r="A151" s="2">
        <v>41787</v>
      </c>
      <c r="B151" s="3">
        <v>243720.86804506721</v>
      </c>
      <c r="C151" s="3">
        <v>252929.29469238099</v>
      </c>
      <c r="D151">
        <v>7579</v>
      </c>
      <c r="E151" s="3">
        <f t="shared" si="8"/>
        <v>32.15739121850735</v>
      </c>
      <c r="F151" s="16">
        <f t="shared" si="9"/>
        <v>-9208.4266473137832</v>
      </c>
      <c r="G151" s="23">
        <f t="shared" si="10"/>
        <v>-3.778267622783546E-2</v>
      </c>
      <c r="H151" s="3">
        <f t="shared" si="11"/>
        <v>-1.2149923007407024</v>
      </c>
    </row>
    <row r="152" spans="1:8" x14ac:dyDescent="0.3">
      <c r="A152" s="2">
        <v>41788</v>
      </c>
      <c r="B152" s="3">
        <v>207429.42904813591</v>
      </c>
      <c r="C152" s="3">
        <v>215118.84649511721</v>
      </c>
      <c r="D152">
        <v>6448</v>
      </c>
      <c r="E152" s="3">
        <f t="shared" si="8"/>
        <v>32.169576465281622</v>
      </c>
      <c r="F152" s="16">
        <f t="shared" si="9"/>
        <v>-7689.4174469813006</v>
      </c>
      <c r="G152" s="23">
        <f t="shared" si="10"/>
        <v>-3.7070041036447635E-2</v>
      </c>
      <c r="H152" s="3">
        <f t="shared" si="11"/>
        <v>-1.1925275196931298</v>
      </c>
    </row>
    <row r="153" spans="1:8" x14ac:dyDescent="0.3">
      <c r="A153" s="2">
        <v>41789</v>
      </c>
      <c r="B153" s="3">
        <v>503149.43134534778</v>
      </c>
      <c r="C153" s="3">
        <v>521651.08612557303</v>
      </c>
      <c r="D153">
        <v>15637</v>
      </c>
      <c r="E153" s="3">
        <f t="shared" si="8"/>
        <v>32.1768517839322</v>
      </c>
      <c r="F153" s="16">
        <f t="shared" si="9"/>
        <v>-18501.654780225246</v>
      </c>
      <c r="G153" s="23">
        <f t="shared" si="10"/>
        <v>-3.6771689735899206E-2</v>
      </c>
      <c r="H153" s="3">
        <f t="shared" si="11"/>
        <v>-1.1831972104767696</v>
      </c>
    </row>
    <row r="154" spans="1:8" x14ac:dyDescent="0.3">
      <c r="A154" s="2">
        <v>41790</v>
      </c>
      <c r="B154" s="3">
        <v>603748.78952607629</v>
      </c>
      <c r="C154" s="3">
        <v>626259.38684881607</v>
      </c>
      <c r="D154">
        <v>18775</v>
      </c>
      <c r="E154" s="3">
        <f t="shared" si="8"/>
        <v>32.157059362241078</v>
      </c>
      <c r="F154" s="16">
        <f t="shared" si="9"/>
        <v>-22510.597322739777</v>
      </c>
      <c r="G154" s="23">
        <f t="shared" si="10"/>
        <v>-3.7284707999845242E-2</v>
      </c>
      <c r="H154" s="3">
        <f t="shared" si="11"/>
        <v>-1.1989665684548483</v>
      </c>
    </row>
    <row r="155" spans="1:8" x14ac:dyDescent="0.3">
      <c r="A155" s="2">
        <v>41791</v>
      </c>
      <c r="B155" s="3">
        <v>456017.46309267642</v>
      </c>
      <c r="C155" s="3">
        <v>473223.98073157662</v>
      </c>
      <c r="D155">
        <v>14188</v>
      </c>
      <c r="E155" s="3">
        <f t="shared" si="8"/>
        <v>32.141067316935185</v>
      </c>
      <c r="F155" s="16">
        <f t="shared" si="9"/>
        <v>-17206.517638900201</v>
      </c>
      <c r="G155" s="23">
        <f t="shared" si="10"/>
        <v>-3.7732146313447915E-2</v>
      </c>
      <c r="H155" s="3">
        <f t="shared" si="11"/>
        <v>-1.2127514546729772</v>
      </c>
    </row>
    <row r="156" spans="1:8" x14ac:dyDescent="0.3">
      <c r="A156" s="2">
        <v>41792</v>
      </c>
      <c r="B156" s="3">
        <v>425845.19604472112</v>
      </c>
      <c r="C156" s="3">
        <v>442155.99116118718</v>
      </c>
      <c r="D156">
        <v>13256</v>
      </c>
      <c r="E156" s="3">
        <f t="shared" si="8"/>
        <v>32.124713038980168</v>
      </c>
      <c r="F156" s="16">
        <f t="shared" si="9"/>
        <v>-16310.795116466063</v>
      </c>
      <c r="G156" s="23">
        <f t="shared" si="10"/>
        <v>-3.8302170056071609E-2</v>
      </c>
      <c r="H156" s="3">
        <f t="shared" si="11"/>
        <v>-1.2304462218215195</v>
      </c>
    </row>
    <row r="157" spans="1:8" x14ac:dyDescent="0.3">
      <c r="A157" s="2">
        <v>41793</v>
      </c>
      <c r="B157" s="3">
        <v>328217.76995264698</v>
      </c>
      <c r="C157" s="3">
        <v>340913.59172520298</v>
      </c>
      <c r="D157">
        <v>10223</v>
      </c>
      <c r="E157" s="3">
        <f t="shared" si="8"/>
        <v>32.105817270140562</v>
      </c>
      <c r="F157" s="16">
        <f t="shared" si="9"/>
        <v>-12695.821772555995</v>
      </c>
      <c r="G157" s="23">
        <f t="shared" si="10"/>
        <v>-3.8681092051742541E-2</v>
      </c>
      <c r="H157" s="3">
        <f t="shared" si="11"/>
        <v>-1.2418880732227326</v>
      </c>
    </row>
    <row r="158" spans="1:8" x14ac:dyDescent="0.3">
      <c r="A158" s="2">
        <v>41794</v>
      </c>
      <c r="B158" s="3">
        <v>286405.99880250322</v>
      </c>
      <c r="C158" s="3">
        <v>296902.67253080232</v>
      </c>
      <c r="D158">
        <v>8904</v>
      </c>
      <c r="E158" s="3">
        <f t="shared" si="8"/>
        <v>32.16599267772947</v>
      </c>
      <c r="F158" s="16">
        <f t="shared" si="9"/>
        <v>-10496.673728299094</v>
      </c>
      <c r="G158" s="23">
        <f t="shared" si="10"/>
        <v>-3.6649629449756319E-2</v>
      </c>
      <c r="H158" s="3">
        <f t="shared" si="11"/>
        <v>-1.17887171252236</v>
      </c>
    </row>
    <row r="159" spans="1:8" x14ac:dyDescent="0.3">
      <c r="A159" s="2">
        <v>41795</v>
      </c>
      <c r="B159" s="3">
        <v>184989.88866687589</v>
      </c>
      <c r="C159" s="3">
        <v>192824.890128464</v>
      </c>
      <c r="D159">
        <v>5783</v>
      </c>
      <c r="E159" s="3">
        <f t="shared" si="8"/>
        <v>31.98856798666365</v>
      </c>
      <c r="F159" s="16">
        <f t="shared" si="9"/>
        <v>-7835.0014615881082</v>
      </c>
      <c r="G159" s="23">
        <f t="shared" si="10"/>
        <v>-4.2353674128087826E-2</v>
      </c>
      <c r="H159" s="3">
        <f t="shared" si="11"/>
        <v>-1.3548333843313347</v>
      </c>
    </row>
    <row r="160" spans="1:8" x14ac:dyDescent="0.3">
      <c r="A160" s="2">
        <v>41796</v>
      </c>
      <c r="B160" s="3">
        <v>288118.30444745562</v>
      </c>
      <c r="C160" s="3">
        <v>300213.55940666178</v>
      </c>
      <c r="D160">
        <v>9005</v>
      </c>
      <c r="E160" s="3">
        <f t="shared" si="8"/>
        <v>31.995369733198849</v>
      </c>
      <c r="F160" s="16">
        <f t="shared" si="9"/>
        <v>-12095.254959206155</v>
      </c>
      <c r="G160" s="23">
        <f t="shared" si="10"/>
        <v>-4.1980168467262297E-2</v>
      </c>
      <c r="H160" s="3">
        <f t="shared" si="11"/>
        <v>-1.3431710115720328</v>
      </c>
    </row>
    <row r="161" spans="1:8" x14ac:dyDescent="0.3">
      <c r="A161" s="2">
        <v>41797</v>
      </c>
      <c r="B161" s="3">
        <v>391930.87800966093</v>
      </c>
      <c r="C161" s="3">
        <v>407438.91960054089</v>
      </c>
      <c r="D161">
        <v>12222</v>
      </c>
      <c r="E161" s="3">
        <f t="shared" si="8"/>
        <v>32.067654885424723</v>
      </c>
      <c r="F161" s="16">
        <f t="shared" si="9"/>
        <v>-15508.041590879962</v>
      </c>
      <c r="G161" s="23">
        <f t="shared" si="10"/>
        <v>-3.9568307732308079E-2</v>
      </c>
      <c r="H161" s="3">
        <f t="shared" si="11"/>
        <v>-1.2688628367599379</v>
      </c>
    </row>
    <row r="162" spans="1:8" x14ac:dyDescent="0.3">
      <c r="A162" s="2">
        <v>41798</v>
      </c>
      <c r="B162" s="3">
        <v>193772.58110879711</v>
      </c>
      <c r="C162" s="3">
        <v>201254.7125115463</v>
      </c>
      <c r="D162">
        <v>6037</v>
      </c>
      <c r="E162" s="3">
        <f t="shared" si="8"/>
        <v>32.097495628424234</v>
      </c>
      <c r="F162" s="16">
        <f t="shared" si="9"/>
        <v>-7482.1314027491899</v>
      </c>
      <c r="G162" s="23">
        <f t="shared" si="10"/>
        <v>-3.8612952152132465E-2</v>
      </c>
      <c r="H162" s="3">
        <f t="shared" si="11"/>
        <v>-1.2393790629036259</v>
      </c>
    </row>
    <row r="163" spans="1:8" x14ac:dyDescent="0.3">
      <c r="A163" s="2">
        <v>41799</v>
      </c>
      <c r="B163" s="3">
        <v>214177.9834426184</v>
      </c>
      <c r="C163" s="3">
        <v>220255.21917882841</v>
      </c>
      <c r="D163">
        <v>6607</v>
      </c>
      <c r="E163" s="3">
        <f t="shared" si="8"/>
        <v>32.416828128139606</v>
      </c>
      <c r="F163" s="16">
        <f t="shared" si="9"/>
        <v>-6077.2357362100156</v>
      </c>
      <c r="G163" s="23">
        <f t="shared" si="10"/>
        <v>-2.8374698643281425E-2</v>
      </c>
      <c r="H163" s="3">
        <f t="shared" si="11"/>
        <v>-0.9198177291070101</v>
      </c>
    </row>
    <row r="164" spans="1:8" x14ac:dyDescent="0.3">
      <c r="A164" s="2">
        <v>41800</v>
      </c>
      <c r="B164" s="3">
        <v>188334.52117067971</v>
      </c>
      <c r="C164" s="3">
        <v>195254.78100370179</v>
      </c>
      <c r="D164">
        <v>5857</v>
      </c>
      <c r="E164" s="3">
        <f t="shared" si="8"/>
        <v>32.155458625692283</v>
      </c>
      <c r="F164" s="16">
        <f t="shared" si="9"/>
        <v>-6920.259833022079</v>
      </c>
      <c r="G164" s="23">
        <f t="shared" si="10"/>
        <v>-3.6744510724884771E-2</v>
      </c>
      <c r="H164" s="3">
        <f t="shared" si="11"/>
        <v>-1.1815365943353386</v>
      </c>
    </row>
    <row r="165" spans="1:8" x14ac:dyDescent="0.3">
      <c r="A165" s="2">
        <v>41801</v>
      </c>
      <c r="B165" s="3">
        <v>174324.99481545971</v>
      </c>
      <c r="C165" s="3">
        <v>180978.60103822939</v>
      </c>
      <c r="D165">
        <v>5429</v>
      </c>
      <c r="E165" s="3">
        <f t="shared" si="8"/>
        <v>32.109964047791436</v>
      </c>
      <c r="F165" s="16">
        <f t="shared" si="9"/>
        <v>-6653.6062227696821</v>
      </c>
      <c r="G165" s="23">
        <f t="shared" si="10"/>
        <v>-3.81678268788316E-2</v>
      </c>
      <c r="H165" s="3">
        <f t="shared" si="11"/>
        <v>-1.2255675488616102</v>
      </c>
    </row>
    <row r="166" spans="1:8" x14ac:dyDescent="0.3">
      <c r="A166" s="2">
        <v>41802</v>
      </c>
      <c r="B166" s="3">
        <v>200271.5643162597</v>
      </c>
      <c r="C166" s="3">
        <v>207757.70297321581</v>
      </c>
      <c r="D166">
        <v>6232</v>
      </c>
      <c r="E166" s="3">
        <f t="shared" si="8"/>
        <v>32.136001976293279</v>
      </c>
      <c r="F166" s="16">
        <f t="shared" si="9"/>
        <v>-7486.1386569561146</v>
      </c>
      <c r="G166" s="23">
        <f t="shared" si="10"/>
        <v>-3.7379937998258936E-2</v>
      </c>
      <c r="H166" s="3">
        <f t="shared" si="11"/>
        <v>-1.2012417613857693</v>
      </c>
    </row>
    <row r="167" spans="1:8" x14ac:dyDescent="0.3">
      <c r="A167" s="2">
        <v>41803</v>
      </c>
      <c r="B167" s="3">
        <v>468701.63017391373</v>
      </c>
      <c r="C167" s="3">
        <v>486180.54436187987</v>
      </c>
      <c r="D167">
        <v>14585</v>
      </c>
      <c r="E167" s="3">
        <f t="shared" si="8"/>
        <v>32.135867684190174</v>
      </c>
      <c r="F167" s="16">
        <f t="shared" si="9"/>
        <v>-17478.914187966147</v>
      </c>
      <c r="G167" s="23">
        <f t="shared" si="10"/>
        <v>-3.7292198410917674E-2</v>
      </c>
      <c r="H167" s="3">
        <f t="shared" si="11"/>
        <v>-1.1984171537858175</v>
      </c>
    </row>
    <row r="168" spans="1:8" x14ac:dyDescent="0.3">
      <c r="A168" s="2">
        <v>41804</v>
      </c>
      <c r="B168" s="3">
        <v>473425.75415694882</v>
      </c>
      <c r="C168" s="3">
        <v>492135.2922944348</v>
      </c>
      <c r="D168">
        <v>14745</v>
      </c>
      <c r="E168" s="3">
        <f t="shared" si="8"/>
        <v>32.107545212407516</v>
      </c>
      <c r="F168" s="16">
        <f t="shared" si="9"/>
        <v>-18709.538137485972</v>
      </c>
      <c r="G168" s="23">
        <f t="shared" si="10"/>
        <v>-3.9519476862434136E-2</v>
      </c>
      <c r="H168" s="3">
        <f t="shared" si="11"/>
        <v>-1.2688733901312967</v>
      </c>
    </row>
    <row r="169" spans="1:8" x14ac:dyDescent="0.3">
      <c r="A169" s="2">
        <v>41805</v>
      </c>
      <c r="B169" s="3">
        <v>224232.1213750946</v>
      </c>
      <c r="C169" s="3">
        <v>233554.03224643381</v>
      </c>
      <c r="D169">
        <v>6991</v>
      </c>
      <c r="E169" s="3">
        <f t="shared" si="8"/>
        <v>32.074398709068028</v>
      </c>
      <c r="F169" s="16">
        <f t="shared" si="9"/>
        <v>-9321.9108713392052</v>
      </c>
      <c r="G169" s="23">
        <f t="shared" si="10"/>
        <v>-4.1572593677359673E-2</v>
      </c>
      <c r="H169" s="3">
        <f t="shared" si="11"/>
        <v>-1.333415944977715</v>
      </c>
    </row>
    <row r="170" spans="1:8" x14ac:dyDescent="0.3">
      <c r="A170" s="2">
        <v>41806</v>
      </c>
      <c r="B170" s="3">
        <v>185606.27501469469</v>
      </c>
      <c r="C170" s="3">
        <v>193340.31536521239</v>
      </c>
      <c r="D170">
        <v>5788</v>
      </c>
      <c r="E170" s="3">
        <f t="shared" si="8"/>
        <v>32.067428302469715</v>
      </c>
      <c r="F170" s="16">
        <f t="shared" si="9"/>
        <v>-7734.0403505176946</v>
      </c>
      <c r="G170" s="23">
        <f t="shared" si="10"/>
        <v>-4.1669067222567663E-2</v>
      </c>
      <c r="H170" s="3">
        <f t="shared" si="11"/>
        <v>-1.3362198255904794</v>
      </c>
    </row>
    <row r="171" spans="1:8" x14ac:dyDescent="0.3">
      <c r="A171" s="2">
        <v>41807</v>
      </c>
      <c r="B171" s="3">
        <v>212687.5094148122</v>
      </c>
      <c r="C171" s="3">
        <v>221403.64501723999</v>
      </c>
      <c r="D171">
        <v>6632</v>
      </c>
      <c r="E171" s="3">
        <f t="shared" si="8"/>
        <v>32.06988983938664</v>
      </c>
      <c r="F171" s="16">
        <f t="shared" si="9"/>
        <v>-8716.135602427792</v>
      </c>
      <c r="G171" s="23">
        <f t="shared" si="10"/>
        <v>-4.0980947242314991E-2</v>
      </c>
      <c r="H171" s="3">
        <f t="shared" si="11"/>
        <v>-1.3142544635747575</v>
      </c>
    </row>
    <row r="172" spans="1:8" x14ac:dyDescent="0.3">
      <c r="A172" s="2">
        <v>41808</v>
      </c>
      <c r="B172" s="3">
        <v>184259.6924214997</v>
      </c>
      <c r="C172" s="3">
        <v>192057.51084707779</v>
      </c>
      <c r="D172">
        <v>5752</v>
      </c>
      <c r="E172" s="3">
        <f t="shared" si="8"/>
        <v>32.034021630997863</v>
      </c>
      <c r="F172" s="16">
        <f t="shared" si="9"/>
        <v>-7797.8184255780943</v>
      </c>
      <c r="G172" s="23">
        <f t="shared" si="10"/>
        <v>-4.2319719104601271E-2</v>
      </c>
      <c r="H172" s="3">
        <f t="shared" si="11"/>
        <v>-1.3556707972145505</v>
      </c>
    </row>
    <row r="173" spans="1:8" x14ac:dyDescent="0.3">
      <c r="A173" s="2">
        <v>41809</v>
      </c>
      <c r="B173" s="3">
        <v>113735.8161577795</v>
      </c>
      <c r="C173" s="3">
        <v>119544.0197640804</v>
      </c>
      <c r="D173">
        <v>3578</v>
      </c>
      <c r="E173" s="3">
        <f t="shared" si="8"/>
        <v>31.787539451587339</v>
      </c>
      <c r="F173" s="16">
        <f t="shared" si="9"/>
        <v>-5808.2036063009</v>
      </c>
      <c r="G173" s="23">
        <f t="shared" si="10"/>
        <v>-5.1067498370464898E-2</v>
      </c>
      <c r="H173" s="3">
        <f t="shared" si="11"/>
        <v>-1.6233101191450252</v>
      </c>
    </row>
    <row r="174" spans="1:8" x14ac:dyDescent="0.3">
      <c r="A174" s="2">
        <v>41810</v>
      </c>
      <c r="B174" s="3">
        <v>203165.08297513981</v>
      </c>
      <c r="C174" s="3">
        <v>205350.64307872241</v>
      </c>
      <c r="D174">
        <v>6119</v>
      </c>
      <c r="E174" s="3">
        <f t="shared" si="8"/>
        <v>33.202334200872663</v>
      </c>
      <c r="F174" s="16">
        <f t="shared" si="9"/>
        <v>-2185.5601035825966</v>
      </c>
      <c r="G174" s="23">
        <f t="shared" si="10"/>
        <v>-1.0757557704194827E-2</v>
      </c>
      <c r="H174" s="3">
        <f t="shared" si="11"/>
        <v>-0.35717602607984911</v>
      </c>
    </row>
    <row r="175" spans="1:8" x14ac:dyDescent="0.3">
      <c r="A175" s="2">
        <v>41811</v>
      </c>
      <c r="B175" s="3">
        <v>203345.24456475489</v>
      </c>
      <c r="C175" s="3">
        <v>206918.9125938658</v>
      </c>
      <c r="D175">
        <v>6161</v>
      </c>
      <c r="E175" s="3">
        <f t="shared" si="8"/>
        <v>33.005233657645654</v>
      </c>
      <c r="F175" s="16">
        <f t="shared" si="9"/>
        <v>-3573.6680291109078</v>
      </c>
      <c r="G175" s="23">
        <f t="shared" si="10"/>
        <v>-1.7574387032064969E-2</v>
      </c>
      <c r="H175" s="3">
        <f t="shared" si="11"/>
        <v>-0.58004675038320208</v>
      </c>
    </row>
    <row r="176" spans="1:8" x14ac:dyDescent="0.3">
      <c r="A176" s="2">
        <v>41812</v>
      </c>
      <c r="B176" s="3">
        <v>134944.48896695641</v>
      </c>
      <c r="C176" s="3">
        <v>135372.5270250313</v>
      </c>
      <c r="D176">
        <v>4015</v>
      </c>
      <c r="E176" s="3">
        <f t="shared" si="8"/>
        <v>33.610084425144812</v>
      </c>
      <c r="F176" s="16">
        <f t="shared" si="9"/>
        <v>-428.0380580748897</v>
      </c>
      <c r="G176" s="23">
        <f t="shared" si="10"/>
        <v>-3.1719565678573398E-3</v>
      </c>
      <c r="H176" s="3">
        <f t="shared" si="11"/>
        <v>-0.10660972803857775</v>
      </c>
    </row>
    <row r="177" spans="1:8" x14ac:dyDescent="0.3">
      <c r="A177" s="2">
        <v>41813</v>
      </c>
      <c r="B177" s="3">
        <v>138298.21024496641</v>
      </c>
      <c r="C177" s="3">
        <v>139206.02689008071</v>
      </c>
      <c r="D177">
        <v>4133</v>
      </c>
      <c r="E177" s="3">
        <f t="shared" si="8"/>
        <v>33.461942957891701</v>
      </c>
      <c r="F177" s="16">
        <f t="shared" si="9"/>
        <v>-907.81664511430427</v>
      </c>
      <c r="G177" s="23">
        <f t="shared" si="10"/>
        <v>-6.5641966263069972E-3</v>
      </c>
      <c r="H177" s="3">
        <f t="shared" si="11"/>
        <v>-0.2196507730738699</v>
      </c>
    </row>
    <row r="178" spans="1:8" x14ac:dyDescent="0.3">
      <c r="A178" s="2">
        <v>41814</v>
      </c>
      <c r="B178" s="3">
        <v>36692.679861900491</v>
      </c>
      <c r="C178" s="3">
        <v>35299.064235203223</v>
      </c>
      <c r="D178">
        <v>1047</v>
      </c>
      <c r="E178" s="3">
        <f t="shared" si="8"/>
        <v>35.045539505158061</v>
      </c>
      <c r="F178" s="16">
        <f t="shared" si="9"/>
        <v>1393.6156266972685</v>
      </c>
      <c r="G178" s="23">
        <f t="shared" si="10"/>
        <v>3.7980753434810208E-2</v>
      </c>
      <c r="H178" s="3">
        <f t="shared" si="11"/>
        <v>1.3310559949353089</v>
      </c>
    </row>
    <row r="179" spans="1:8" x14ac:dyDescent="0.3">
      <c r="A179" s="2">
        <v>41815</v>
      </c>
      <c r="B179" s="3">
        <v>56077.542692130737</v>
      </c>
      <c r="C179" s="3">
        <v>53925.257631037668</v>
      </c>
      <c r="D179">
        <v>1601</v>
      </c>
      <c r="E179" s="3">
        <f t="shared" si="8"/>
        <v>35.026572574722508</v>
      </c>
      <c r="F179" s="16">
        <f t="shared" si="9"/>
        <v>2152.2850610930691</v>
      </c>
      <c r="G179" s="23">
        <f t="shared" si="10"/>
        <v>3.8380516651902001E-2</v>
      </c>
      <c r="H179" s="3">
        <f t="shared" si="11"/>
        <v>1.3443379519631913</v>
      </c>
    </row>
    <row r="180" spans="1:8" x14ac:dyDescent="0.3">
      <c r="A180" s="2">
        <v>41816</v>
      </c>
      <c r="B180" s="3">
        <v>55780.707452340743</v>
      </c>
      <c r="C180" s="3">
        <v>53688.24119505065</v>
      </c>
      <c r="D180">
        <v>1592</v>
      </c>
      <c r="E180" s="3">
        <f t="shared" si="8"/>
        <v>35.038132821822074</v>
      </c>
      <c r="F180" s="16">
        <f t="shared" si="9"/>
        <v>2092.4662572900925</v>
      </c>
      <c r="G180" s="23">
        <f t="shared" si="10"/>
        <v>3.7512364988879068E-2</v>
      </c>
      <c r="H180" s="3">
        <f t="shared" si="11"/>
        <v>1.3143632269410128</v>
      </c>
    </row>
    <row r="181" spans="1:8" x14ac:dyDescent="0.3">
      <c r="A181" s="2">
        <v>41817</v>
      </c>
      <c r="B181" s="3">
        <v>131721.2383167888</v>
      </c>
      <c r="C181" s="3">
        <v>127302.42713472139</v>
      </c>
      <c r="D181">
        <v>3759</v>
      </c>
      <c r="E181" s="3">
        <f t="shared" si="8"/>
        <v>35.041563798028413</v>
      </c>
      <c r="F181" s="16">
        <f t="shared" si="9"/>
        <v>4418.8111820674094</v>
      </c>
      <c r="G181" s="23">
        <f t="shared" si="10"/>
        <v>3.3546687220174731E-2</v>
      </c>
      <c r="H181" s="3">
        <f t="shared" si="11"/>
        <v>1.1755283804382572</v>
      </c>
    </row>
    <row r="182" spans="1:8" x14ac:dyDescent="0.3">
      <c r="A182" s="2">
        <v>41818</v>
      </c>
      <c r="B182" s="3">
        <v>146169.07657195261</v>
      </c>
      <c r="C182" s="3">
        <v>141012.32941184979</v>
      </c>
      <c r="D182">
        <v>4172</v>
      </c>
      <c r="E182" s="3">
        <f t="shared" si="8"/>
        <v>35.035732639490078</v>
      </c>
      <c r="F182" s="16">
        <f t="shared" si="9"/>
        <v>5156.7471601028228</v>
      </c>
      <c r="G182" s="23">
        <f t="shared" si="10"/>
        <v>3.5279330492071506E-2</v>
      </c>
      <c r="H182" s="3">
        <f t="shared" si="11"/>
        <v>1.2360371908204273</v>
      </c>
    </row>
    <row r="183" spans="1:8" x14ac:dyDescent="0.3">
      <c r="A183" s="2">
        <v>41819</v>
      </c>
      <c r="B183" s="3">
        <v>62073.585412980981</v>
      </c>
      <c r="C183" s="3">
        <v>60083.86983686743</v>
      </c>
      <c r="D183">
        <v>1772</v>
      </c>
      <c r="E183" s="3">
        <f t="shared" si="8"/>
        <v>35.030240075045704</v>
      </c>
      <c r="F183" s="16">
        <f t="shared" si="9"/>
        <v>1989.7155761135509</v>
      </c>
      <c r="G183" s="23">
        <f t="shared" si="10"/>
        <v>3.2054142883414898E-2</v>
      </c>
      <c r="H183" s="3">
        <f t="shared" si="11"/>
        <v>1.1228643206058413</v>
      </c>
    </row>
    <row r="184" spans="1:8" x14ac:dyDescent="0.3">
      <c r="A184" s="2">
        <v>41820</v>
      </c>
      <c r="B184" s="3">
        <v>93619.846991295737</v>
      </c>
      <c r="C184" s="3">
        <v>90294.376087688332</v>
      </c>
      <c r="D184">
        <v>2672</v>
      </c>
      <c r="E184" s="3">
        <f t="shared" si="8"/>
        <v>35.037367885963974</v>
      </c>
      <c r="F184" s="16">
        <f t="shared" si="9"/>
        <v>3325.4709036074055</v>
      </c>
      <c r="G184" s="23">
        <f t="shared" si="10"/>
        <v>3.5521003403440617E-2</v>
      </c>
      <c r="H184" s="3">
        <f t="shared" si="11"/>
        <v>1.2445624639249273</v>
      </c>
    </row>
    <row r="185" spans="1:8" x14ac:dyDescent="0.3">
      <c r="A185" s="2">
        <v>41821</v>
      </c>
      <c r="B185" s="3">
        <v>180183.0313560114</v>
      </c>
      <c r="C185" s="3">
        <v>173842.9209259059</v>
      </c>
      <c r="D185">
        <v>5143</v>
      </c>
      <c r="E185" s="3">
        <f t="shared" si="8"/>
        <v>35.034616246550925</v>
      </c>
      <c r="F185" s="16">
        <f t="shared" si="9"/>
        <v>6340.110430105502</v>
      </c>
      <c r="G185" s="23">
        <f t="shared" si="10"/>
        <v>3.5187056086199979E-2</v>
      </c>
      <c r="H185" s="3">
        <f t="shared" si="11"/>
        <v>1.2327650068258802</v>
      </c>
    </row>
    <row r="186" spans="1:8" x14ac:dyDescent="0.3">
      <c r="A186" s="2">
        <v>41822</v>
      </c>
      <c r="B186" s="3">
        <v>104760.70623579</v>
      </c>
      <c r="C186" s="3">
        <v>101615.7320157364</v>
      </c>
      <c r="D186">
        <v>2990</v>
      </c>
      <c r="E186" s="3">
        <f t="shared" si="8"/>
        <v>35.037025496919732</v>
      </c>
      <c r="F186" s="16">
        <f t="shared" si="9"/>
        <v>3144.9742200535984</v>
      </c>
      <c r="G186" s="23">
        <f t="shared" si="10"/>
        <v>3.0020551913568169E-2</v>
      </c>
      <c r="H186" s="3">
        <f t="shared" si="11"/>
        <v>1.0518308428272904</v>
      </c>
    </row>
    <row r="187" spans="1:8" x14ac:dyDescent="0.3">
      <c r="A187" s="2">
        <v>41823</v>
      </c>
      <c r="B187" s="3">
        <v>93450.533684910493</v>
      </c>
      <c r="C187" s="3">
        <v>90927.089657647652</v>
      </c>
      <c r="D187">
        <v>2667</v>
      </c>
      <c r="E187" s="3">
        <f t="shared" si="8"/>
        <v>35.039570185568238</v>
      </c>
      <c r="F187" s="16">
        <f t="shared" si="9"/>
        <v>2523.4440272628417</v>
      </c>
      <c r="G187" s="23">
        <f t="shared" si="10"/>
        <v>2.7002992147387848E-2</v>
      </c>
      <c r="H187" s="3">
        <f t="shared" si="11"/>
        <v>0.94617323856874458</v>
      </c>
    </row>
    <row r="188" spans="1:8" x14ac:dyDescent="0.3">
      <c r="A188" s="2">
        <v>41824</v>
      </c>
      <c r="B188" s="3">
        <v>98087.555903940738</v>
      </c>
      <c r="C188" s="3">
        <v>95423.273987227221</v>
      </c>
      <c r="D188">
        <v>2799</v>
      </c>
      <c r="E188" s="3">
        <f t="shared" si="8"/>
        <v>35.043785603408622</v>
      </c>
      <c r="F188" s="16">
        <f t="shared" si="9"/>
        <v>2664.2819167135167</v>
      </c>
      <c r="G188" s="23">
        <f t="shared" si="10"/>
        <v>2.7162282637796638E-2</v>
      </c>
      <c r="H188" s="3">
        <f t="shared" si="11"/>
        <v>0.9518692092581339</v>
      </c>
    </row>
    <row r="189" spans="1:8" x14ac:dyDescent="0.3">
      <c r="A189" s="2">
        <v>41825</v>
      </c>
      <c r="B189" s="3">
        <v>117562.2629053492</v>
      </c>
      <c r="C189" s="3">
        <v>114395.6276274463</v>
      </c>
      <c r="D189">
        <v>3355</v>
      </c>
      <c r="E189" s="3">
        <f t="shared" si="8"/>
        <v>35.040912937510939</v>
      </c>
      <c r="F189" s="16">
        <f t="shared" si="9"/>
        <v>3166.6352779028966</v>
      </c>
      <c r="G189" s="23">
        <f t="shared" si="10"/>
        <v>2.6935814262544377E-2</v>
      </c>
      <c r="H189" s="3">
        <f t="shared" si="11"/>
        <v>0.94385552247478288</v>
      </c>
    </row>
    <row r="190" spans="1:8" x14ac:dyDescent="0.3">
      <c r="A190" s="2">
        <v>41826</v>
      </c>
      <c r="B190" s="3">
        <v>70153.080972151351</v>
      </c>
      <c r="C190" s="3">
        <v>68252.24220948873</v>
      </c>
      <c r="D190">
        <v>2002</v>
      </c>
      <c r="E190" s="3">
        <f t="shared" si="8"/>
        <v>35.041498987088588</v>
      </c>
      <c r="F190" s="16">
        <f t="shared" si="9"/>
        <v>1900.8387626626209</v>
      </c>
      <c r="G190" s="23">
        <f t="shared" si="10"/>
        <v>2.7095584916893335E-2</v>
      </c>
      <c r="H190" s="3">
        <f t="shared" si="11"/>
        <v>0.94946991141989057</v>
      </c>
    </row>
    <row r="191" spans="1:8" x14ac:dyDescent="0.3">
      <c r="A191" s="2">
        <v>41827</v>
      </c>
      <c r="B191" s="3">
        <v>68918.415287491109</v>
      </c>
      <c r="C191" s="3">
        <v>66990.88135215205</v>
      </c>
      <c r="D191">
        <v>1967</v>
      </c>
      <c r="E191" s="3">
        <f t="shared" si="8"/>
        <v>35.037323481185112</v>
      </c>
      <c r="F191" s="16">
        <f t="shared" si="9"/>
        <v>1927.5339353390591</v>
      </c>
      <c r="G191" s="23">
        <f t="shared" si="10"/>
        <v>2.7968343835220368E-2</v>
      </c>
      <c r="H191" s="3">
        <f t="shared" si="11"/>
        <v>0.97993591018762538</v>
      </c>
    </row>
    <row r="192" spans="1:8" x14ac:dyDescent="0.3">
      <c r="A192" s="2">
        <v>41828</v>
      </c>
      <c r="B192" s="3">
        <v>108417.40283335961</v>
      </c>
      <c r="C192" s="3">
        <v>105373.30003337099</v>
      </c>
      <c r="D192">
        <v>3094</v>
      </c>
      <c r="E192" s="3">
        <f t="shared" si="8"/>
        <v>35.041177386347641</v>
      </c>
      <c r="F192" s="16">
        <f t="shared" si="9"/>
        <v>3044.1027999886137</v>
      </c>
      <c r="G192" s="23">
        <f t="shared" si="10"/>
        <v>2.8077621492810335E-2</v>
      </c>
      <c r="H192" s="3">
        <f t="shared" si="11"/>
        <v>0.98387291531629406</v>
      </c>
    </row>
    <row r="193" spans="1:8" x14ac:dyDescent="0.3">
      <c r="A193" s="2">
        <v>41829</v>
      </c>
      <c r="B193" s="3">
        <v>81802.6082085011</v>
      </c>
      <c r="C193" s="3">
        <v>79496.494243965513</v>
      </c>
      <c r="D193">
        <v>2335</v>
      </c>
      <c r="E193" s="3">
        <f t="shared" si="8"/>
        <v>35.03323692012895</v>
      </c>
      <c r="F193" s="16">
        <f t="shared" si="9"/>
        <v>2306.113964535587</v>
      </c>
      <c r="G193" s="23">
        <f t="shared" si="10"/>
        <v>2.8191203374074457E-2</v>
      </c>
      <c r="H193" s="3">
        <f t="shared" si="11"/>
        <v>0.98762910686748906</v>
      </c>
    </row>
    <row r="194" spans="1:8" x14ac:dyDescent="0.3">
      <c r="A194" s="2">
        <v>41830</v>
      </c>
      <c r="B194" s="3">
        <v>103998.55973343051</v>
      </c>
      <c r="C194" s="3">
        <v>101270.971050946</v>
      </c>
      <c r="D194">
        <v>2968</v>
      </c>
      <c r="E194" s="3">
        <f t="shared" ref="E194:E257" si="12">B194/D194</f>
        <v>35.039946001829684</v>
      </c>
      <c r="F194" s="16">
        <f t="shared" ref="F194:F257" si="13">B194-C194</f>
        <v>2727.5886824845074</v>
      </c>
      <c r="G194" s="23">
        <f t="shared" ref="G194:G257" si="14">F194/B194</f>
        <v>2.6227177467417557E-2</v>
      </c>
      <c r="H194" s="3">
        <f t="shared" ref="H194:H257" si="15">F194/D194</f>
        <v>0.9189988822387154</v>
      </c>
    </row>
    <row r="195" spans="1:8" x14ac:dyDescent="0.3">
      <c r="A195" s="2">
        <v>41831</v>
      </c>
      <c r="B195" s="3">
        <v>134018.0892634776</v>
      </c>
      <c r="C195" s="3">
        <v>130633.2627145483</v>
      </c>
      <c r="D195">
        <v>3825</v>
      </c>
      <c r="E195" s="3">
        <f t="shared" si="12"/>
        <v>35.037408957771923</v>
      </c>
      <c r="F195" s="16">
        <f t="shared" si="13"/>
        <v>3384.8265489292971</v>
      </c>
      <c r="G195" s="23">
        <f t="shared" si="14"/>
        <v>2.5256490131528274E-2</v>
      </c>
      <c r="H195" s="3">
        <f t="shared" si="15"/>
        <v>0.88492197357628688</v>
      </c>
    </row>
    <row r="196" spans="1:8" x14ac:dyDescent="0.3">
      <c r="A196" s="2">
        <v>41832</v>
      </c>
      <c r="B196" s="3">
        <v>99277.299503010508</v>
      </c>
      <c r="C196" s="3">
        <v>96688.497813017515</v>
      </c>
      <c r="D196">
        <v>2833</v>
      </c>
      <c r="E196" s="3">
        <f t="shared" si="12"/>
        <v>35.043169609251855</v>
      </c>
      <c r="F196" s="16">
        <f t="shared" si="13"/>
        <v>2588.8016899929935</v>
      </c>
      <c r="G196" s="23">
        <f t="shared" si="14"/>
        <v>2.6076471690434026E-2</v>
      </c>
      <c r="H196" s="3">
        <f t="shared" si="15"/>
        <v>0.91380222025873403</v>
      </c>
    </row>
    <row r="197" spans="1:8" x14ac:dyDescent="0.3">
      <c r="A197" s="2">
        <v>41833</v>
      </c>
      <c r="B197" s="3">
        <v>49705.231999920732</v>
      </c>
      <c r="C197" s="3">
        <v>48370.308994006256</v>
      </c>
      <c r="D197">
        <v>1419</v>
      </c>
      <c r="E197" s="3">
        <f t="shared" si="12"/>
        <v>35.028352360761616</v>
      </c>
      <c r="F197" s="16">
        <f t="shared" si="13"/>
        <v>1334.9230059144757</v>
      </c>
      <c r="G197" s="23">
        <f t="shared" si="14"/>
        <v>2.6856790567170163E-2</v>
      </c>
      <c r="H197" s="3">
        <f t="shared" si="15"/>
        <v>0.94074912326601523</v>
      </c>
    </row>
    <row r="198" spans="1:8" x14ac:dyDescent="0.3">
      <c r="A198" s="2">
        <v>41834</v>
      </c>
      <c r="B198" s="3">
        <v>75384.57455073134</v>
      </c>
      <c r="C198" s="3">
        <v>73393.446593668908</v>
      </c>
      <c r="D198">
        <v>2151</v>
      </c>
      <c r="E198" s="3">
        <f t="shared" si="12"/>
        <v>35.046292213264223</v>
      </c>
      <c r="F198" s="16">
        <f t="shared" si="13"/>
        <v>1991.127957062432</v>
      </c>
      <c r="G198" s="23">
        <f t="shared" si="14"/>
        <v>2.6412936186599664E-2</v>
      </c>
      <c r="H198" s="3">
        <f t="shared" si="15"/>
        <v>0.92567547980587261</v>
      </c>
    </row>
    <row r="199" spans="1:8" x14ac:dyDescent="0.3">
      <c r="A199" s="2">
        <v>41835</v>
      </c>
      <c r="B199" s="3">
        <v>110288.2341741906</v>
      </c>
      <c r="C199" s="3">
        <v>107437.38095161279</v>
      </c>
      <c r="D199">
        <v>3148</v>
      </c>
      <c r="E199" s="3">
        <f t="shared" si="12"/>
        <v>35.0343818850669</v>
      </c>
      <c r="F199" s="16">
        <f t="shared" si="13"/>
        <v>2850.8532225778035</v>
      </c>
      <c r="G199" s="23">
        <f t="shared" si="14"/>
        <v>2.5849114766631685E-2</v>
      </c>
      <c r="H199" s="3">
        <f t="shared" si="15"/>
        <v>0.90560775812509642</v>
      </c>
    </row>
    <row r="200" spans="1:8" x14ac:dyDescent="0.3">
      <c r="A200" s="2">
        <v>41836</v>
      </c>
      <c r="B200" s="3">
        <v>156536.68620542111</v>
      </c>
      <c r="C200" s="3">
        <v>164641.3539874852</v>
      </c>
      <c r="D200">
        <v>4825</v>
      </c>
      <c r="E200" s="3">
        <f t="shared" si="12"/>
        <v>32.442836519258258</v>
      </c>
      <c r="F200" s="16">
        <f t="shared" si="13"/>
        <v>-8104.6677820640907</v>
      </c>
      <c r="G200" s="23">
        <f t="shared" si="14"/>
        <v>-5.1774877688597787E-2</v>
      </c>
      <c r="H200" s="3">
        <f t="shared" si="15"/>
        <v>-1.67972389265577</v>
      </c>
    </row>
    <row r="201" spans="1:8" x14ac:dyDescent="0.3">
      <c r="A201" s="2">
        <v>41837</v>
      </c>
      <c r="B201" s="3">
        <v>80823.059197921219</v>
      </c>
      <c r="C201" s="3">
        <v>78844.86050033744</v>
      </c>
      <c r="D201">
        <v>2307</v>
      </c>
      <c r="E201" s="3">
        <f t="shared" si="12"/>
        <v>35.033835803173481</v>
      </c>
      <c r="F201" s="16">
        <f t="shared" si="13"/>
        <v>1978.198697583779</v>
      </c>
      <c r="G201" s="23">
        <f t="shared" si="14"/>
        <v>2.4475672131384241E-2</v>
      </c>
      <c r="H201" s="3">
        <f t="shared" si="15"/>
        <v>0.85747667862322452</v>
      </c>
    </row>
    <row r="202" spans="1:8" x14ac:dyDescent="0.3">
      <c r="A202" s="2">
        <v>41838</v>
      </c>
      <c r="B202" s="3">
        <v>124615.68560840881</v>
      </c>
      <c r="C202" s="3">
        <v>121612.17892455601</v>
      </c>
      <c r="D202">
        <v>3557</v>
      </c>
      <c r="E202" s="3">
        <f t="shared" si="12"/>
        <v>35.033929043690975</v>
      </c>
      <c r="F202" s="16">
        <f t="shared" si="13"/>
        <v>3003.5066838528001</v>
      </c>
      <c r="G202" s="23">
        <f t="shared" si="14"/>
        <v>2.4102155913911127E-2</v>
      </c>
      <c r="H202" s="3">
        <f t="shared" si="15"/>
        <v>0.84439322008793927</v>
      </c>
    </row>
    <row r="203" spans="1:8" x14ac:dyDescent="0.3">
      <c r="A203" s="2">
        <v>41839</v>
      </c>
      <c r="B203" s="3">
        <v>242758.9505283758</v>
      </c>
      <c r="C203" s="3">
        <v>255779.85446049331</v>
      </c>
      <c r="D203">
        <v>7485</v>
      </c>
      <c r="E203" s="3">
        <f t="shared" si="12"/>
        <v>32.43272552149309</v>
      </c>
      <c r="F203" s="16">
        <f t="shared" si="13"/>
        <v>-13020.903932117508</v>
      </c>
      <c r="G203" s="23">
        <f t="shared" si="14"/>
        <v>-5.3637173433881316E-2</v>
      </c>
      <c r="H203" s="3">
        <f t="shared" si="15"/>
        <v>-1.739599723729794</v>
      </c>
    </row>
    <row r="204" spans="1:8" x14ac:dyDescent="0.3">
      <c r="A204" s="2">
        <v>41840</v>
      </c>
      <c r="B204" s="3">
        <v>85078.243689436087</v>
      </c>
      <c r="C204" s="3">
        <v>83020.514125462476</v>
      </c>
      <c r="D204">
        <v>2428</v>
      </c>
      <c r="E204" s="3">
        <f t="shared" si="12"/>
        <v>35.040462804545342</v>
      </c>
      <c r="F204" s="16">
        <f t="shared" si="13"/>
        <v>2057.7295639736112</v>
      </c>
      <c r="G204" s="23">
        <f t="shared" si="14"/>
        <v>2.418631926024483E-2</v>
      </c>
      <c r="H204" s="3">
        <f t="shared" si="15"/>
        <v>0.84749982041746752</v>
      </c>
    </row>
    <row r="205" spans="1:8" x14ac:dyDescent="0.3">
      <c r="A205" s="2">
        <v>41841</v>
      </c>
      <c r="B205" s="3">
        <v>86738.067427260859</v>
      </c>
      <c r="C205" s="3">
        <v>84643.271827215489</v>
      </c>
      <c r="D205">
        <v>2475</v>
      </c>
      <c r="E205" s="3">
        <f t="shared" si="12"/>
        <v>35.045683808994283</v>
      </c>
      <c r="F205" s="16">
        <f t="shared" si="13"/>
        <v>2094.7956000453705</v>
      </c>
      <c r="G205" s="23">
        <f t="shared" si="14"/>
        <v>2.415082168855192E-2</v>
      </c>
      <c r="H205" s="3">
        <f t="shared" si="15"/>
        <v>0.84638206062439214</v>
      </c>
    </row>
    <row r="206" spans="1:8" x14ac:dyDescent="0.3">
      <c r="A206" s="2">
        <v>41842</v>
      </c>
      <c r="B206" s="3">
        <v>56673.615811620853</v>
      </c>
      <c r="C206" s="3">
        <v>55278.707829230581</v>
      </c>
      <c r="D206">
        <v>1618</v>
      </c>
      <c r="E206" s="3">
        <f t="shared" si="12"/>
        <v>35.026956620284828</v>
      </c>
      <c r="F206" s="16">
        <f t="shared" si="13"/>
        <v>1394.9079823902721</v>
      </c>
      <c r="G206" s="23">
        <f t="shared" si="14"/>
        <v>2.4613004877381547E-2</v>
      </c>
      <c r="H206" s="3">
        <f t="shared" si="15"/>
        <v>0.86211865413490241</v>
      </c>
    </row>
    <row r="207" spans="1:8" x14ac:dyDescent="0.3">
      <c r="A207" s="2">
        <v>41843</v>
      </c>
      <c r="B207" s="3">
        <v>165742.1704642335</v>
      </c>
      <c r="C207" s="3">
        <v>173725.35752062299</v>
      </c>
      <c r="D207">
        <v>5106</v>
      </c>
      <c r="E207" s="3">
        <f t="shared" si="12"/>
        <v>32.460276236630143</v>
      </c>
      <c r="F207" s="16">
        <f t="shared" si="13"/>
        <v>-7983.1870563894918</v>
      </c>
      <c r="G207" s="23">
        <f t="shared" si="14"/>
        <v>-4.8166299705313873E-2</v>
      </c>
      <c r="H207" s="3">
        <f t="shared" si="15"/>
        <v>-1.5634913937308053</v>
      </c>
    </row>
    <row r="208" spans="1:8" x14ac:dyDescent="0.3">
      <c r="A208" s="2">
        <v>41844</v>
      </c>
      <c r="B208" s="3">
        <v>95618.248803710856</v>
      </c>
      <c r="C208" s="3">
        <v>92416.903838237486</v>
      </c>
      <c r="D208">
        <v>2729</v>
      </c>
      <c r="E208" s="3">
        <f t="shared" si="12"/>
        <v>35.037833933202954</v>
      </c>
      <c r="F208" s="16">
        <f t="shared" si="13"/>
        <v>3201.3449654733704</v>
      </c>
      <c r="G208" s="23">
        <f t="shared" si="14"/>
        <v>3.3480481032916898E-2</v>
      </c>
      <c r="H208" s="3">
        <f t="shared" si="15"/>
        <v>1.1730835344350936</v>
      </c>
    </row>
    <row r="209" spans="1:8" x14ac:dyDescent="0.3">
      <c r="A209" s="2">
        <v>41845</v>
      </c>
      <c r="B209" s="3">
        <v>515698.7957661752</v>
      </c>
      <c r="C209" s="3">
        <v>538260.27180390677</v>
      </c>
      <c r="D209">
        <v>15897</v>
      </c>
      <c r="E209" s="3">
        <f t="shared" si="12"/>
        <v>32.440007282265533</v>
      </c>
      <c r="F209" s="16">
        <f t="shared" si="13"/>
        <v>-22561.476037731569</v>
      </c>
      <c r="G209" s="23">
        <f t="shared" si="14"/>
        <v>-4.3749328528510364E-2</v>
      </c>
      <c r="H209" s="3">
        <f t="shared" si="15"/>
        <v>-1.4192285360591035</v>
      </c>
    </row>
    <row r="210" spans="1:8" x14ac:dyDescent="0.3">
      <c r="A210" s="2">
        <v>41846</v>
      </c>
      <c r="B210" s="3">
        <v>562590.36654784065</v>
      </c>
      <c r="C210" s="3">
        <v>586670.51408478804</v>
      </c>
      <c r="D210">
        <v>17343</v>
      </c>
      <c r="E210" s="3">
        <f t="shared" si="12"/>
        <v>32.439045525447767</v>
      </c>
      <c r="F210" s="16">
        <f t="shared" si="13"/>
        <v>-24080.147536947392</v>
      </c>
      <c r="G210" s="23">
        <f t="shared" si="14"/>
        <v>-4.2802274921107636E-2</v>
      </c>
      <c r="H210" s="3">
        <f t="shared" si="15"/>
        <v>-1.388464944758542</v>
      </c>
    </row>
    <row r="211" spans="1:8" x14ac:dyDescent="0.3">
      <c r="A211" s="2">
        <v>41847</v>
      </c>
      <c r="B211" s="3">
        <v>266305.92588997318</v>
      </c>
      <c r="C211" s="3">
        <v>277238.01036147983</v>
      </c>
      <c r="D211">
        <v>8207</v>
      </c>
      <c r="E211" s="3">
        <f t="shared" si="12"/>
        <v>32.44863237358026</v>
      </c>
      <c r="F211" s="16">
        <f t="shared" si="13"/>
        <v>-10932.084471506649</v>
      </c>
      <c r="G211" s="23">
        <f t="shared" si="14"/>
        <v>-4.1050849450580171E-2</v>
      </c>
      <c r="H211" s="3">
        <f t="shared" si="15"/>
        <v>-1.3320439224450651</v>
      </c>
    </row>
    <row r="212" spans="1:8" x14ac:dyDescent="0.3">
      <c r="A212" s="2">
        <v>41848</v>
      </c>
      <c r="B212" s="3">
        <v>292634.74569281942</v>
      </c>
      <c r="C212" s="3">
        <v>304508.37903080799</v>
      </c>
      <c r="D212">
        <v>9018</v>
      </c>
      <c r="E212" s="3">
        <f t="shared" si="12"/>
        <v>32.45007160044571</v>
      </c>
      <c r="F212" s="16">
        <f t="shared" si="13"/>
        <v>-11873.633337988576</v>
      </c>
      <c r="G212" s="23">
        <f t="shared" si="14"/>
        <v>-4.0574926637223063E-2</v>
      </c>
      <c r="H212" s="3">
        <f t="shared" si="15"/>
        <v>-1.3166592745607204</v>
      </c>
    </row>
    <row r="213" spans="1:8" x14ac:dyDescent="0.3">
      <c r="A213" s="2">
        <v>41849</v>
      </c>
      <c r="B213" s="3">
        <v>212360.99307795221</v>
      </c>
      <c r="C213" s="3">
        <v>221017.0730997668</v>
      </c>
      <c r="D213">
        <v>6548</v>
      </c>
      <c r="E213" s="3">
        <f t="shared" si="12"/>
        <v>32.431428386981096</v>
      </c>
      <c r="F213" s="16">
        <f t="shared" si="13"/>
        <v>-8656.0800218145887</v>
      </c>
      <c r="G213" s="23">
        <f t="shared" si="14"/>
        <v>-4.0761158140926408E-2</v>
      </c>
      <c r="H213" s="3">
        <f t="shared" si="15"/>
        <v>-1.3219425812178662</v>
      </c>
    </row>
    <row r="214" spans="1:8" x14ac:dyDescent="0.3">
      <c r="A214" s="2">
        <v>41850</v>
      </c>
      <c r="B214" s="3">
        <v>198019.33209153591</v>
      </c>
      <c r="C214" s="3">
        <v>205903.82494520771</v>
      </c>
      <c r="D214">
        <v>6102</v>
      </c>
      <c r="E214" s="3">
        <f t="shared" si="12"/>
        <v>32.451545737714831</v>
      </c>
      <c r="F214" s="16">
        <f t="shared" si="13"/>
        <v>-7884.4928536718071</v>
      </c>
      <c r="G214" s="23">
        <f t="shared" si="14"/>
        <v>-3.9816783393790772E-2</v>
      </c>
      <c r="H214" s="3">
        <f t="shared" si="15"/>
        <v>-1.2921161674322856</v>
      </c>
    </row>
    <row r="215" spans="1:8" x14ac:dyDescent="0.3">
      <c r="A215" s="2">
        <v>41851</v>
      </c>
      <c r="B215" s="3">
        <v>295508.32729426579</v>
      </c>
      <c r="C215" s="3">
        <v>307222.39542168751</v>
      </c>
      <c r="D215">
        <v>9108</v>
      </c>
      <c r="E215" s="3">
        <f t="shared" si="12"/>
        <v>32.44491955360845</v>
      </c>
      <c r="F215" s="16">
        <f t="shared" si="13"/>
        <v>-11714.06812742172</v>
      </c>
      <c r="G215" s="23">
        <f t="shared" si="14"/>
        <v>-3.964039942521453E-2</v>
      </c>
      <c r="H215" s="3">
        <f t="shared" si="15"/>
        <v>-1.2861295704239921</v>
      </c>
    </row>
    <row r="216" spans="1:8" x14ac:dyDescent="0.3">
      <c r="A216" s="2">
        <v>41852</v>
      </c>
      <c r="B216" s="3">
        <v>611894.67318094964</v>
      </c>
      <c r="C216" s="3">
        <v>636341.31592619617</v>
      </c>
      <c r="D216">
        <v>18867</v>
      </c>
      <c r="E216" s="3">
        <f t="shared" si="12"/>
        <v>32.43200684692583</v>
      </c>
      <c r="F216" s="16">
        <f t="shared" si="13"/>
        <v>-24446.642745246529</v>
      </c>
      <c r="G216" s="23">
        <f t="shared" si="14"/>
        <v>-3.9952370590448268E-2</v>
      </c>
      <c r="H216" s="3">
        <f t="shared" si="15"/>
        <v>-1.2957355565403366</v>
      </c>
    </row>
    <row r="217" spans="1:8" x14ac:dyDescent="0.3">
      <c r="A217" s="2">
        <v>41853</v>
      </c>
      <c r="B217" s="3">
        <v>628685.21882835601</v>
      </c>
      <c r="C217" s="3">
        <v>653779.96345324407</v>
      </c>
      <c r="D217">
        <v>19384</v>
      </c>
      <c r="E217" s="3">
        <f t="shared" si="12"/>
        <v>32.433203612688608</v>
      </c>
      <c r="F217" s="16">
        <f t="shared" si="13"/>
        <v>-25094.744624888059</v>
      </c>
      <c r="G217" s="23">
        <f t="shared" si="14"/>
        <v>-3.9916231324247882E-2</v>
      </c>
      <c r="H217" s="3">
        <f t="shared" si="15"/>
        <v>-1.2946112579905107</v>
      </c>
    </row>
    <row r="218" spans="1:8" x14ac:dyDescent="0.3">
      <c r="A218" s="2">
        <v>41854</v>
      </c>
      <c r="B218" s="3">
        <v>307272.68372995692</v>
      </c>
      <c r="C218" s="3">
        <v>319500.00945712812</v>
      </c>
      <c r="D218">
        <v>9473</v>
      </c>
      <c r="E218" s="3">
        <f t="shared" si="12"/>
        <v>32.436681487380653</v>
      </c>
      <c r="F218" s="16">
        <f t="shared" si="13"/>
        <v>-12227.325727171206</v>
      </c>
      <c r="G218" s="23">
        <f t="shared" si="14"/>
        <v>-3.9793077532127949E-2</v>
      </c>
      <c r="H218" s="3">
        <f t="shared" si="15"/>
        <v>-1.2907553813122776</v>
      </c>
    </row>
    <row r="219" spans="1:8" x14ac:dyDescent="0.3">
      <c r="A219" s="2">
        <v>41855</v>
      </c>
      <c r="B219" s="3">
        <v>362106.53263594082</v>
      </c>
      <c r="C219" s="3">
        <v>376645.75093448581</v>
      </c>
      <c r="D219">
        <v>11170</v>
      </c>
      <c r="E219" s="3">
        <f t="shared" si="12"/>
        <v>32.417773736431585</v>
      </c>
      <c r="F219" s="16">
        <f t="shared" si="13"/>
        <v>-14539.218298544991</v>
      </c>
      <c r="G219" s="23">
        <f t="shared" si="14"/>
        <v>-4.0151770233768778E-2</v>
      </c>
      <c r="H219" s="3">
        <f t="shared" si="15"/>
        <v>-1.3016310025555049</v>
      </c>
    </row>
    <row r="220" spans="1:8" x14ac:dyDescent="0.3">
      <c r="A220" s="2">
        <v>41856</v>
      </c>
      <c r="B220" s="3">
        <v>262349.59097271581</v>
      </c>
      <c r="C220" s="3">
        <v>272809.29044380988</v>
      </c>
      <c r="D220">
        <v>8091</v>
      </c>
      <c r="E220" s="3">
        <f t="shared" si="12"/>
        <v>32.424866020605094</v>
      </c>
      <c r="F220" s="16">
        <f t="shared" si="13"/>
        <v>-10459.699471094063</v>
      </c>
      <c r="G220" s="23">
        <f t="shared" si="14"/>
        <v>-3.9869318767803474E-2</v>
      </c>
      <c r="H220" s="3">
        <f t="shared" si="15"/>
        <v>-1.2927573193788238</v>
      </c>
    </row>
    <row r="221" spans="1:8" x14ac:dyDescent="0.3">
      <c r="A221" s="2">
        <v>41857</v>
      </c>
      <c r="B221" s="3">
        <v>80697.903500791217</v>
      </c>
      <c r="C221" s="3">
        <v>77649.636533253579</v>
      </c>
      <c r="D221">
        <v>2303</v>
      </c>
      <c r="E221" s="3">
        <f t="shared" si="12"/>
        <v>35.040340208767354</v>
      </c>
      <c r="F221" s="16">
        <f t="shared" si="13"/>
        <v>3048.2669675376383</v>
      </c>
      <c r="G221" s="23">
        <f t="shared" si="14"/>
        <v>3.7773806199410759E-2</v>
      </c>
      <c r="H221" s="3">
        <f t="shared" si="15"/>
        <v>1.3236070202073984</v>
      </c>
    </row>
    <row r="222" spans="1:8" x14ac:dyDescent="0.3">
      <c r="A222" s="2">
        <v>41858</v>
      </c>
      <c r="B222" s="3">
        <v>103272.6227133504</v>
      </c>
      <c r="C222" s="3">
        <v>99367.233222687966</v>
      </c>
      <c r="D222">
        <v>2947</v>
      </c>
      <c r="E222" s="3">
        <f t="shared" si="12"/>
        <v>35.043305976705263</v>
      </c>
      <c r="F222" s="16">
        <f t="shared" si="13"/>
        <v>3905.3894906624337</v>
      </c>
      <c r="G222" s="23">
        <f t="shared" si="14"/>
        <v>3.7816309763938731E-2</v>
      </c>
      <c r="H222" s="3">
        <f t="shared" si="15"/>
        <v>1.3252085139675716</v>
      </c>
    </row>
    <row r="223" spans="1:8" x14ac:dyDescent="0.3">
      <c r="A223" s="2">
        <v>41859</v>
      </c>
      <c r="B223" s="3">
        <v>439421.42206707381</v>
      </c>
      <c r="C223" s="3">
        <v>456509.62185022031</v>
      </c>
      <c r="D223">
        <v>13542</v>
      </c>
      <c r="E223" s="3">
        <f t="shared" si="12"/>
        <v>32.448783197982117</v>
      </c>
      <c r="F223" s="16">
        <f t="shared" si="13"/>
        <v>-17088.199783146498</v>
      </c>
      <c r="G223" s="23">
        <f t="shared" si="14"/>
        <v>-3.8887953397361077E-2</v>
      </c>
      <c r="H223" s="3">
        <f t="shared" si="15"/>
        <v>-1.2618667688042016</v>
      </c>
    </row>
    <row r="224" spans="1:8" x14ac:dyDescent="0.3">
      <c r="A224" s="2">
        <v>41860</v>
      </c>
      <c r="B224" s="3">
        <v>408616.35063191352</v>
      </c>
      <c r="C224" s="3">
        <v>424340.94938278513</v>
      </c>
      <c r="D224">
        <v>12588</v>
      </c>
      <c r="E224" s="3">
        <f t="shared" si="12"/>
        <v>32.46078413027594</v>
      </c>
      <c r="F224" s="16">
        <f t="shared" si="13"/>
        <v>-15724.598750871606</v>
      </c>
      <c r="G224" s="23">
        <f t="shared" si="14"/>
        <v>-3.8482549037878594E-2</v>
      </c>
      <c r="H224" s="3">
        <f t="shared" si="15"/>
        <v>-1.2491737171013351</v>
      </c>
    </row>
    <row r="225" spans="1:8" x14ac:dyDescent="0.3">
      <c r="A225" s="2">
        <v>41861</v>
      </c>
      <c r="B225" s="3">
        <v>195866.77301944341</v>
      </c>
      <c r="C225" s="3">
        <v>203331.43478475651</v>
      </c>
      <c r="D225">
        <v>6032</v>
      </c>
      <c r="E225" s="3">
        <f t="shared" si="12"/>
        <v>32.471281999244596</v>
      </c>
      <c r="F225" s="16">
        <f t="shared" si="13"/>
        <v>-7464.6617653130961</v>
      </c>
      <c r="G225" s="23">
        <f t="shared" si="14"/>
        <v>-3.8110914119017472E-2</v>
      </c>
      <c r="H225" s="3">
        <f t="shared" si="15"/>
        <v>-1.2375102396076088</v>
      </c>
    </row>
    <row r="226" spans="1:8" x14ac:dyDescent="0.3">
      <c r="A226" s="2">
        <v>41862</v>
      </c>
      <c r="B226" s="3">
        <v>232347.35316928959</v>
      </c>
      <c r="C226" s="3">
        <v>241134.5277944064</v>
      </c>
      <c r="D226">
        <v>7158</v>
      </c>
      <c r="E226" s="3">
        <f t="shared" si="12"/>
        <v>32.459814636670799</v>
      </c>
      <c r="F226" s="16">
        <f t="shared" si="13"/>
        <v>-8787.1746251168079</v>
      </c>
      <c r="G226" s="23">
        <f t="shared" si="14"/>
        <v>-3.7819129442436226E-2</v>
      </c>
      <c r="H226" s="3">
        <f t="shared" si="15"/>
        <v>-1.227601931421739</v>
      </c>
    </row>
    <row r="227" spans="1:8" x14ac:dyDescent="0.3">
      <c r="A227" s="2">
        <v>41863</v>
      </c>
      <c r="B227" s="3">
        <v>190325.18114338469</v>
      </c>
      <c r="C227" s="3">
        <v>197438.11163851491</v>
      </c>
      <c r="D227">
        <v>5863</v>
      </c>
      <c r="E227" s="3">
        <f t="shared" si="12"/>
        <v>32.462081041000289</v>
      </c>
      <c r="F227" s="16">
        <f t="shared" si="13"/>
        <v>-7112.9304951302183</v>
      </c>
      <c r="G227" s="23">
        <f t="shared" si="14"/>
        <v>-3.7372513991049731E-2</v>
      </c>
      <c r="H227" s="3">
        <f t="shared" si="15"/>
        <v>-1.2131895778833734</v>
      </c>
    </row>
    <row r="228" spans="1:8" x14ac:dyDescent="0.3">
      <c r="A228" s="2">
        <v>41864</v>
      </c>
      <c r="B228" s="3">
        <v>197698.11855084091</v>
      </c>
      <c r="C228" s="3">
        <v>205114.1289482273</v>
      </c>
      <c r="D228">
        <v>6092</v>
      </c>
      <c r="E228" s="3">
        <f t="shared" si="12"/>
        <v>32.452087746362594</v>
      </c>
      <c r="F228" s="16">
        <f t="shared" si="13"/>
        <v>-7416.0103973863879</v>
      </c>
      <c r="G228" s="23">
        <f t="shared" si="14"/>
        <v>-3.7511790459853339E-2</v>
      </c>
      <c r="H228" s="3">
        <f t="shared" si="15"/>
        <v>-1.2173359155263277</v>
      </c>
    </row>
    <row r="229" spans="1:8" x14ac:dyDescent="0.3">
      <c r="A229" s="2">
        <v>41865</v>
      </c>
      <c r="B229" s="3">
        <v>177908.83560484849</v>
      </c>
      <c r="C229" s="3">
        <v>184687.52914036711</v>
      </c>
      <c r="D229">
        <v>5485</v>
      </c>
      <c r="E229" s="3">
        <f t="shared" si="12"/>
        <v>32.435521532333361</v>
      </c>
      <c r="F229" s="16">
        <f t="shared" si="13"/>
        <v>-6778.6935355186288</v>
      </c>
      <c r="G229" s="23">
        <f t="shared" si="14"/>
        <v>-3.8102062286410082E-2</v>
      </c>
      <c r="H229" s="3">
        <f t="shared" si="15"/>
        <v>-1.2358602617171612</v>
      </c>
    </row>
    <row r="230" spans="1:8" x14ac:dyDescent="0.3">
      <c r="A230" s="2">
        <v>41866</v>
      </c>
      <c r="B230" s="3">
        <v>473321.88245175371</v>
      </c>
      <c r="C230" s="3">
        <v>491559.42296304408</v>
      </c>
      <c r="D230">
        <v>14587</v>
      </c>
      <c r="E230" s="3">
        <f t="shared" si="12"/>
        <v>32.448199249451818</v>
      </c>
      <c r="F230" s="16">
        <f t="shared" si="13"/>
        <v>-18237.540511290368</v>
      </c>
      <c r="G230" s="23">
        <f t="shared" si="14"/>
        <v>-3.8530947305503764E-2</v>
      </c>
      <c r="H230" s="3">
        <f t="shared" si="15"/>
        <v>-1.2502598554391149</v>
      </c>
    </row>
    <row r="231" spans="1:8" x14ac:dyDescent="0.3">
      <c r="A231" s="2">
        <v>41867</v>
      </c>
      <c r="B231" s="3">
        <v>541600.89215953078</v>
      </c>
      <c r="C231" s="3">
        <v>562953.37077365373</v>
      </c>
      <c r="D231">
        <v>16686</v>
      </c>
      <c r="E231" s="3">
        <f t="shared" si="12"/>
        <v>32.458401783502985</v>
      </c>
      <c r="F231" s="16">
        <f t="shared" si="13"/>
        <v>-21352.478614122956</v>
      </c>
      <c r="G231" s="23">
        <f t="shared" si="14"/>
        <v>-3.942474785996751E-2</v>
      </c>
      <c r="H231" s="3">
        <f t="shared" si="15"/>
        <v>-1.2796643062521249</v>
      </c>
    </row>
    <row r="232" spans="1:8" x14ac:dyDescent="0.3">
      <c r="A232" s="2">
        <v>41868</v>
      </c>
      <c r="B232" s="3">
        <v>239513.97904265701</v>
      </c>
      <c r="C232" s="3">
        <v>249203.12076822479</v>
      </c>
      <c r="D232">
        <v>7380</v>
      </c>
      <c r="E232" s="3">
        <f t="shared" si="12"/>
        <v>32.454468704967077</v>
      </c>
      <c r="F232" s="16">
        <f t="shared" si="13"/>
        <v>-9689.1417255677807</v>
      </c>
      <c r="G232" s="23">
        <f t="shared" si="14"/>
        <v>-4.0453345413472348E-2</v>
      </c>
      <c r="H232" s="3">
        <f t="shared" si="15"/>
        <v>-1.3128918327327617</v>
      </c>
    </row>
    <row r="233" spans="1:8" x14ac:dyDescent="0.3">
      <c r="A233" s="2">
        <v>41869</v>
      </c>
      <c r="B233" s="3">
        <v>255224.2225523532</v>
      </c>
      <c r="C233" s="3">
        <v>265532.5462048222</v>
      </c>
      <c r="D233">
        <v>7864</v>
      </c>
      <c r="E233" s="3">
        <f t="shared" si="12"/>
        <v>32.454758717237183</v>
      </c>
      <c r="F233" s="16">
        <f t="shared" si="13"/>
        <v>-10308.323652469</v>
      </c>
      <c r="G233" s="23">
        <f t="shared" si="14"/>
        <v>-4.0389284172878584E-2</v>
      </c>
      <c r="H233" s="3">
        <f t="shared" si="15"/>
        <v>-1.310824472592701</v>
      </c>
    </row>
    <row r="234" spans="1:8" x14ac:dyDescent="0.3">
      <c r="A234" s="2">
        <v>41870</v>
      </c>
      <c r="B234" s="3">
        <v>160372.03970902969</v>
      </c>
      <c r="C234" s="3">
        <v>167021.15782900871</v>
      </c>
      <c r="D234">
        <v>4941</v>
      </c>
      <c r="E234" s="3">
        <f t="shared" si="12"/>
        <v>32.457405324636653</v>
      </c>
      <c r="F234" s="16">
        <f t="shared" si="13"/>
        <v>-6649.1181199790153</v>
      </c>
      <c r="G234" s="23">
        <f t="shared" si="14"/>
        <v>-4.1460582106723924E-2</v>
      </c>
      <c r="H234" s="3">
        <f t="shared" si="15"/>
        <v>-1.3457029184333162</v>
      </c>
    </row>
    <row r="235" spans="1:8" x14ac:dyDescent="0.3">
      <c r="A235" s="2">
        <v>41871</v>
      </c>
      <c r="B235" s="3">
        <v>171587.33225254019</v>
      </c>
      <c r="C235" s="3">
        <v>174723.17542794361</v>
      </c>
      <c r="D235">
        <v>5151</v>
      </c>
      <c r="E235" s="3">
        <f t="shared" si="12"/>
        <v>33.311460347998484</v>
      </c>
      <c r="F235" s="16">
        <f t="shared" si="13"/>
        <v>-3135.8431754034245</v>
      </c>
      <c r="G235" s="23">
        <f t="shared" si="14"/>
        <v>-1.8275493500814664E-2</v>
      </c>
      <c r="H235" s="3">
        <f t="shared" si="15"/>
        <v>-0.60878337709249164</v>
      </c>
    </row>
    <row r="236" spans="1:8" x14ac:dyDescent="0.3">
      <c r="A236" s="2">
        <v>41872</v>
      </c>
      <c r="B236" s="3">
        <v>164208.0606125952</v>
      </c>
      <c r="C236" s="3">
        <v>167239.64875993141</v>
      </c>
      <c r="D236">
        <v>4928</v>
      </c>
      <c r="E236" s="3">
        <f t="shared" si="12"/>
        <v>33.321440871062336</v>
      </c>
      <c r="F236" s="16">
        <f t="shared" si="13"/>
        <v>-3031.5881473362097</v>
      </c>
      <c r="G236" s="23">
        <f t="shared" si="14"/>
        <v>-1.8461871701221946E-2</v>
      </c>
      <c r="H236" s="3">
        <f t="shared" si="15"/>
        <v>-0.61517616626140614</v>
      </c>
    </row>
    <row r="237" spans="1:8" x14ac:dyDescent="0.3">
      <c r="A237" s="2">
        <v>41873</v>
      </c>
      <c r="B237" s="3">
        <v>376778.83570449759</v>
      </c>
      <c r="C237" s="3">
        <v>384006.045320909</v>
      </c>
      <c r="D237">
        <v>11309</v>
      </c>
      <c r="E237" s="3">
        <f t="shared" si="12"/>
        <v>33.316724352683487</v>
      </c>
      <c r="F237" s="16">
        <f t="shared" si="13"/>
        <v>-7227.2096164114191</v>
      </c>
      <c r="G237" s="23">
        <f t="shared" si="14"/>
        <v>-1.9181570012811493E-2</v>
      </c>
      <c r="H237" s="3">
        <f t="shared" si="15"/>
        <v>-0.63906708076854002</v>
      </c>
    </row>
    <row r="238" spans="1:8" x14ac:dyDescent="0.3">
      <c r="A238" s="2">
        <v>41874</v>
      </c>
      <c r="B238" s="3">
        <v>453633.473978322</v>
      </c>
      <c r="C238" s="3">
        <v>463250.07125509798</v>
      </c>
      <c r="D238">
        <v>13613</v>
      </c>
      <c r="E238" s="3">
        <f t="shared" si="12"/>
        <v>33.32354910587835</v>
      </c>
      <c r="F238" s="16">
        <f t="shared" si="13"/>
        <v>-9616.5972767759813</v>
      </c>
      <c r="G238" s="23">
        <f t="shared" si="14"/>
        <v>-2.1199046870239418E-2</v>
      </c>
      <c r="H238" s="3">
        <f t="shared" si="15"/>
        <v>-0.70642747937824002</v>
      </c>
    </row>
    <row r="239" spans="1:8" x14ac:dyDescent="0.3">
      <c r="A239" s="2">
        <v>41875</v>
      </c>
      <c r="B239" s="3">
        <v>214392.40085275259</v>
      </c>
      <c r="C239" s="3">
        <v>218347.79777692939</v>
      </c>
      <c r="D239">
        <v>6424</v>
      </c>
      <c r="E239" s="3">
        <f t="shared" si="12"/>
        <v>33.373661402981412</v>
      </c>
      <c r="F239" s="16">
        <f t="shared" si="13"/>
        <v>-3955.3969241768064</v>
      </c>
      <c r="G239" s="23">
        <f t="shared" si="14"/>
        <v>-1.8449333597851832E-2</v>
      </c>
      <c r="H239" s="3">
        <f t="shared" si="15"/>
        <v>-0.61572181260535586</v>
      </c>
    </row>
    <row r="240" spans="1:8" x14ac:dyDescent="0.3">
      <c r="A240" s="2">
        <v>41876</v>
      </c>
      <c r="B240" s="3">
        <v>316404.06232243002</v>
      </c>
      <c r="C240" s="3">
        <v>323293.3966404731</v>
      </c>
      <c r="D240">
        <v>9493</v>
      </c>
      <c r="E240" s="3">
        <f t="shared" si="12"/>
        <v>33.330249902289054</v>
      </c>
      <c r="F240" s="16">
        <f t="shared" si="13"/>
        <v>-6889.334318043082</v>
      </c>
      <c r="G240" s="23">
        <f t="shared" si="14"/>
        <v>-2.1773849132893052E-2</v>
      </c>
      <c r="H240" s="3">
        <f t="shared" si="15"/>
        <v>-0.72572783293406529</v>
      </c>
    </row>
    <row r="241" spans="1:8" x14ac:dyDescent="0.3">
      <c r="A241" s="2">
        <v>41877</v>
      </c>
      <c r="B241" s="3">
        <v>242824.50134045491</v>
      </c>
      <c r="C241" s="3">
        <v>259860.5125486858</v>
      </c>
      <c r="D241">
        <v>7619</v>
      </c>
      <c r="E241" s="3">
        <f t="shared" si="12"/>
        <v>31.87091499415342</v>
      </c>
      <c r="F241" s="16">
        <f t="shared" si="13"/>
        <v>-17036.011208230891</v>
      </c>
      <c r="G241" s="23">
        <f t="shared" si="14"/>
        <v>-7.0157711080173712E-2</v>
      </c>
      <c r="H241" s="3">
        <f t="shared" si="15"/>
        <v>-2.2359904460205922</v>
      </c>
    </row>
    <row r="242" spans="1:8" x14ac:dyDescent="0.3">
      <c r="A242" s="2">
        <v>41878</v>
      </c>
      <c r="B242" s="3">
        <v>274712.25328416959</v>
      </c>
      <c r="C242" s="3">
        <v>304334.78464343678</v>
      </c>
      <c r="D242">
        <v>8909</v>
      </c>
      <c r="E242" s="3">
        <f t="shared" si="12"/>
        <v>30.835363484585205</v>
      </c>
      <c r="F242" s="16">
        <f t="shared" si="13"/>
        <v>-29622.531359267188</v>
      </c>
      <c r="G242" s="23">
        <f t="shared" si="14"/>
        <v>-0.10783112513232113</v>
      </c>
      <c r="H242" s="3">
        <f t="shared" si="15"/>
        <v>-3.325011938406913</v>
      </c>
    </row>
    <row r="243" spans="1:8" x14ac:dyDescent="0.3">
      <c r="A243" s="2">
        <v>41879</v>
      </c>
      <c r="B243" s="3">
        <v>258066.16939498461</v>
      </c>
      <c r="C243" s="3">
        <v>287168.56608982541</v>
      </c>
      <c r="D243">
        <v>8400</v>
      </c>
      <c r="E243" s="3">
        <f t="shared" si="12"/>
        <v>30.722163023212453</v>
      </c>
      <c r="F243" s="16">
        <f t="shared" si="13"/>
        <v>-29102.396694840805</v>
      </c>
      <c r="G243" s="23">
        <f t="shared" si="14"/>
        <v>-0.11277106473533138</v>
      </c>
      <c r="H243" s="3">
        <f t="shared" si="15"/>
        <v>-3.464571035100096</v>
      </c>
    </row>
    <row r="244" spans="1:8" x14ac:dyDescent="0.3">
      <c r="A244" s="2">
        <v>41880</v>
      </c>
      <c r="B244" s="3">
        <v>594007.21320371237</v>
      </c>
      <c r="C244" s="3">
        <v>660937.80480560346</v>
      </c>
      <c r="D244">
        <v>19317</v>
      </c>
      <c r="E244" s="3">
        <f t="shared" si="12"/>
        <v>30.750489889926612</v>
      </c>
      <c r="F244" s="16">
        <f t="shared" si="13"/>
        <v>-66930.591601891094</v>
      </c>
      <c r="G244" s="23">
        <f t="shared" si="14"/>
        <v>-0.11267639536043397</v>
      </c>
      <c r="H244" s="3">
        <f t="shared" si="15"/>
        <v>-3.4648543563643988</v>
      </c>
    </row>
    <row r="245" spans="1:8" x14ac:dyDescent="0.3">
      <c r="A245" s="2">
        <v>41881</v>
      </c>
      <c r="B245" s="3">
        <v>717096.71281835937</v>
      </c>
      <c r="C245" s="3">
        <v>797788.89197623753</v>
      </c>
      <c r="D245">
        <v>23310</v>
      </c>
      <c r="E245" s="3">
        <f t="shared" si="12"/>
        <v>30.763479743387361</v>
      </c>
      <c r="F245" s="16">
        <f t="shared" si="13"/>
        <v>-80692.179157878156</v>
      </c>
      <c r="G245" s="23">
        <f t="shared" si="14"/>
        <v>-0.11252621538416881</v>
      </c>
      <c r="H245" s="3">
        <f t="shared" si="15"/>
        <v>-3.4616979475709204</v>
      </c>
    </row>
    <row r="246" spans="1:8" x14ac:dyDescent="0.3">
      <c r="A246" s="2">
        <v>41882</v>
      </c>
      <c r="B246" s="3">
        <v>358170.99632881698</v>
      </c>
      <c r="C246" s="3">
        <v>398562.60743015882</v>
      </c>
      <c r="D246">
        <v>11646</v>
      </c>
      <c r="E246" s="3">
        <f t="shared" si="12"/>
        <v>30.754851135910783</v>
      </c>
      <c r="F246" s="16">
        <f t="shared" si="13"/>
        <v>-40391.611101341841</v>
      </c>
      <c r="G246" s="23">
        <f t="shared" si="14"/>
        <v>-0.11277186459916631</v>
      </c>
      <c r="H246" s="3">
        <f t="shared" si="15"/>
        <v>-3.4682819080664471</v>
      </c>
    </row>
    <row r="247" spans="1:8" x14ac:dyDescent="0.3">
      <c r="A247" s="2">
        <v>41883</v>
      </c>
      <c r="B247" s="3">
        <v>594953.63490643876</v>
      </c>
      <c r="C247" s="3">
        <v>662850.99076108413</v>
      </c>
      <c r="D247">
        <v>19366</v>
      </c>
      <c r="E247" s="3">
        <f t="shared" si="12"/>
        <v>30.721555040092884</v>
      </c>
      <c r="F247" s="16">
        <f t="shared" si="13"/>
        <v>-67897.355854645371</v>
      </c>
      <c r="G247" s="23">
        <f t="shared" si="14"/>
        <v>-0.1141220960274035</v>
      </c>
      <c r="H247" s="3">
        <f t="shared" si="15"/>
        <v>-3.506008254396642</v>
      </c>
    </row>
    <row r="248" spans="1:8" x14ac:dyDescent="0.3">
      <c r="A248" s="2">
        <v>41884</v>
      </c>
      <c r="B248" s="3">
        <v>469469.9410251276</v>
      </c>
      <c r="C248" s="3">
        <v>523480.3033456417</v>
      </c>
      <c r="D248">
        <v>15291</v>
      </c>
      <c r="E248" s="3">
        <f t="shared" si="12"/>
        <v>30.702370088622562</v>
      </c>
      <c r="F248" s="16">
        <f t="shared" si="13"/>
        <v>-54010.362320514105</v>
      </c>
      <c r="G248" s="23">
        <f t="shared" si="14"/>
        <v>-0.1150454110066725</v>
      </c>
      <c r="H248" s="3">
        <f t="shared" si="15"/>
        <v>-3.5321667857245509</v>
      </c>
    </row>
    <row r="249" spans="1:8" x14ac:dyDescent="0.3">
      <c r="A249" s="2">
        <v>41885</v>
      </c>
      <c r="B249" s="3">
        <v>464067.7993402126</v>
      </c>
      <c r="C249" s="3">
        <v>517180.5432955554</v>
      </c>
      <c r="D249">
        <v>15100</v>
      </c>
      <c r="E249" s="3">
        <f t="shared" si="12"/>
        <v>30.732966843722689</v>
      </c>
      <c r="F249" s="16">
        <f t="shared" si="13"/>
        <v>-53112.743955342798</v>
      </c>
      <c r="G249" s="23">
        <f t="shared" si="14"/>
        <v>-0.11445039718518658</v>
      </c>
      <c r="H249" s="3">
        <f t="shared" si="15"/>
        <v>-3.5174002619432314</v>
      </c>
    </row>
    <row r="250" spans="1:8" x14ac:dyDescent="0.3">
      <c r="A250" s="2">
        <v>41886</v>
      </c>
      <c r="B250" s="3">
        <v>312311.95398119069</v>
      </c>
      <c r="C250" s="3">
        <v>348177.12054578192</v>
      </c>
      <c r="D250">
        <v>10164</v>
      </c>
      <c r="E250" s="3">
        <f t="shared" si="12"/>
        <v>30.727268199644893</v>
      </c>
      <c r="F250" s="16">
        <f t="shared" si="13"/>
        <v>-35865.166564591229</v>
      </c>
      <c r="G250" s="23">
        <f t="shared" si="14"/>
        <v>-0.11483763623966582</v>
      </c>
      <c r="H250" s="3">
        <f t="shared" si="15"/>
        <v>-3.5286468481494717</v>
      </c>
    </row>
    <row r="251" spans="1:8" x14ac:dyDescent="0.3">
      <c r="A251" s="2">
        <v>41887</v>
      </c>
      <c r="B251" s="3">
        <v>501279.00044448092</v>
      </c>
      <c r="C251" s="3">
        <v>558766.69034694601</v>
      </c>
      <c r="D251">
        <v>16310</v>
      </c>
      <c r="E251" s="3">
        <f t="shared" si="12"/>
        <v>30.734457415357504</v>
      </c>
      <c r="F251" s="16">
        <f t="shared" si="13"/>
        <v>-57487.689902465092</v>
      </c>
      <c r="G251" s="23">
        <f t="shared" si="14"/>
        <v>-0.11468202308792333</v>
      </c>
      <c r="H251" s="3">
        <f t="shared" si="15"/>
        <v>-3.524689754902826</v>
      </c>
    </row>
    <row r="252" spans="1:8" x14ac:dyDescent="0.3">
      <c r="A252" s="2">
        <v>41888</v>
      </c>
      <c r="B252" s="3">
        <v>552703.9037581525</v>
      </c>
      <c r="C252" s="3">
        <v>616169.85143113649</v>
      </c>
      <c r="D252">
        <v>17985</v>
      </c>
      <c r="E252" s="3">
        <f t="shared" si="12"/>
        <v>30.731381915938421</v>
      </c>
      <c r="F252" s="16">
        <f t="shared" si="13"/>
        <v>-63465.947672983981</v>
      </c>
      <c r="G252" s="23">
        <f t="shared" si="14"/>
        <v>-0.11482811545466282</v>
      </c>
      <c r="H252" s="3">
        <f t="shared" si="15"/>
        <v>-3.528826670724714</v>
      </c>
    </row>
    <row r="253" spans="1:8" x14ac:dyDescent="0.3">
      <c r="A253" s="2">
        <v>41889</v>
      </c>
      <c r="B253" s="3">
        <v>234153.76221071579</v>
      </c>
      <c r="C253" s="3">
        <v>261088.3863729678</v>
      </c>
      <c r="D253">
        <v>7620</v>
      </c>
      <c r="E253" s="3">
        <f t="shared" si="12"/>
        <v>30.728840185133308</v>
      </c>
      <c r="F253" s="16">
        <f t="shared" si="13"/>
        <v>-26934.624162252003</v>
      </c>
      <c r="G253" s="23">
        <f t="shared" si="14"/>
        <v>-0.1150296450842991</v>
      </c>
      <c r="H253" s="3">
        <f t="shared" si="15"/>
        <v>-3.534727580348032</v>
      </c>
    </row>
    <row r="254" spans="1:8" x14ac:dyDescent="0.3">
      <c r="A254" s="2">
        <v>41890</v>
      </c>
      <c r="B254" s="3">
        <v>244481.49772930579</v>
      </c>
      <c r="C254" s="3">
        <v>272633.39980275778</v>
      </c>
      <c r="D254">
        <v>7958</v>
      </c>
      <c r="E254" s="3">
        <f t="shared" si="12"/>
        <v>30.721474959701656</v>
      </c>
      <c r="F254" s="16">
        <f t="shared" si="13"/>
        <v>-28151.902073451987</v>
      </c>
      <c r="G254" s="23">
        <f t="shared" si="14"/>
        <v>-0.11514941758342084</v>
      </c>
      <c r="H254" s="3">
        <f t="shared" si="15"/>
        <v>-3.5375599489132932</v>
      </c>
    </row>
    <row r="255" spans="1:8" x14ac:dyDescent="0.3">
      <c r="A255" s="2">
        <v>41891</v>
      </c>
      <c r="B255" s="3">
        <v>122749.63527830879</v>
      </c>
      <c r="C255" s="3">
        <v>120070.9501885974</v>
      </c>
      <c r="D255">
        <v>3503</v>
      </c>
      <c r="E255" s="3">
        <f t="shared" si="12"/>
        <v>35.041288974681358</v>
      </c>
      <c r="F255" s="16">
        <f t="shared" si="13"/>
        <v>2678.6850897113909</v>
      </c>
      <c r="G255" s="23">
        <f t="shared" si="14"/>
        <v>2.1822346629690913E-2</v>
      </c>
      <c r="H255" s="3">
        <f t="shared" si="15"/>
        <v>0.76468315435666312</v>
      </c>
    </row>
    <row r="256" spans="1:8" x14ac:dyDescent="0.3">
      <c r="A256" s="2">
        <v>41892</v>
      </c>
      <c r="B256" s="3">
        <v>78736.402839721224</v>
      </c>
      <c r="C256" s="3">
        <v>77071.542706110122</v>
      </c>
      <c r="D256">
        <v>2247</v>
      </c>
      <c r="E256" s="3">
        <f t="shared" si="12"/>
        <v>35.04067772128225</v>
      </c>
      <c r="F256" s="16">
        <f t="shared" si="13"/>
        <v>1664.8601336111024</v>
      </c>
      <c r="G256" s="23">
        <f t="shared" si="14"/>
        <v>2.1144731960896845E-2</v>
      </c>
      <c r="H256" s="3">
        <f t="shared" si="15"/>
        <v>0.74092573814468288</v>
      </c>
    </row>
    <row r="257" spans="1:8" x14ac:dyDescent="0.3">
      <c r="A257" s="2">
        <v>41893</v>
      </c>
      <c r="B257" s="3">
        <v>70875.110668741108</v>
      </c>
      <c r="C257" s="3">
        <v>69489.36084683513</v>
      </c>
      <c r="D257">
        <v>2023</v>
      </c>
      <c r="E257" s="3">
        <f t="shared" si="12"/>
        <v>35.034656781384633</v>
      </c>
      <c r="F257" s="16">
        <f t="shared" si="13"/>
        <v>1385.749821905978</v>
      </c>
      <c r="G257" s="23">
        <f t="shared" si="14"/>
        <v>1.9551995176173342E-2</v>
      </c>
      <c r="H257" s="3">
        <f t="shared" si="15"/>
        <v>0.68499744038852106</v>
      </c>
    </row>
    <row r="258" spans="1:8" x14ac:dyDescent="0.3">
      <c r="A258" s="2">
        <v>41894</v>
      </c>
      <c r="B258" s="3">
        <v>148634.39140687519</v>
      </c>
      <c r="C258" s="3">
        <v>145956.13969592101</v>
      </c>
      <c r="D258">
        <v>4242</v>
      </c>
      <c r="E258" s="3">
        <f t="shared" ref="E258:E321" si="16">B258/D258</f>
        <v>35.038753278376987</v>
      </c>
      <c r="F258" s="16">
        <f t="shared" ref="F258:F321" si="17">B258-C258</f>
        <v>2678.2517109541805</v>
      </c>
      <c r="G258" s="23">
        <f t="shared" ref="G258:G321" si="18">F258/B258</f>
        <v>1.801905794213314E-2</v>
      </c>
      <c r="H258" s="3">
        <f t="shared" ref="H258:H321" si="19">F258/D258</f>
        <v>0.63136532554318259</v>
      </c>
    </row>
    <row r="259" spans="1:8" x14ac:dyDescent="0.3">
      <c r="A259" s="2">
        <v>41895</v>
      </c>
      <c r="B259" s="3">
        <v>171724.82878193399</v>
      </c>
      <c r="C259" s="3">
        <v>168652.2035714417</v>
      </c>
      <c r="D259">
        <v>4901</v>
      </c>
      <c r="E259" s="3">
        <f t="shared" si="16"/>
        <v>35.038732663116505</v>
      </c>
      <c r="F259" s="16">
        <f t="shared" si="17"/>
        <v>3072.6252104922896</v>
      </c>
      <c r="G259" s="23">
        <f t="shared" si="18"/>
        <v>1.7892725427573929E-2</v>
      </c>
      <c r="H259" s="3">
        <f t="shared" si="19"/>
        <v>0.62693842287130985</v>
      </c>
    </row>
    <row r="260" spans="1:8" x14ac:dyDescent="0.3">
      <c r="A260" s="2">
        <v>41896</v>
      </c>
      <c r="B260" s="3">
        <v>86435.698834951094</v>
      </c>
      <c r="C260" s="3">
        <v>84948.374577163748</v>
      </c>
      <c r="D260">
        <v>2467</v>
      </c>
      <c r="E260" s="3">
        <f t="shared" si="16"/>
        <v>35.03676482973291</v>
      </c>
      <c r="F260" s="16">
        <f t="shared" si="17"/>
        <v>1487.3242577873461</v>
      </c>
      <c r="G260" s="23">
        <f t="shared" si="18"/>
        <v>1.720729140661419E-2</v>
      </c>
      <c r="H260" s="3">
        <f t="shared" si="19"/>
        <v>0.60288782237022542</v>
      </c>
    </row>
    <row r="261" spans="1:8" x14ac:dyDescent="0.3">
      <c r="A261" s="2">
        <v>41897</v>
      </c>
      <c r="B261" s="3">
        <v>120236.18270337</v>
      </c>
      <c r="C261" s="3">
        <v>118094.0431931489</v>
      </c>
      <c r="D261">
        <v>3432</v>
      </c>
      <c r="E261" s="3">
        <f t="shared" si="16"/>
        <v>35.033852769047201</v>
      </c>
      <c r="F261" s="16">
        <f t="shared" si="17"/>
        <v>2142.1395102210954</v>
      </c>
      <c r="G261" s="23">
        <f t="shared" si="18"/>
        <v>1.7816097135301478E-2</v>
      </c>
      <c r="H261" s="3">
        <f t="shared" si="19"/>
        <v>0.62416652395719563</v>
      </c>
    </row>
    <row r="262" spans="1:8" x14ac:dyDescent="0.3">
      <c r="A262" s="2">
        <v>41898</v>
      </c>
      <c r="B262" s="3">
        <v>83204.196694181097</v>
      </c>
      <c r="C262" s="3">
        <v>81753.424593545584</v>
      </c>
      <c r="D262">
        <v>2375</v>
      </c>
      <c r="E262" s="3">
        <f t="shared" si="16"/>
        <v>35.033345976497301</v>
      </c>
      <c r="F262" s="16">
        <f t="shared" si="17"/>
        <v>1450.7721006355132</v>
      </c>
      <c r="G262" s="23">
        <f t="shared" si="18"/>
        <v>1.7436285166815068E-2</v>
      </c>
      <c r="H262" s="3">
        <f t="shared" si="19"/>
        <v>0.61085141079390026</v>
      </c>
    </row>
    <row r="263" spans="1:8" x14ac:dyDescent="0.3">
      <c r="A263" s="2">
        <v>41899</v>
      </c>
      <c r="B263" s="3">
        <v>73768.034734920977</v>
      </c>
      <c r="C263" s="3">
        <v>72471.919323404494</v>
      </c>
      <c r="D263">
        <v>2105</v>
      </c>
      <c r="E263" s="3">
        <f t="shared" si="16"/>
        <v>35.044197023715427</v>
      </c>
      <c r="F263" s="16">
        <f t="shared" si="17"/>
        <v>1296.1154115164827</v>
      </c>
      <c r="G263" s="23">
        <f t="shared" si="18"/>
        <v>1.7570149674909476E-2</v>
      </c>
      <c r="H263" s="3">
        <f t="shared" si="19"/>
        <v>0.61573178694369723</v>
      </c>
    </row>
    <row r="264" spans="1:8" x14ac:dyDescent="0.3">
      <c r="A264" s="2">
        <v>41900</v>
      </c>
      <c r="B264" s="3">
        <v>69425.44511577097</v>
      </c>
      <c r="C264" s="3">
        <v>68280.383276895183</v>
      </c>
      <c r="D264">
        <v>1982</v>
      </c>
      <c r="E264" s="3">
        <f t="shared" si="16"/>
        <v>35.027974326826929</v>
      </c>
      <c r="F264" s="16">
        <f t="shared" si="17"/>
        <v>1145.0618388757866</v>
      </c>
      <c r="G264" s="23">
        <f t="shared" si="18"/>
        <v>1.6493402915405575E-2</v>
      </c>
      <c r="H264" s="3">
        <f t="shared" si="19"/>
        <v>0.57773049388283881</v>
      </c>
    </row>
    <row r="265" spans="1:8" x14ac:dyDescent="0.3">
      <c r="A265" s="2">
        <v>41901</v>
      </c>
      <c r="B265" s="3">
        <v>137154.95408779141</v>
      </c>
      <c r="C265" s="3">
        <v>135276.90958604589</v>
      </c>
      <c r="D265">
        <v>3915</v>
      </c>
      <c r="E265" s="3">
        <f t="shared" si="16"/>
        <v>35.03319389215617</v>
      </c>
      <c r="F265" s="16">
        <f t="shared" si="17"/>
        <v>1878.0445017455204</v>
      </c>
      <c r="G265" s="23">
        <f t="shared" si="18"/>
        <v>1.3692866686706806E-2</v>
      </c>
      <c r="H265" s="3">
        <f t="shared" si="19"/>
        <v>0.47970485357484555</v>
      </c>
    </row>
    <row r="266" spans="1:8" x14ac:dyDescent="0.3">
      <c r="A266" s="2">
        <v>41902</v>
      </c>
      <c r="B266" s="3">
        <v>153569.06188021021</v>
      </c>
      <c r="C266" s="3">
        <v>151376.13558980459</v>
      </c>
      <c r="D266">
        <v>4383</v>
      </c>
      <c r="E266" s="3">
        <f t="shared" si="16"/>
        <v>35.037431412322661</v>
      </c>
      <c r="F266" s="16">
        <f t="shared" si="17"/>
        <v>2192.9262904056231</v>
      </c>
      <c r="G266" s="23">
        <f t="shared" si="18"/>
        <v>1.4279740095802566E-2</v>
      </c>
      <c r="H266" s="3">
        <f t="shared" si="19"/>
        <v>0.50032541419247623</v>
      </c>
    </row>
    <row r="267" spans="1:8" x14ac:dyDescent="0.3">
      <c r="A267" s="2">
        <v>41903</v>
      </c>
      <c r="B267" s="3">
        <v>75633.320588686343</v>
      </c>
      <c r="C267" s="3">
        <v>74546.668253599157</v>
      </c>
      <c r="D267">
        <v>2159</v>
      </c>
      <c r="E267" s="3">
        <f t="shared" si="16"/>
        <v>35.031644552425355</v>
      </c>
      <c r="F267" s="16">
        <f t="shared" si="17"/>
        <v>1086.6523350871867</v>
      </c>
      <c r="G267" s="23">
        <f t="shared" si="18"/>
        <v>1.4367375736372657E-2</v>
      </c>
      <c r="H267" s="3">
        <f t="shared" si="19"/>
        <v>0.50331279994774736</v>
      </c>
    </row>
    <row r="268" spans="1:8" x14ac:dyDescent="0.3">
      <c r="A268" s="2">
        <v>41904</v>
      </c>
      <c r="B268" s="3">
        <v>90815.929812690869</v>
      </c>
      <c r="C268" s="3">
        <v>89653.637589452905</v>
      </c>
      <c r="D268">
        <v>2592</v>
      </c>
      <c r="E268" s="3">
        <f t="shared" si="16"/>
        <v>35.037009958599874</v>
      </c>
      <c r="F268" s="16">
        <f t="shared" si="17"/>
        <v>1162.2922232379642</v>
      </c>
      <c r="G268" s="23">
        <f t="shared" si="18"/>
        <v>1.2798329826443536E-2</v>
      </c>
      <c r="H268" s="3">
        <f t="shared" si="19"/>
        <v>0.44841520958254794</v>
      </c>
    </row>
    <row r="269" spans="1:8" x14ac:dyDescent="0.3">
      <c r="A269" s="2">
        <v>41905</v>
      </c>
      <c r="B269" s="3">
        <v>110118.1563914701</v>
      </c>
      <c r="C269" s="3">
        <v>108880.4089631831</v>
      </c>
      <c r="D269">
        <v>3143</v>
      </c>
      <c r="E269" s="3">
        <f t="shared" si="16"/>
        <v>35.03600266989185</v>
      </c>
      <c r="F269" s="16">
        <f t="shared" si="17"/>
        <v>1237.7474282869953</v>
      </c>
      <c r="G269" s="23">
        <f t="shared" si="18"/>
        <v>1.1240175724399186E-2</v>
      </c>
      <c r="H269" s="3">
        <f t="shared" si="19"/>
        <v>0.39381082669010348</v>
      </c>
    </row>
    <row r="270" spans="1:8" x14ac:dyDescent="0.3">
      <c r="A270" s="2">
        <v>41906</v>
      </c>
      <c r="B270" s="3">
        <v>209908.38311163971</v>
      </c>
      <c r="C270" s="3">
        <v>223554.08660175069</v>
      </c>
      <c r="D270">
        <v>6457</v>
      </c>
      <c r="E270" s="3">
        <f t="shared" si="16"/>
        <v>32.508654655666675</v>
      </c>
      <c r="F270" s="16">
        <f t="shared" si="17"/>
        <v>-13645.703490110987</v>
      </c>
      <c r="G270" s="23">
        <f t="shared" si="18"/>
        <v>-6.5007901484589709E-2</v>
      </c>
      <c r="H270" s="3">
        <f t="shared" si="19"/>
        <v>-2.1133194192521274</v>
      </c>
    </row>
    <row r="271" spans="1:8" x14ac:dyDescent="0.3">
      <c r="A271" s="2">
        <v>41907</v>
      </c>
      <c r="B271" s="3">
        <v>358365.68296879338</v>
      </c>
      <c r="C271" s="3">
        <v>382967.98317568301</v>
      </c>
      <c r="D271">
        <v>11039</v>
      </c>
      <c r="E271" s="3">
        <f t="shared" si="16"/>
        <v>32.463600232701637</v>
      </c>
      <c r="F271" s="16">
        <f t="shared" si="17"/>
        <v>-24602.300206889631</v>
      </c>
      <c r="G271" s="23">
        <f t="shared" si="18"/>
        <v>-6.8651384259446543E-2</v>
      </c>
      <c r="H271" s="3">
        <f t="shared" si="19"/>
        <v>-2.2286710940202581</v>
      </c>
    </row>
    <row r="272" spans="1:8" x14ac:dyDescent="0.3">
      <c r="A272" s="2">
        <v>41908</v>
      </c>
      <c r="B272" s="3">
        <v>585463.99600736017</v>
      </c>
      <c r="C272" s="3">
        <v>625980.93020941468</v>
      </c>
      <c r="D272">
        <v>18036</v>
      </c>
      <c r="E272" s="3">
        <f t="shared" si="16"/>
        <v>32.460855844275905</v>
      </c>
      <c r="F272" s="16">
        <f t="shared" si="17"/>
        <v>-40516.934202054515</v>
      </c>
      <c r="G272" s="23">
        <f t="shared" si="18"/>
        <v>-6.9204826391314339E-2</v>
      </c>
      <c r="H272" s="3">
        <f t="shared" si="19"/>
        <v>-2.2464478932165957</v>
      </c>
    </row>
    <row r="273" spans="1:8" x14ac:dyDescent="0.3">
      <c r="A273" s="2">
        <v>41909</v>
      </c>
      <c r="B273" s="3">
        <v>617019.09153442062</v>
      </c>
      <c r="C273" s="3">
        <v>661010.59126386233</v>
      </c>
      <c r="D273">
        <v>19017</v>
      </c>
      <c r="E273" s="3">
        <f t="shared" si="16"/>
        <v>32.445658701920422</v>
      </c>
      <c r="F273" s="16">
        <f t="shared" si="17"/>
        <v>-43991.499729441712</v>
      </c>
      <c r="G273" s="23">
        <f t="shared" si="18"/>
        <v>-7.129682101090648E-2</v>
      </c>
      <c r="H273" s="3">
        <f t="shared" si="19"/>
        <v>-2.3132723210517807</v>
      </c>
    </row>
    <row r="274" spans="1:8" x14ac:dyDescent="0.3">
      <c r="A274" s="2">
        <v>41910</v>
      </c>
      <c r="B274" s="3">
        <v>283850.59710549947</v>
      </c>
      <c r="C274" s="3">
        <v>304440.65150645463</v>
      </c>
      <c r="D274">
        <v>8747</v>
      </c>
      <c r="E274" s="3">
        <f t="shared" si="16"/>
        <v>32.451194364410597</v>
      </c>
      <c r="F274" s="16">
        <f t="shared" si="17"/>
        <v>-20590.054400955152</v>
      </c>
      <c r="G274" s="23">
        <f t="shared" si="18"/>
        <v>-7.2538351551546656E-2</v>
      </c>
      <c r="H274" s="3">
        <f t="shared" si="19"/>
        <v>-2.3539561450731852</v>
      </c>
    </row>
    <row r="275" spans="1:8" x14ac:dyDescent="0.3">
      <c r="A275" s="2">
        <v>41911</v>
      </c>
      <c r="B275" s="3">
        <v>264317.11036810582</v>
      </c>
      <c r="C275" s="3">
        <v>283912.96869744168</v>
      </c>
      <c r="D275">
        <v>8147</v>
      </c>
      <c r="E275" s="3">
        <f t="shared" si="16"/>
        <v>32.443489673266946</v>
      </c>
      <c r="F275" s="16">
        <f t="shared" si="17"/>
        <v>-19595.858329335868</v>
      </c>
      <c r="G275" s="23">
        <f t="shared" si="18"/>
        <v>-7.4137683716522768E-2</v>
      </c>
      <c r="H275" s="3">
        <f t="shared" si="19"/>
        <v>-2.4052851760569371</v>
      </c>
    </row>
    <row r="276" spans="1:8" x14ac:dyDescent="0.3">
      <c r="A276" s="2">
        <v>41912</v>
      </c>
      <c r="B276" s="3">
        <v>358024.98134882591</v>
      </c>
      <c r="C276" s="3">
        <v>384823.43987807218</v>
      </c>
      <c r="D276">
        <v>11036</v>
      </c>
      <c r="E276" s="3">
        <f t="shared" si="16"/>
        <v>32.441553221169436</v>
      </c>
      <c r="F276" s="16">
        <f t="shared" si="17"/>
        <v>-26798.458529246273</v>
      </c>
      <c r="G276" s="23">
        <f t="shared" si="18"/>
        <v>-7.4850806299285505E-2</v>
      </c>
      <c r="H276" s="3">
        <f t="shared" si="19"/>
        <v>-2.4282764162057151</v>
      </c>
    </row>
    <row r="277" spans="1:8" x14ac:dyDescent="0.3">
      <c r="A277" s="2">
        <v>41913</v>
      </c>
      <c r="B277" s="3">
        <v>594438.28078029968</v>
      </c>
      <c r="C277" s="3">
        <v>639306.56878246542</v>
      </c>
      <c r="D277">
        <v>18330</v>
      </c>
      <c r="E277" s="3">
        <f t="shared" si="16"/>
        <v>32.429802552116733</v>
      </c>
      <c r="F277" s="16">
        <f t="shared" si="17"/>
        <v>-44868.288002165733</v>
      </c>
      <c r="G277" s="23">
        <f t="shared" si="18"/>
        <v>-7.5480145631382625E-2</v>
      </c>
      <c r="H277" s="3">
        <f t="shared" si="19"/>
        <v>-2.4478062194307548</v>
      </c>
    </row>
    <row r="278" spans="1:8" x14ac:dyDescent="0.3">
      <c r="A278" s="2">
        <v>41914</v>
      </c>
      <c r="B278" s="3">
        <v>470507.66304443887</v>
      </c>
      <c r="C278" s="3">
        <v>506072.03334142908</v>
      </c>
      <c r="D278">
        <v>14503</v>
      </c>
      <c r="E278" s="3">
        <f t="shared" si="16"/>
        <v>32.442092190887323</v>
      </c>
      <c r="F278" s="16">
        <f t="shared" si="17"/>
        <v>-35564.370296990208</v>
      </c>
      <c r="G278" s="23">
        <f t="shared" si="18"/>
        <v>-7.5587228626351186E-2</v>
      </c>
      <c r="H278" s="3">
        <f t="shared" si="19"/>
        <v>-2.4522078395497626</v>
      </c>
    </row>
    <row r="279" spans="1:8" x14ac:dyDescent="0.3">
      <c r="A279" s="2">
        <v>41915</v>
      </c>
      <c r="B279" s="3">
        <v>518693.52866487252</v>
      </c>
      <c r="C279" s="3">
        <v>557939.36927636876</v>
      </c>
      <c r="D279">
        <v>15986</v>
      </c>
      <c r="E279" s="3">
        <f t="shared" si="16"/>
        <v>32.446736435935975</v>
      </c>
      <c r="F279" s="16">
        <f t="shared" si="17"/>
        <v>-39245.840611496242</v>
      </c>
      <c r="G279" s="23">
        <f t="shared" si="18"/>
        <v>-7.5662869194678059E-2</v>
      </c>
      <c r="H279" s="3">
        <f t="shared" si="19"/>
        <v>-2.4550131747464183</v>
      </c>
    </row>
    <row r="280" spans="1:8" x14ac:dyDescent="0.3">
      <c r="A280" s="2">
        <v>41916</v>
      </c>
      <c r="B280" s="3">
        <v>656245.82842866576</v>
      </c>
      <c r="C280" s="3">
        <v>705891.30026245222</v>
      </c>
      <c r="D280">
        <v>20223</v>
      </c>
      <c r="E280" s="3">
        <f t="shared" si="16"/>
        <v>32.450468695478698</v>
      </c>
      <c r="F280" s="16">
        <f t="shared" si="17"/>
        <v>-49645.471833786462</v>
      </c>
      <c r="G280" s="23">
        <f t="shared" si="18"/>
        <v>-7.5650723681793194E-2</v>
      </c>
      <c r="H280" s="3">
        <f t="shared" si="19"/>
        <v>-2.4549014406263394</v>
      </c>
    </row>
    <row r="281" spans="1:8" x14ac:dyDescent="0.3">
      <c r="A281" s="2">
        <v>41917</v>
      </c>
      <c r="B281" s="3">
        <v>280055.11771676323</v>
      </c>
      <c r="C281" s="3">
        <v>301279.65498243202</v>
      </c>
      <c r="D281">
        <v>8631</v>
      </c>
      <c r="E281" s="3">
        <f t="shared" si="16"/>
        <v>32.447586341879649</v>
      </c>
      <c r="F281" s="16">
        <f t="shared" si="17"/>
        <v>-21224.537265668798</v>
      </c>
      <c r="G281" s="23">
        <f t="shared" si="18"/>
        <v>-7.5787000211631428E-2</v>
      </c>
      <c r="H281" s="3">
        <f t="shared" si="19"/>
        <v>-2.4591052329589616</v>
      </c>
    </row>
    <row r="282" spans="1:8" x14ac:dyDescent="0.3">
      <c r="A282" s="2">
        <v>41918</v>
      </c>
      <c r="B282" s="3">
        <v>375648.0174559537</v>
      </c>
      <c r="C282" s="3">
        <v>404178.92105522793</v>
      </c>
      <c r="D282">
        <v>11579</v>
      </c>
      <c r="E282" s="3">
        <f t="shared" si="16"/>
        <v>32.442181315826382</v>
      </c>
      <c r="F282" s="16">
        <f t="shared" si="17"/>
        <v>-28530.903599274228</v>
      </c>
      <c r="G282" s="23">
        <f t="shared" si="18"/>
        <v>-7.5951162453877702E-2</v>
      </c>
      <c r="H282" s="3">
        <f t="shared" si="19"/>
        <v>-2.4640213834764859</v>
      </c>
    </row>
    <row r="283" spans="1:8" x14ac:dyDescent="0.3">
      <c r="A283" s="2">
        <v>41919</v>
      </c>
      <c r="B283" s="3">
        <v>78111.716463120727</v>
      </c>
      <c r="C283" s="3">
        <v>74251.874725965463</v>
      </c>
      <c r="D283">
        <v>2127</v>
      </c>
      <c r="E283" s="3">
        <f t="shared" si="16"/>
        <v>36.723891143921357</v>
      </c>
      <c r="F283" s="16">
        <f t="shared" si="17"/>
        <v>3859.8417371552641</v>
      </c>
      <c r="G283" s="23">
        <f t="shared" si="18"/>
        <v>4.9414376125989118E-2</v>
      </c>
      <c r="H283" s="3">
        <f t="shared" si="19"/>
        <v>1.8146881697956108</v>
      </c>
    </row>
    <row r="284" spans="1:8" x14ac:dyDescent="0.3">
      <c r="A284" s="2">
        <v>41920</v>
      </c>
      <c r="B284" s="3">
        <v>70509.132791540367</v>
      </c>
      <c r="C284" s="3">
        <v>67141.979629084031</v>
      </c>
      <c r="D284">
        <v>1923</v>
      </c>
      <c r="E284" s="3">
        <f t="shared" si="16"/>
        <v>36.666215700229003</v>
      </c>
      <c r="F284" s="16">
        <f t="shared" si="17"/>
        <v>3367.1531624563358</v>
      </c>
      <c r="G284" s="23">
        <f t="shared" si="18"/>
        <v>4.7754851451815392E-2</v>
      </c>
      <c r="H284" s="3">
        <f t="shared" si="19"/>
        <v>1.7509896840646573</v>
      </c>
    </row>
    <row r="285" spans="1:8" x14ac:dyDescent="0.3">
      <c r="A285" s="2">
        <v>41921</v>
      </c>
      <c r="B285" s="3">
        <v>103281.3110475721</v>
      </c>
      <c r="C285" s="3">
        <v>98065.939078450887</v>
      </c>
      <c r="D285">
        <v>2809</v>
      </c>
      <c r="E285" s="3">
        <f t="shared" si="16"/>
        <v>36.767999660937022</v>
      </c>
      <c r="F285" s="16">
        <f t="shared" si="17"/>
        <v>5215.3719691212173</v>
      </c>
      <c r="G285" s="23">
        <f t="shared" si="18"/>
        <v>5.0496763801913591E-2</v>
      </c>
      <c r="H285" s="3">
        <f t="shared" si="19"/>
        <v>1.856664994347176</v>
      </c>
    </row>
    <row r="286" spans="1:8" x14ac:dyDescent="0.3">
      <c r="A286" s="2">
        <v>41922</v>
      </c>
      <c r="B286" s="3">
        <v>179841.43177972361</v>
      </c>
      <c r="C286" s="3">
        <v>170757.581177207</v>
      </c>
      <c r="D286">
        <v>4891</v>
      </c>
      <c r="E286" s="3">
        <f t="shared" si="16"/>
        <v>36.769869511290864</v>
      </c>
      <c r="F286" s="16">
        <f t="shared" si="17"/>
        <v>9083.8506025166134</v>
      </c>
      <c r="G286" s="23">
        <f t="shared" si="18"/>
        <v>5.051033297845875E-2</v>
      </c>
      <c r="H286" s="3">
        <f t="shared" si="19"/>
        <v>1.8572583525897799</v>
      </c>
    </row>
    <row r="287" spans="1:8" x14ac:dyDescent="0.3">
      <c r="A287" s="2">
        <v>41923</v>
      </c>
      <c r="B287" s="3">
        <v>138038.23975289491</v>
      </c>
      <c r="C287" s="3">
        <v>131192.31677147359</v>
      </c>
      <c r="D287">
        <v>3758</v>
      </c>
      <c r="E287" s="3">
        <f t="shared" si="16"/>
        <v>36.731836017268471</v>
      </c>
      <c r="F287" s="16">
        <f t="shared" si="17"/>
        <v>6845.9229814213177</v>
      </c>
      <c r="G287" s="23">
        <f t="shared" si="18"/>
        <v>4.9594394956617424E-2</v>
      </c>
      <c r="H287" s="3">
        <f t="shared" si="19"/>
        <v>1.8216931829221175</v>
      </c>
    </row>
    <row r="288" spans="1:8" x14ac:dyDescent="0.3">
      <c r="A288" s="2">
        <v>41924</v>
      </c>
      <c r="B288" s="3">
        <v>61037.562229970368</v>
      </c>
      <c r="C288" s="3">
        <v>57992.341511187689</v>
      </c>
      <c r="D288">
        <v>1661</v>
      </c>
      <c r="E288" s="3">
        <f t="shared" si="16"/>
        <v>36.747478765785893</v>
      </c>
      <c r="F288" s="16">
        <f t="shared" si="17"/>
        <v>3045.2207187826789</v>
      </c>
      <c r="G288" s="23">
        <f t="shared" si="18"/>
        <v>4.9890929577253489E-2</v>
      </c>
      <c r="H288" s="3">
        <f t="shared" si="19"/>
        <v>1.8333658752454418</v>
      </c>
    </row>
    <row r="289" spans="1:8" x14ac:dyDescent="0.3">
      <c r="A289" s="2">
        <v>41925</v>
      </c>
      <c r="B289" s="3">
        <v>86799.759454041719</v>
      </c>
      <c r="C289" s="3">
        <v>82392.333264616391</v>
      </c>
      <c r="D289">
        <v>2360</v>
      </c>
      <c r="E289" s="3">
        <f t="shared" si="16"/>
        <v>36.779559090695642</v>
      </c>
      <c r="F289" s="16">
        <f t="shared" si="17"/>
        <v>4407.4261894253286</v>
      </c>
      <c r="G289" s="23">
        <f t="shared" si="18"/>
        <v>5.0776940133790915E-2</v>
      </c>
      <c r="H289" s="3">
        <f t="shared" si="19"/>
        <v>1.8675534700954783</v>
      </c>
    </row>
    <row r="290" spans="1:8" x14ac:dyDescent="0.3">
      <c r="A290" s="2">
        <v>41926</v>
      </c>
      <c r="B290" s="3">
        <v>69570.501466700734</v>
      </c>
      <c r="C290" s="3">
        <v>66313.940979270206</v>
      </c>
      <c r="D290">
        <v>1894</v>
      </c>
      <c r="E290" s="3">
        <f t="shared" si="16"/>
        <v>36.732049348838828</v>
      </c>
      <c r="F290" s="16">
        <f t="shared" si="17"/>
        <v>3256.5604874305282</v>
      </c>
      <c r="G290" s="23">
        <f t="shared" si="18"/>
        <v>4.6809501423376261E-2</v>
      </c>
      <c r="H290" s="3">
        <f t="shared" si="19"/>
        <v>1.719408916277998</v>
      </c>
    </row>
    <row r="291" spans="1:8" x14ac:dyDescent="0.3">
      <c r="A291" s="2">
        <v>41927</v>
      </c>
      <c r="B291" s="3">
        <v>130476.35534524239</v>
      </c>
      <c r="C291" s="3">
        <v>124398.43162958849</v>
      </c>
      <c r="D291">
        <v>3548</v>
      </c>
      <c r="E291" s="3">
        <f t="shared" si="16"/>
        <v>36.77462101049673</v>
      </c>
      <c r="F291" s="16">
        <f t="shared" si="17"/>
        <v>6077.923715653902</v>
      </c>
      <c r="G291" s="23">
        <f t="shared" si="18"/>
        <v>4.6582568156288737E-2</v>
      </c>
      <c r="H291" s="3">
        <f t="shared" si="19"/>
        <v>1.7130562896431516</v>
      </c>
    </row>
    <row r="292" spans="1:8" x14ac:dyDescent="0.3">
      <c r="A292" s="2">
        <v>41928</v>
      </c>
      <c r="B292" s="3">
        <v>95229.773480081218</v>
      </c>
      <c r="C292" s="3">
        <v>91087.851335542873</v>
      </c>
      <c r="D292">
        <v>2591</v>
      </c>
      <c r="E292" s="3">
        <f t="shared" si="16"/>
        <v>36.754061551555857</v>
      </c>
      <c r="F292" s="16">
        <f t="shared" si="17"/>
        <v>4141.9221445383446</v>
      </c>
      <c r="G292" s="23">
        <f t="shared" si="18"/>
        <v>4.3493982954865389E-2</v>
      </c>
      <c r="H292" s="3">
        <f t="shared" si="19"/>
        <v>1.5985805266454436</v>
      </c>
    </row>
    <row r="293" spans="1:8" x14ac:dyDescent="0.3">
      <c r="A293" s="2">
        <v>41929</v>
      </c>
      <c r="B293" s="3">
        <v>121057.86128350309</v>
      </c>
      <c r="C293" s="3">
        <v>116949.7912742107</v>
      </c>
      <c r="D293">
        <v>3293</v>
      </c>
      <c r="E293" s="3">
        <f t="shared" si="16"/>
        <v>36.762180772396931</v>
      </c>
      <c r="F293" s="16">
        <f t="shared" si="17"/>
        <v>4108.0700092923944</v>
      </c>
      <c r="G293" s="23">
        <f t="shared" si="18"/>
        <v>3.3934764465000614E-2</v>
      </c>
      <c r="H293" s="3">
        <f t="shared" si="19"/>
        <v>1.2475159457310643</v>
      </c>
    </row>
    <row r="294" spans="1:8" x14ac:dyDescent="0.3">
      <c r="A294" s="2">
        <v>41930</v>
      </c>
      <c r="B294" s="3">
        <v>169498.9163853249</v>
      </c>
      <c r="C294" s="3">
        <v>164492.94663284859</v>
      </c>
      <c r="D294">
        <v>4611</v>
      </c>
      <c r="E294" s="3">
        <f t="shared" si="16"/>
        <v>36.759686919393822</v>
      </c>
      <c r="F294" s="16">
        <f t="shared" si="17"/>
        <v>5005.9697524763178</v>
      </c>
      <c r="G294" s="23">
        <f t="shared" si="18"/>
        <v>2.9533933663010315E-2</v>
      </c>
      <c r="H294" s="3">
        <f t="shared" si="19"/>
        <v>1.0856581549504052</v>
      </c>
    </row>
    <row r="295" spans="1:8" x14ac:dyDescent="0.3">
      <c r="A295" s="2">
        <v>41931</v>
      </c>
      <c r="B295" s="3">
        <v>90692.375875501952</v>
      </c>
      <c r="C295" s="3">
        <v>87911.211583205484</v>
      </c>
      <c r="D295">
        <v>2468</v>
      </c>
      <c r="E295" s="3">
        <f t="shared" si="16"/>
        <v>36.74731599493596</v>
      </c>
      <c r="F295" s="16">
        <f t="shared" si="17"/>
        <v>2781.1642922964675</v>
      </c>
      <c r="G295" s="23">
        <f t="shared" si="18"/>
        <v>3.0665910617605978E-2</v>
      </c>
      <c r="H295" s="3">
        <f t="shared" si="19"/>
        <v>1.1268899077376286</v>
      </c>
    </row>
    <row r="296" spans="1:8" x14ac:dyDescent="0.3">
      <c r="A296" s="2">
        <v>41932</v>
      </c>
      <c r="B296" s="3">
        <v>101723.9150040923</v>
      </c>
      <c r="C296" s="3">
        <v>98870.811877197717</v>
      </c>
      <c r="D296">
        <v>2773</v>
      </c>
      <c r="E296" s="3">
        <f t="shared" si="16"/>
        <v>36.683705374717739</v>
      </c>
      <c r="F296" s="16">
        <f t="shared" si="17"/>
        <v>2853.1031268945808</v>
      </c>
      <c r="G296" s="23">
        <f t="shared" si="18"/>
        <v>2.8047515933493142E-2</v>
      </c>
      <c r="H296" s="3">
        <f t="shared" si="19"/>
        <v>1.0288868109969638</v>
      </c>
    </row>
    <row r="297" spans="1:8" x14ac:dyDescent="0.3">
      <c r="A297" s="2">
        <v>41933</v>
      </c>
      <c r="B297" s="3">
        <v>103395.6912687424</v>
      </c>
      <c r="C297" s="3">
        <v>100424.1557433229</v>
      </c>
      <c r="D297">
        <v>2815</v>
      </c>
      <c r="E297" s="3">
        <f t="shared" si="16"/>
        <v>36.730263328150052</v>
      </c>
      <c r="F297" s="16">
        <f t="shared" si="17"/>
        <v>2971.5355254195019</v>
      </c>
      <c r="G297" s="23">
        <f t="shared" si="18"/>
        <v>2.873945218564275E-2</v>
      </c>
      <c r="H297" s="3">
        <f t="shared" si="19"/>
        <v>1.0556076466854358</v>
      </c>
    </row>
    <row r="298" spans="1:8" x14ac:dyDescent="0.3">
      <c r="A298" s="2">
        <v>41934</v>
      </c>
      <c r="B298" s="3">
        <v>99075.599096021819</v>
      </c>
      <c r="C298" s="3">
        <v>96511.722157538141</v>
      </c>
      <c r="D298">
        <v>2701</v>
      </c>
      <c r="E298" s="3">
        <f t="shared" si="16"/>
        <v>36.681080746398301</v>
      </c>
      <c r="F298" s="16">
        <f t="shared" si="17"/>
        <v>2563.8769384836778</v>
      </c>
      <c r="G298" s="23">
        <f t="shared" si="18"/>
        <v>2.5877985718752269E-2</v>
      </c>
      <c r="H298" s="3">
        <f t="shared" si="19"/>
        <v>0.94923248370369406</v>
      </c>
    </row>
    <row r="299" spans="1:8" x14ac:dyDescent="0.3">
      <c r="A299" s="2">
        <v>41935</v>
      </c>
      <c r="B299" s="3">
        <v>97476.144719572068</v>
      </c>
      <c r="C299" s="3">
        <v>94763.842548765941</v>
      </c>
      <c r="D299">
        <v>2651</v>
      </c>
      <c r="E299" s="3">
        <f t="shared" si="16"/>
        <v>36.7695755260551</v>
      </c>
      <c r="F299" s="16">
        <f t="shared" si="17"/>
        <v>2712.3021708061278</v>
      </c>
      <c r="G299" s="23">
        <f t="shared" si="18"/>
        <v>2.7825291804565281E-2</v>
      </c>
      <c r="H299" s="3">
        <f t="shared" si="19"/>
        <v>1.023124168542485</v>
      </c>
    </row>
    <row r="300" spans="1:8" x14ac:dyDescent="0.3">
      <c r="A300" s="2">
        <v>41936</v>
      </c>
      <c r="B300" s="3">
        <v>248974.65278279639</v>
      </c>
      <c r="C300" s="3">
        <v>241961.14324530261</v>
      </c>
      <c r="D300">
        <v>6781</v>
      </c>
      <c r="E300" s="3">
        <f t="shared" si="16"/>
        <v>36.716509774781947</v>
      </c>
      <c r="F300" s="16">
        <f t="shared" si="17"/>
        <v>7013.509537493781</v>
      </c>
      <c r="G300" s="23">
        <f t="shared" si="18"/>
        <v>2.8169572521152642E-2</v>
      </c>
      <c r="H300" s="3">
        <f t="shared" si="19"/>
        <v>1.0342883848243298</v>
      </c>
    </row>
    <row r="301" spans="1:8" x14ac:dyDescent="0.3">
      <c r="A301" s="2">
        <v>41937</v>
      </c>
      <c r="B301" s="3">
        <v>302721.68330040033</v>
      </c>
      <c r="C301" s="3">
        <v>294129.67112311861</v>
      </c>
      <c r="D301">
        <v>8249</v>
      </c>
      <c r="E301" s="3">
        <f t="shared" si="16"/>
        <v>36.697985610425548</v>
      </c>
      <c r="F301" s="16">
        <f t="shared" si="17"/>
        <v>8592.012177281722</v>
      </c>
      <c r="G301" s="23">
        <f t="shared" si="18"/>
        <v>2.8382546250430286E-2</v>
      </c>
      <c r="H301" s="3">
        <f t="shared" si="19"/>
        <v>1.0415822738855283</v>
      </c>
    </row>
    <row r="302" spans="1:8" x14ac:dyDescent="0.3">
      <c r="A302" s="2">
        <v>41938</v>
      </c>
      <c r="B302" s="3">
        <v>128520.72780395371</v>
      </c>
      <c r="C302" s="3">
        <v>124739.23394868799</v>
      </c>
      <c r="D302">
        <v>3502</v>
      </c>
      <c r="E302" s="3">
        <f t="shared" si="16"/>
        <v>36.699236951443091</v>
      </c>
      <c r="F302" s="16">
        <f t="shared" si="17"/>
        <v>3781.4938552657113</v>
      </c>
      <c r="G302" s="23">
        <f t="shared" si="18"/>
        <v>2.9423221606977086E-2</v>
      </c>
      <c r="H302" s="3">
        <f t="shared" si="19"/>
        <v>1.0798097816292722</v>
      </c>
    </row>
    <row r="303" spans="1:8" x14ac:dyDescent="0.3">
      <c r="A303" s="2">
        <v>41939</v>
      </c>
      <c r="B303" s="3">
        <v>145185.2683360849</v>
      </c>
      <c r="C303" s="3">
        <v>140651.93717842031</v>
      </c>
      <c r="D303">
        <v>3949</v>
      </c>
      <c r="E303" s="3">
        <f t="shared" si="16"/>
        <v>36.765071748818663</v>
      </c>
      <c r="F303" s="16">
        <f t="shared" si="17"/>
        <v>4533.3311576645938</v>
      </c>
      <c r="G303" s="23">
        <f t="shared" si="18"/>
        <v>3.1224456927479206E-2</v>
      </c>
      <c r="H303" s="3">
        <f t="shared" si="19"/>
        <v>1.1479693992566711</v>
      </c>
    </row>
    <row r="304" spans="1:8" x14ac:dyDescent="0.3">
      <c r="A304" s="2">
        <v>41940</v>
      </c>
      <c r="B304" s="3">
        <v>89527.556631861706</v>
      </c>
      <c r="C304" s="3">
        <v>87067.05131891428</v>
      </c>
      <c r="D304">
        <v>2435</v>
      </c>
      <c r="E304" s="3">
        <f t="shared" si="16"/>
        <v>36.76696370918345</v>
      </c>
      <c r="F304" s="16">
        <f t="shared" si="17"/>
        <v>2460.5053129474254</v>
      </c>
      <c r="G304" s="23">
        <f t="shared" si="18"/>
        <v>2.7483217519998344E-2</v>
      </c>
      <c r="H304" s="3">
        <f t="shared" si="19"/>
        <v>1.0104744611693739</v>
      </c>
    </row>
    <row r="305" spans="1:8" x14ac:dyDescent="0.3">
      <c r="A305" s="2">
        <v>41941</v>
      </c>
      <c r="B305" s="3">
        <v>81991.88284141109</v>
      </c>
      <c r="C305" s="3">
        <v>80112.54801498825</v>
      </c>
      <c r="D305">
        <v>2232</v>
      </c>
      <c r="E305" s="3">
        <f t="shared" si="16"/>
        <v>36.734714534682389</v>
      </c>
      <c r="F305" s="16">
        <f t="shared" si="17"/>
        <v>1879.3348264228407</v>
      </c>
      <c r="G305" s="23">
        <f t="shared" si="18"/>
        <v>2.2920986337853163E-2</v>
      </c>
      <c r="H305" s="3">
        <f t="shared" si="19"/>
        <v>0.84199588997439101</v>
      </c>
    </row>
    <row r="306" spans="1:8" x14ac:dyDescent="0.3">
      <c r="A306" s="2">
        <v>41942</v>
      </c>
      <c r="B306" s="3">
        <v>69704.491112590491</v>
      </c>
      <c r="C306" s="3">
        <v>68293.096389796119</v>
      </c>
      <c r="D306">
        <v>1898</v>
      </c>
      <c r="E306" s="3">
        <f t="shared" si="16"/>
        <v>36.725232409162537</v>
      </c>
      <c r="F306" s="16">
        <f t="shared" si="17"/>
        <v>1411.3947227943718</v>
      </c>
      <c r="G306" s="23">
        <f t="shared" si="18"/>
        <v>2.0248260912121289E-2</v>
      </c>
      <c r="H306" s="3">
        <f t="shared" si="19"/>
        <v>0.74362208787901574</v>
      </c>
    </row>
    <row r="307" spans="1:8" x14ac:dyDescent="0.3">
      <c r="A307" s="2">
        <v>41943</v>
      </c>
      <c r="B307" s="3">
        <v>166652.39481922361</v>
      </c>
      <c r="C307" s="3">
        <v>163319.71647067659</v>
      </c>
      <c r="D307">
        <v>4537</v>
      </c>
      <c r="E307" s="3">
        <f t="shared" si="16"/>
        <v>36.7318480976909</v>
      </c>
      <c r="F307" s="16">
        <f t="shared" si="17"/>
        <v>3332.6783485470223</v>
      </c>
      <c r="G307" s="23">
        <f t="shared" si="18"/>
        <v>1.9997782523090347E-2</v>
      </c>
      <c r="H307" s="3">
        <f t="shared" si="19"/>
        <v>0.73455550992881247</v>
      </c>
    </row>
    <row r="308" spans="1:8" x14ac:dyDescent="0.3">
      <c r="A308" s="2">
        <v>41944</v>
      </c>
      <c r="B308" s="3">
        <v>247453.10218524761</v>
      </c>
      <c r="C308" s="3">
        <v>242638.80119746839</v>
      </c>
      <c r="D308">
        <v>6730</v>
      </c>
      <c r="E308" s="3">
        <f t="shared" si="16"/>
        <v>36.768663029011535</v>
      </c>
      <c r="F308" s="16">
        <f t="shared" si="17"/>
        <v>4814.300987779221</v>
      </c>
      <c r="G308" s="23">
        <f t="shared" si="18"/>
        <v>1.9455407692465111E-2</v>
      </c>
      <c r="H308" s="3">
        <f t="shared" si="19"/>
        <v>0.71534932953628838</v>
      </c>
    </row>
    <row r="309" spans="1:8" x14ac:dyDescent="0.3">
      <c r="A309" s="2">
        <v>41945</v>
      </c>
      <c r="B309" s="3">
        <v>148476.18120917489</v>
      </c>
      <c r="C309" s="3">
        <v>145646.33680169421</v>
      </c>
      <c r="D309">
        <v>4038</v>
      </c>
      <c r="E309" s="3">
        <f t="shared" si="16"/>
        <v>36.769732840310766</v>
      </c>
      <c r="F309" s="16">
        <f t="shared" si="17"/>
        <v>2829.8444074806757</v>
      </c>
      <c r="G309" s="23">
        <f t="shared" si="18"/>
        <v>1.9059248321412304E-2</v>
      </c>
      <c r="H309" s="3">
        <f t="shared" si="19"/>
        <v>0.70080346891547196</v>
      </c>
    </row>
    <row r="310" spans="1:8" x14ac:dyDescent="0.3">
      <c r="A310" s="2">
        <v>41946</v>
      </c>
      <c r="B310" s="3">
        <v>205368.92263440121</v>
      </c>
      <c r="C310" s="3">
        <v>201281.239025563</v>
      </c>
      <c r="D310">
        <v>5581</v>
      </c>
      <c r="E310" s="3">
        <f t="shared" si="16"/>
        <v>36.797871821250887</v>
      </c>
      <c r="F310" s="16">
        <f t="shared" si="17"/>
        <v>4087.6836088382115</v>
      </c>
      <c r="G310" s="23">
        <f t="shared" si="18"/>
        <v>1.9904100174470536E-2</v>
      </c>
      <c r="H310" s="3">
        <f t="shared" si="19"/>
        <v>0.73242852693750427</v>
      </c>
    </row>
    <row r="311" spans="1:8" x14ac:dyDescent="0.3">
      <c r="A311" s="2">
        <v>41947</v>
      </c>
      <c r="B311" s="3">
        <v>99244.681846049149</v>
      </c>
      <c r="C311" s="3">
        <v>90949.442252201086</v>
      </c>
      <c r="D311">
        <v>2519</v>
      </c>
      <c r="E311" s="3">
        <f t="shared" si="16"/>
        <v>39.398444559765444</v>
      </c>
      <c r="F311" s="16">
        <f t="shared" si="17"/>
        <v>8295.2395938480622</v>
      </c>
      <c r="G311" s="23">
        <f t="shared" si="18"/>
        <v>8.3583718941392215E-2</v>
      </c>
      <c r="H311" s="3">
        <f t="shared" si="19"/>
        <v>3.293068516811458</v>
      </c>
    </row>
    <row r="312" spans="1:8" x14ac:dyDescent="0.3">
      <c r="A312" s="2">
        <v>41948</v>
      </c>
      <c r="B312" s="3">
        <v>72756.863100070492</v>
      </c>
      <c r="C312" s="3">
        <v>67872.774326885235</v>
      </c>
      <c r="D312">
        <v>1847</v>
      </c>
      <c r="E312" s="3">
        <f t="shared" si="16"/>
        <v>39.39191288579886</v>
      </c>
      <c r="F312" s="16">
        <f t="shared" si="17"/>
        <v>4884.0887731852563</v>
      </c>
      <c r="G312" s="23">
        <f t="shared" si="18"/>
        <v>6.7128908051844308E-2</v>
      </c>
      <c r="H312" s="3">
        <f t="shared" si="19"/>
        <v>2.6443360980970527</v>
      </c>
    </row>
    <row r="313" spans="1:8" x14ac:dyDescent="0.3">
      <c r="A313" s="2">
        <v>41949</v>
      </c>
      <c r="B313" s="3">
        <v>86867.458080595141</v>
      </c>
      <c r="C313" s="3">
        <v>84486.086086063602</v>
      </c>
      <c r="D313">
        <v>2309</v>
      </c>
      <c r="E313" s="3">
        <f t="shared" si="16"/>
        <v>37.621246461929466</v>
      </c>
      <c r="F313" s="16">
        <f t="shared" si="17"/>
        <v>2381.3719945315388</v>
      </c>
      <c r="G313" s="23">
        <f t="shared" si="18"/>
        <v>2.7413856087766666E-2</v>
      </c>
      <c r="H313" s="3">
        <f t="shared" si="19"/>
        <v>1.0313434363497354</v>
      </c>
    </row>
    <row r="314" spans="1:8" x14ac:dyDescent="0.3">
      <c r="A314" s="2">
        <v>41950</v>
      </c>
      <c r="B314" s="3">
        <v>140167.80386220521</v>
      </c>
      <c r="C314" s="3">
        <v>136539.20329644671</v>
      </c>
      <c r="D314">
        <v>3722</v>
      </c>
      <c r="E314" s="3">
        <f t="shared" si="16"/>
        <v>37.659270247771417</v>
      </c>
      <c r="F314" s="16">
        <f t="shared" si="17"/>
        <v>3628.6005657585047</v>
      </c>
      <c r="G314" s="23">
        <f t="shared" si="18"/>
        <v>2.5887546681730662E-2</v>
      </c>
      <c r="H314" s="3">
        <f t="shared" si="19"/>
        <v>0.97490611653909309</v>
      </c>
    </row>
    <row r="315" spans="1:8" x14ac:dyDescent="0.3">
      <c r="A315" s="2">
        <v>41951</v>
      </c>
      <c r="B315" s="3">
        <v>160727.30278297889</v>
      </c>
      <c r="C315" s="3">
        <v>156700.82499573231</v>
      </c>
      <c r="D315">
        <v>4268</v>
      </c>
      <c r="E315" s="3">
        <f t="shared" si="16"/>
        <v>37.658693248120642</v>
      </c>
      <c r="F315" s="16">
        <f t="shared" si="17"/>
        <v>4026.4777872465784</v>
      </c>
      <c r="G315" s="23">
        <f t="shared" si="18"/>
        <v>2.5051610507539634E-2</v>
      </c>
      <c r="H315" s="3">
        <f t="shared" si="19"/>
        <v>0.94341091547483091</v>
      </c>
    </row>
    <row r="316" spans="1:8" x14ac:dyDescent="0.3">
      <c r="A316" s="2">
        <v>41952</v>
      </c>
      <c r="B316" s="3">
        <v>74115.62877644549</v>
      </c>
      <c r="C316" s="3">
        <v>71994.346393653148</v>
      </c>
      <c r="D316">
        <v>1968</v>
      </c>
      <c r="E316" s="3">
        <f t="shared" si="16"/>
        <v>37.660380475836121</v>
      </c>
      <c r="F316" s="16">
        <f t="shared" si="17"/>
        <v>2121.2823827923421</v>
      </c>
      <c r="G316" s="23">
        <f t="shared" si="18"/>
        <v>2.8621255972755125E-2</v>
      </c>
      <c r="H316" s="3">
        <f t="shared" si="19"/>
        <v>1.0778873896302552</v>
      </c>
    </row>
    <row r="317" spans="1:8" x14ac:dyDescent="0.3">
      <c r="A317" s="2">
        <v>41953</v>
      </c>
      <c r="B317" s="3">
        <v>76103.291516535493</v>
      </c>
      <c r="C317" s="3">
        <v>73967.60569443136</v>
      </c>
      <c r="D317">
        <v>2016</v>
      </c>
      <c r="E317" s="3">
        <f t="shared" si="16"/>
        <v>37.749648569710068</v>
      </c>
      <c r="F317" s="16">
        <f t="shared" si="17"/>
        <v>2135.685822104133</v>
      </c>
      <c r="G317" s="23">
        <f t="shared" si="18"/>
        <v>2.8062988860870722E-2</v>
      </c>
      <c r="H317" s="3">
        <f t="shared" si="19"/>
        <v>1.0593679673135581</v>
      </c>
    </row>
    <row r="318" spans="1:8" x14ac:dyDescent="0.3">
      <c r="A318" s="2">
        <v>41954</v>
      </c>
      <c r="B318" s="3">
        <v>56303.366574580366</v>
      </c>
      <c r="C318" s="3">
        <v>54996.866607590731</v>
      </c>
      <c r="D318">
        <v>1497</v>
      </c>
      <c r="E318" s="3">
        <f t="shared" si="16"/>
        <v>37.610799315016948</v>
      </c>
      <c r="F318" s="16">
        <f t="shared" si="17"/>
        <v>1306.4999669896351</v>
      </c>
      <c r="G318" s="23">
        <f t="shared" si="18"/>
        <v>2.3204650920101266E-2</v>
      </c>
      <c r="H318" s="3">
        <f t="shared" si="19"/>
        <v>0.87274546893095195</v>
      </c>
    </row>
    <row r="319" spans="1:8" x14ac:dyDescent="0.3">
      <c r="A319" s="2">
        <v>41955</v>
      </c>
      <c r="B319" s="3">
        <v>49436.815864520373</v>
      </c>
      <c r="C319" s="3">
        <v>48289.892276094753</v>
      </c>
      <c r="D319">
        <v>1314</v>
      </c>
      <c r="E319" s="3">
        <f t="shared" si="16"/>
        <v>37.623147537686741</v>
      </c>
      <c r="F319" s="16">
        <f t="shared" si="17"/>
        <v>1146.9235884256195</v>
      </c>
      <c r="G319" s="23">
        <f t="shared" si="18"/>
        <v>2.3199786806025656E-2</v>
      </c>
      <c r="H319" s="3">
        <f t="shared" si="19"/>
        <v>0.87284900184598135</v>
      </c>
    </row>
    <row r="320" spans="1:8" x14ac:dyDescent="0.3">
      <c r="A320" s="2">
        <v>41956</v>
      </c>
      <c r="B320" s="3">
        <v>55033.122403980371</v>
      </c>
      <c r="C320" s="3">
        <v>53997.218873107588</v>
      </c>
      <c r="D320">
        <v>1466</v>
      </c>
      <c r="E320" s="3">
        <f t="shared" si="16"/>
        <v>37.539646933138044</v>
      </c>
      <c r="F320" s="16">
        <f t="shared" si="17"/>
        <v>1035.9035308727834</v>
      </c>
      <c r="G320" s="23">
        <f t="shared" si="18"/>
        <v>1.8823273796252198E-2</v>
      </c>
      <c r="H320" s="3">
        <f t="shared" si="19"/>
        <v>0.70661905243709644</v>
      </c>
    </row>
    <row r="321" spans="1:8" x14ac:dyDescent="0.3">
      <c r="A321" s="2">
        <v>41957</v>
      </c>
      <c r="B321" s="3">
        <v>149808.16594472641</v>
      </c>
      <c r="C321" s="3">
        <v>146994.89550113151</v>
      </c>
      <c r="D321">
        <v>3984</v>
      </c>
      <c r="E321" s="3">
        <f t="shared" si="16"/>
        <v>37.602451291346988</v>
      </c>
      <c r="F321" s="16">
        <f t="shared" si="17"/>
        <v>2813.2704435948981</v>
      </c>
      <c r="G321" s="23">
        <f t="shared" si="18"/>
        <v>1.8779152830913699E-2</v>
      </c>
      <c r="H321" s="3">
        <f t="shared" si="19"/>
        <v>0.70614217961719328</v>
      </c>
    </row>
    <row r="322" spans="1:8" x14ac:dyDescent="0.3">
      <c r="A322" s="2">
        <v>41958</v>
      </c>
      <c r="B322" s="3">
        <v>180685.51072991031</v>
      </c>
      <c r="C322" s="3">
        <v>176898.27782037071</v>
      </c>
      <c r="D322">
        <v>4802</v>
      </c>
      <c r="E322" s="3">
        <f t="shared" ref="E322:E385" si="20">B322/D322</f>
        <v>37.627136761747252</v>
      </c>
      <c r="F322" s="16">
        <f t="shared" ref="F322:F385" si="21">B322-C322</f>
        <v>3787.232909539598</v>
      </c>
      <c r="G322" s="23">
        <f t="shared" ref="G322:G385" si="22">F322/B322</f>
        <v>2.0960357552968233E-2</v>
      </c>
      <c r="H322" s="3">
        <f t="shared" ref="H322:H385" si="23">F322/D322</f>
        <v>0.78867824022065769</v>
      </c>
    </row>
    <row r="323" spans="1:8" x14ac:dyDescent="0.3">
      <c r="A323" s="2">
        <v>41959</v>
      </c>
      <c r="B323" s="3">
        <v>75871.436765220482</v>
      </c>
      <c r="C323" s="3">
        <v>73905.810158820022</v>
      </c>
      <c r="D323">
        <v>2017</v>
      </c>
      <c r="E323" s="3">
        <f t="shared" si="20"/>
        <v>37.615982531095923</v>
      </c>
      <c r="F323" s="16">
        <f t="shared" si="21"/>
        <v>1965.6266064004594</v>
      </c>
      <c r="G323" s="23">
        <f t="shared" si="22"/>
        <v>2.5907333381374742E-2</v>
      </c>
      <c r="H323" s="3">
        <f t="shared" si="23"/>
        <v>0.97452979990107058</v>
      </c>
    </row>
    <row r="324" spans="1:8" x14ac:dyDescent="0.3">
      <c r="A324" s="2">
        <v>41960</v>
      </c>
      <c r="B324" s="3">
        <v>86313.334083170121</v>
      </c>
      <c r="C324" s="3">
        <v>84418.78910931063</v>
      </c>
      <c r="D324">
        <v>2297</v>
      </c>
      <c r="E324" s="3">
        <f t="shared" si="20"/>
        <v>37.576549448485032</v>
      </c>
      <c r="F324" s="16">
        <f t="shared" si="21"/>
        <v>1894.5449738594907</v>
      </c>
      <c r="G324" s="23">
        <f t="shared" si="22"/>
        <v>2.1949621040405393E-2</v>
      </c>
      <c r="H324" s="3">
        <f t="shared" si="23"/>
        <v>0.82479102040030072</v>
      </c>
    </row>
    <row r="325" spans="1:8" x14ac:dyDescent="0.3">
      <c r="A325" s="2">
        <v>41961</v>
      </c>
      <c r="B325" s="3">
        <v>62631.798752070368</v>
      </c>
      <c r="C325" s="3">
        <v>61158.361090192768</v>
      </c>
      <c r="D325">
        <v>1665</v>
      </c>
      <c r="E325" s="3">
        <f t="shared" si="20"/>
        <v>37.616695947189413</v>
      </c>
      <c r="F325" s="16">
        <f t="shared" si="21"/>
        <v>1473.4376618776005</v>
      </c>
      <c r="G325" s="23">
        <f t="shared" si="22"/>
        <v>2.3525392711619898E-2</v>
      </c>
      <c r="H325" s="3">
        <f t="shared" si="23"/>
        <v>0.88494754467123149</v>
      </c>
    </row>
    <row r="326" spans="1:8" x14ac:dyDescent="0.3">
      <c r="A326" s="2">
        <v>41962</v>
      </c>
      <c r="B326" s="3">
        <v>48529.103360340247</v>
      </c>
      <c r="C326" s="3">
        <v>47409.554056467168</v>
      </c>
      <c r="D326">
        <v>1291</v>
      </c>
      <c r="E326" s="3">
        <f t="shared" si="20"/>
        <v>37.590320186165954</v>
      </c>
      <c r="F326" s="16">
        <f t="shared" si="21"/>
        <v>1119.5493038730783</v>
      </c>
      <c r="G326" s="23">
        <f t="shared" si="22"/>
        <v>2.3069647414669006E-2</v>
      </c>
      <c r="H326" s="3">
        <f t="shared" si="23"/>
        <v>0.86719543289936352</v>
      </c>
    </row>
    <row r="327" spans="1:8" x14ac:dyDescent="0.3">
      <c r="A327" s="2">
        <v>41963</v>
      </c>
      <c r="B327" s="3">
        <v>51040.881368070251</v>
      </c>
      <c r="C327" s="3">
        <v>50038.142634161093</v>
      </c>
      <c r="D327">
        <v>1361</v>
      </c>
      <c r="E327" s="3">
        <f t="shared" si="20"/>
        <v>37.502484473233103</v>
      </c>
      <c r="F327" s="16">
        <f t="shared" si="21"/>
        <v>1002.7387339091583</v>
      </c>
      <c r="G327" s="23">
        <f t="shared" si="22"/>
        <v>1.9645795821551851E-2</v>
      </c>
      <c r="H327" s="3">
        <f t="shared" si="23"/>
        <v>0.73676615276205604</v>
      </c>
    </row>
    <row r="328" spans="1:8" x14ac:dyDescent="0.3">
      <c r="A328" s="2">
        <v>41964</v>
      </c>
      <c r="B328" s="3">
        <v>53973.922240020001</v>
      </c>
      <c r="C328" s="3">
        <v>47192.498284101879</v>
      </c>
      <c r="D328">
        <v>1281</v>
      </c>
      <c r="E328" s="3">
        <f t="shared" si="20"/>
        <v>42.134209398922721</v>
      </c>
      <c r="F328" s="16">
        <f t="shared" si="21"/>
        <v>6781.4239559181224</v>
      </c>
      <c r="G328" s="23">
        <f t="shared" si="22"/>
        <v>0.1256426006203771</v>
      </c>
      <c r="H328" s="3">
        <f t="shared" si="23"/>
        <v>5.2938516439641861</v>
      </c>
    </row>
    <row r="329" spans="1:8" x14ac:dyDescent="0.3">
      <c r="A329" s="2">
        <v>41965</v>
      </c>
      <c r="B329" s="3">
        <v>47497.982533509879</v>
      </c>
      <c r="C329" s="3">
        <v>41179.088245459163</v>
      </c>
      <c r="D329">
        <v>1122</v>
      </c>
      <c r="E329" s="3">
        <f t="shared" si="20"/>
        <v>42.333317766051586</v>
      </c>
      <c r="F329" s="16">
        <f t="shared" si="21"/>
        <v>6318.8942880507166</v>
      </c>
      <c r="G329" s="23">
        <f t="shared" si="22"/>
        <v>0.13303500382553574</v>
      </c>
      <c r="H329" s="3">
        <f t="shared" si="23"/>
        <v>5.6318130909542932</v>
      </c>
    </row>
    <row r="330" spans="1:8" x14ac:dyDescent="0.3">
      <c r="A330" s="2">
        <v>41966</v>
      </c>
      <c r="B330" s="3">
        <v>31219.951528719881</v>
      </c>
      <c r="C330" s="3">
        <v>26893.304677301021</v>
      </c>
      <c r="D330">
        <v>737</v>
      </c>
      <c r="E330" s="3">
        <f t="shared" si="20"/>
        <v>42.360856891071755</v>
      </c>
      <c r="F330" s="16">
        <f t="shared" si="21"/>
        <v>4326.64685141886</v>
      </c>
      <c r="G330" s="23">
        <f t="shared" si="22"/>
        <v>0.13858595672189586</v>
      </c>
      <c r="H330" s="3">
        <f t="shared" si="23"/>
        <v>5.8706198798084941</v>
      </c>
    </row>
    <row r="331" spans="1:8" x14ac:dyDescent="0.3">
      <c r="A331" s="2">
        <v>41967</v>
      </c>
      <c r="B331" s="3">
        <v>26870.323873469999</v>
      </c>
      <c r="C331" s="3">
        <v>23516.041718095501</v>
      </c>
      <c r="D331">
        <v>641</v>
      </c>
      <c r="E331" s="3">
        <f t="shared" si="20"/>
        <v>41.919382017893916</v>
      </c>
      <c r="F331" s="16">
        <f t="shared" si="21"/>
        <v>3354.282155374498</v>
      </c>
      <c r="G331" s="23">
        <f t="shared" si="22"/>
        <v>0.12483221903723672</v>
      </c>
      <c r="H331" s="3">
        <f t="shared" si="23"/>
        <v>5.2328894779633357</v>
      </c>
    </row>
    <row r="332" spans="1:8" x14ac:dyDescent="0.3">
      <c r="A332" s="2">
        <v>41968</v>
      </c>
      <c r="B332" s="3">
        <v>40530.642292680008</v>
      </c>
      <c r="C332" s="3">
        <v>35674.190763166298</v>
      </c>
      <c r="D332">
        <v>968</v>
      </c>
      <c r="E332" s="3">
        <f t="shared" si="20"/>
        <v>41.870498236239676</v>
      </c>
      <c r="F332" s="16">
        <f t="shared" si="21"/>
        <v>4856.4515295137098</v>
      </c>
      <c r="G332" s="23">
        <f t="shared" si="22"/>
        <v>0.11982172634828449</v>
      </c>
      <c r="H332" s="3">
        <f t="shared" si="23"/>
        <v>5.0169953817290391</v>
      </c>
    </row>
    <row r="333" spans="1:8" x14ac:dyDescent="0.3">
      <c r="A333" s="2">
        <v>41969</v>
      </c>
      <c r="B333" s="3">
        <v>30371.431335049881</v>
      </c>
      <c r="C333" s="3">
        <v>26054.849168281438</v>
      </c>
      <c r="D333">
        <v>709</v>
      </c>
      <c r="E333" s="3">
        <f t="shared" si="20"/>
        <v>42.836997651692357</v>
      </c>
      <c r="F333" s="16">
        <f t="shared" si="21"/>
        <v>4316.5821667684431</v>
      </c>
      <c r="G333" s="23">
        <f t="shared" si="22"/>
        <v>0.14212639895528828</v>
      </c>
      <c r="H333" s="3">
        <f t="shared" si="23"/>
        <v>6.0882682182911747</v>
      </c>
    </row>
    <row r="334" spans="1:8" x14ac:dyDescent="0.3">
      <c r="A334" s="2">
        <v>41970</v>
      </c>
      <c r="B334" s="3">
        <v>37776.658766749882</v>
      </c>
      <c r="C334" s="3">
        <v>32719.689636421641</v>
      </c>
      <c r="D334">
        <v>880</v>
      </c>
      <c r="E334" s="3">
        <f t="shared" si="20"/>
        <v>42.928021325852136</v>
      </c>
      <c r="F334" s="16">
        <f t="shared" si="21"/>
        <v>5056.9691303282416</v>
      </c>
      <c r="G334" s="23">
        <f t="shared" si="22"/>
        <v>0.13386491276404958</v>
      </c>
      <c r="H334" s="3">
        <f t="shared" si="23"/>
        <v>5.7465558299184565</v>
      </c>
    </row>
    <row r="335" spans="1:8" x14ac:dyDescent="0.3">
      <c r="A335" s="2">
        <v>41971</v>
      </c>
      <c r="B335" s="3">
        <v>46818.205322610003</v>
      </c>
      <c r="C335" s="3">
        <v>40652.576408851382</v>
      </c>
      <c r="D335">
        <v>1096</v>
      </c>
      <c r="E335" s="3">
        <f t="shared" si="20"/>
        <v>42.717340622819343</v>
      </c>
      <c r="F335" s="16">
        <f t="shared" si="21"/>
        <v>6165.6289137586209</v>
      </c>
      <c r="G335" s="23">
        <f t="shared" si="22"/>
        <v>0.13169297864523316</v>
      </c>
      <c r="H335" s="3">
        <f t="shared" si="23"/>
        <v>5.6255738264220998</v>
      </c>
    </row>
    <row r="336" spans="1:8" x14ac:dyDescent="0.3">
      <c r="A336" s="2">
        <v>41972</v>
      </c>
      <c r="B336" s="3">
        <v>88321.625549760734</v>
      </c>
      <c r="C336" s="3">
        <v>79880.243682936474</v>
      </c>
      <c r="D336">
        <v>2068</v>
      </c>
      <c r="E336" s="3">
        <f t="shared" si="20"/>
        <v>42.708716416712157</v>
      </c>
      <c r="F336" s="16">
        <f t="shared" si="21"/>
        <v>8441.3818668242602</v>
      </c>
      <c r="G336" s="23">
        <f t="shared" si="22"/>
        <v>9.5575481251399225E-2</v>
      </c>
      <c r="H336" s="3">
        <f t="shared" si="23"/>
        <v>4.0819061251567987</v>
      </c>
    </row>
    <row r="337" spans="1:8" x14ac:dyDescent="0.3">
      <c r="A337" s="2">
        <v>41973</v>
      </c>
      <c r="B337" s="3">
        <v>101037.8278297916</v>
      </c>
      <c r="C337" s="3">
        <v>93177.884704390279</v>
      </c>
      <c r="D337">
        <v>2375</v>
      </c>
      <c r="E337" s="3">
        <f t="shared" si="20"/>
        <v>42.542243296754357</v>
      </c>
      <c r="F337" s="16">
        <f t="shared" si="21"/>
        <v>7859.943125401318</v>
      </c>
      <c r="G337" s="23">
        <f t="shared" si="22"/>
        <v>7.7792083363492179E-2</v>
      </c>
      <c r="H337" s="3">
        <f t="shared" si="23"/>
        <v>3.3094497370110814</v>
      </c>
    </row>
    <row r="338" spans="1:8" x14ac:dyDescent="0.3">
      <c r="A338" s="2">
        <v>41974</v>
      </c>
      <c r="B338" s="3">
        <v>105100.6676485115</v>
      </c>
      <c r="C338" s="3">
        <v>97257.394665729371</v>
      </c>
      <c r="D338">
        <v>2492</v>
      </c>
      <c r="E338" s="3">
        <f t="shared" si="20"/>
        <v>42.175227788327248</v>
      </c>
      <c r="F338" s="16">
        <f t="shared" si="21"/>
        <v>7843.2729827821313</v>
      </c>
      <c r="G338" s="23">
        <f t="shared" si="22"/>
        <v>7.462629075785146E-2</v>
      </c>
      <c r="H338" s="3">
        <f t="shared" si="23"/>
        <v>3.1473808117103257</v>
      </c>
    </row>
    <row r="339" spans="1:8" x14ac:dyDescent="0.3">
      <c r="A339" s="2">
        <v>41975</v>
      </c>
      <c r="B339" s="3">
        <v>88219.52548812989</v>
      </c>
      <c r="C339" s="3">
        <v>85533.428923318512</v>
      </c>
      <c r="D339">
        <v>2170</v>
      </c>
      <c r="E339" s="3">
        <f t="shared" si="20"/>
        <v>40.654159211119762</v>
      </c>
      <c r="F339" s="16">
        <f t="shared" si="21"/>
        <v>2686.0965648113779</v>
      </c>
      <c r="G339" s="23">
        <f t="shared" si="22"/>
        <v>3.0447869107761157E-2</v>
      </c>
      <c r="H339" s="3">
        <f t="shared" si="23"/>
        <v>1.2378325183462571</v>
      </c>
    </row>
    <row r="340" spans="1:8" x14ac:dyDescent="0.3">
      <c r="A340" s="2">
        <v>41976</v>
      </c>
      <c r="B340" s="3">
        <v>71590.369289220369</v>
      </c>
      <c r="C340" s="3">
        <v>69654.93030590401</v>
      </c>
      <c r="D340">
        <v>1784</v>
      </c>
      <c r="E340" s="3">
        <f t="shared" si="20"/>
        <v>40.129130767500207</v>
      </c>
      <c r="F340" s="16">
        <f t="shared" si="21"/>
        <v>1935.4389833163586</v>
      </c>
      <c r="G340" s="23">
        <f t="shared" si="22"/>
        <v>2.7034907104575935E-2</v>
      </c>
      <c r="H340" s="3">
        <f t="shared" si="23"/>
        <v>1.0848873224867481</v>
      </c>
    </row>
    <row r="341" spans="1:8" x14ac:dyDescent="0.3">
      <c r="A341" s="2">
        <v>41977</v>
      </c>
      <c r="B341" s="3">
        <v>54996.621692620247</v>
      </c>
      <c r="C341" s="3">
        <v>54503.02854750456</v>
      </c>
      <c r="D341">
        <v>1368</v>
      </c>
      <c r="E341" s="3">
        <f t="shared" si="20"/>
        <v>40.202208839634686</v>
      </c>
      <c r="F341" s="16">
        <f t="shared" si="21"/>
        <v>493.59314511568664</v>
      </c>
      <c r="G341" s="23">
        <f t="shared" si="22"/>
        <v>8.9749720969119033E-3</v>
      </c>
      <c r="H341" s="3">
        <f t="shared" si="23"/>
        <v>0.36081370256994638</v>
      </c>
    </row>
    <row r="342" spans="1:8" x14ac:dyDescent="0.3">
      <c r="A342" s="2">
        <v>41978</v>
      </c>
      <c r="B342" s="3">
        <v>77884.181609825493</v>
      </c>
      <c r="C342" s="3">
        <v>77619.29488939041</v>
      </c>
      <c r="D342">
        <v>1914</v>
      </c>
      <c r="E342" s="3">
        <f t="shared" si="20"/>
        <v>40.691839921538921</v>
      </c>
      <c r="F342" s="16">
        <f t="shared" si="21"/>
        <v>264.88672043508268</v>
      </c>
      <c r="G342" s="23">
        <f t="shared" si="22"/>
        <v>3.4010336240300923E-3</v>
      </c>
      <c r="H342" s="3">
        <f t="shared" si="23"/>
        <v>0.13839431579680392</v>
      </c>
    </row>
    <row r="343" spans="1:8" x14ac:dyDescent="0.3">
      <c r="A343" s="2">
        <v>41979</v>
      </c>
      <c r="B343" s="3">
        <v>150370.11672367639</v>
      </c>
      <c r="C343" s="3">
        <v>154998.83458187681</v>
      </c>
      <c r="D343">
        <v>3765</v>
      </c>
      <c r="E343" s="3">
        <f t="shared" si="20"/>
        <v>39.938942024880845</v>
      </c>
      <c r="F343" s="16">
        <f t="shared" si="21"/>
        <v>-4628.7178582004271</v>
      </c>
      <c r="G343" s="23">
        <f t="shared" si="22"/>
        <v>-3.0782165759080087E-2</v>
      </c>
      <c r="H343" s="3">
        <f t="shared" si="23"/>
        <v>-1.2294071336521719</v>
      </c>
    </row>
    <row r="344" spans="1:8" x14ac:dyDescent="0.3">
      <c r="A344" s="2">
        <v>41980</v>
      </c>
      <c r="B344" s="3">
        <v>104675.37611534919</v>
      </c>
      <c r="C344" s="3">
        <v>111903.7379024793</v>
      </c>
      <c r="D344">
        <v>2712</v>
      </c>
      <c r="E344" s="3">
        <f t="shared" si="20"/>
        <v>38.597115086780676</v>
      </c>
      <c r="F344" s="16">
        <f t="shared" si="21"/>
        <v>-7228.3617871301103</v>
      </c>
      <c r="G344" s="23">
        <f t="shared" si="22"/>
        <v>-6.905503524692061E-2</v>
      </c>
      <c r="H344" s="3">
        <f t="shared" si="23"/>
        <v>-2.6653251427470908</v>
      </c>
    </row>
    <row r="345" spans="1:8" x14ac:dyDescent="0.3">
      <c r="A345" s="2">
        <v>41981</v>
      </c>
      <c r="B345" s="3">
        <v>90121.530475064763</v>
      </c>
      <c r="C345" s="3">
        <v>91081.66819408616</v>
      </c>
      <c r="D345">
        <v>2222</v>
      </c>
      <c r="E345" s="3">
        <f t="shared" si="20"/>
        <v>40.558744588237964</v>
      </c>
      <c r="F345" s="16">
        <f t="shared" si="21"/>
        <v>-960.13771902139706</v>
      </c>
      <c r="G345" s="23">
        <f t="shared" si="22"/>
        <v>-1.0653810626163881E-2</v>
      </c>
      <c r="H345" s="3">
        <f t="shared" si="23"/>
        <v>-0.4321051840780365</v>
      </c>
    </row>
    <row r="346" spans="1:8" x14ac:dyDescent="0.3">
      <c r="A346" s="2">
        <v>41982</v>
      </c>
      <c r="B346" s="3">
        <v>75425.443698290488</v>
      </c>
      <c r="C346" s="3">
        <v>77014.255960305571</v>
      </c>
      <c r="D346">
        <v>1861</v>
      </c>
      <c r="E346" s="3">
        <f t="shared" si="20"/>
        <v>40.529523749753082</v>
      </c>
      <c r="F346" s="16">
        <f t="shared" si="21"/>
        <v>-1588.8122620150825</v>
      </c>
      <c r="G346" s="23">
        <f t="shared" si="22"/>
        <v>-2.1064672398487898E-2</v>
      </c>
      <c r="H346" s="3">
        <f t="shared" si="23"/>
        <v>-0.85374114025528347</v>
      </c>
    </row>
    <row r="347" spans="1:8" x14ac:dyDescent="0.3">
      <c r="A347" s="2">
        <v>41983</v>
      </c>
      <c r="B347" s="3">
        <v>161844.8094356737</v>
      </c>
      <c r="C347" s="3">
        <v>169348.5185848648</v>
      </c>
      <c r="D347">
        <v>4095</v>
      </c>
      <c r="E347" s="3">
        <f t="shared" si="20"/>
        <v>39.522541986733501</v>
      </c>
      <c r="F347" s="16">
        <f t="shared" si="21"/>
        <v>-7503.7091491910978</v>
      </c>
      <c r="G347" s="23">
        <f t="shared" si="22"/>
        <v>-4.6363607058856574E-2</v>
      </c>
      <c r="H347" s="3">
        <f t="shared" si="23"/>
        <v>-1.8324076066400727</v>
      </c>
    </row>
    <row r="348" spans="1:8" x14ac:dyDescent="0.3">
      <c r="A348" s="2">
        <v>41984</v>
      </c>
      <c r="B348" s="3">
        <v>158603.35696800359</v>
      </c>
      <c r="C348" s="3">
        <v>171692.99360653351</v>
      </c>
      <c r="D348">
        <v>4157</v>
      </c>
      <c r="E348" s="3">
        <f t="shared" si="20"/>
        <v>38.153321377917628</v>
      </c>
      <c r="F348" s="16">
        <f t="shared" si="21"/>
        <v>-13089.636638529919</v>
      </c>
      <c r="G348" s="23">
        <f t="shared" si="22"/>
        <v>-8.2530640515828452E-2</v>
      </c>
      <c r="H348" s="3">
        <f t="shared" si="23"/>
        <v>-3.1488180511257924</v>
      </c>
    </row>
    <row r="349" spans="1:8" x14ac:dyDescent="0.3">
      <c r="A349" s="2">
        <v>41985</v>
      </c>
      <c r="B349" s="3">
        <v>279092.09595645021</v>
      </c>
      <c r="C349" s="3">
        <v>301236.10987981001</v>
      </c>
      <c r="D349">
        <v>7259</v>
      </c>
      <c r="E349" s="3">
        <f t="shared" si="20"/>
        <v>38.44773329059791</v>
      </c>
      <c r="F349" s="16">
        <f t="shared" si="21"/>
        <v>-22144.013923359802</v>
      </c>
      <c r="G349" s="23">
        <f t="shared" si="22"/>
        <v>-7.9343034948632776E-2</v>
      </c>
      <c r="H349" s="3">
        <f t="shared" si="23"/>
        <v>-3.0505598461716219</v>
      </c>
    </row>
    <row r="350" spans="1:8" x14ac:dyDescent="0.3">
      <c r="A350" s="2">
        <v>41986</v>
      </c>
      <c r="B350" s="3">
        <v>369350.98948089819</v>
      </c>
      <c r="C350" s="3">
        <v>402564.67862758518</v>
      </c>
      <c r="D350">
        <v>9654</v>
      </c>
      <c r="E350" s="3">
        <f t="shared" si="20"/>
        <v>38.258855342956103</v>
      </c>
      <c r="F350" s="16">
        <f t="shared" si="21"/>
        <v>-33213.689146686986</v>
      </c>
      <c r="G350" s="23">
        <f t="shared" si="22"/>
        <v>-8.9924462347770989E-2</v>
      </c>
      <c r="H350" s="3">
        <f t="shared" si="23"/>
        <v>-3.4404069967564723</v>
      </c>
    </row>
    <row r="351" spans="1:8" x14ac:dyDescent="0.3">
      <c r="A351" s="2">
        <v>41987</v>
      </c>
      <c r="B351" s="3">
        <v>177500.10772560869</v>
      </c>
      <c r="C351" s="3">
        <v>192327.32065612171</v>
      </c>
      <c r="D351">
        <v>4632</v>
      </c>
      <c r="E351" s="3">
        <f t="shared" si="20"/>
        <v>38.320403222281669</v>
      </c>
      <c r="F351" s="16">
        <f t="shared" si="21"/>
        <v>-14827.212930513022</v>
      </c>
      <c r="G351" s="23">
        <f t="shared" si="22"/>
        <v>-8.3533543277809721E-2</v>
      </c>
      <c r="H351" s="3">
        <f t="shared" si="23"/>
        <v>-3.2010390609915849</v>
      </c>
    </row>
    <row r="352" spans="1:8" x14ac:dyDescent="0.3">
      <c r="A352" s="2">
        <v>41988</v>
      </c>
      <c r="B352" s="3">
        <v>282246.62867828761</v>
      </c>
      <c r="C352" s="3">
        <v>304489.638251931</v>
      </c>
      <c r="D352">
        <v>7341</v>
      </c>
      <c r="E352" s="3">
        <f t="shared" si="20"/>
        <v>38.44798102142591</v>
      </c>
      <c r="F352" s="16">
        <f t="shared" si="21"/>
        <v>-22243.009573643387</v>
      </c>
      <c r="G352" s="23">
        <f t="shared" si="22"/>
        <v>-7.8806998254695101E-2</v>
      </c>
      <c r="H352" s="3">
        <f t="shared" si="23"/>
        <v>-3.029969973252062</v>
      </c>
    </row>
    <row r="353" spans="1:8" x14ac:dyDescent="0.3">
      <c r="A353" s="2">
        <v>41989</v>
      </c>
      <c r="B353" s="3">
        <v>166037.92572951369</v>
      </c>
      <c r="C353" s="3">
        <v>179571.12907994099</v>
      </c>
      <c r="D353">
        <v>4308</v>
      </c>
      <c r="E353" s="3">
        <f t="shared" si="20"/>
        <v>38.541765489673558</v>
      </c>
      <c r="F353" s="16">
        <f t="shared" si="21"/>
        <v>-13533.203350427299</v>
      </c>
      <c r="G353" s="23">
        <f t="shared" si="22"/>
        <v>-8.1506699695066923E-2</v>
      </c>
      <c r="H353" s="3">
        <f t="shared" si="23"/>
        <v>-3.141412105484517</v>
      </c>
    </row>
    <row r="354" spans="1:8" x14ac:dyDescent="0.3">
      <c r="A354" s="2">
        <v>41990</v>
      </c>
      <c r="B354" s="3">
        <v>148910.99836015861</v>
      </c>
      <c r="C354" s="3">
        <v>161137.52200304749</v>
      </c>
      <c r="D354">
        <v>3865</v>
      </c>
      <c r="E354" s="3">
        <f t="shared" si="20"/>
        <v>38.528072020739614</v>
      </c>
      <c r="F354" s="16">
        <f t="shared" si="21"/>
        <v>-12226.523642888875</v>
      </c>
      <c r="G354" s="23">
        <f t="shared" si="22"/>
        <v>-8.2106249891076552E-2</v>
      </c>
      <c r="H354" s="3">
        <f t="shared" si="23"/>
        <v>-3.163395509156242</v>
      </c>
    </row>
    <row r="355" spans="1:8" x14ac:dyDescent="0.3">
      <c r="A355" s="2">
        <v>41991</v>
      </c>
      <c r="B355" s="3">
        <v>202359.14289987119</v>
      </c>
      <c r="C355" s="3">
        <v>221435.76864963601</v>
      </c>
      <c r="D355">
        <v>5288</v>
      </c>
      <c r="E355" s="3">
        <f t="shared" si="20"/>
        <v>38.267614012834947</v>
      </c>
      <c r="F355" s="16">
        <f t="shared" si="21"/>
        <v>-19076.625749764818</v>
      </c>
      <c r="G355" s="23">
        <f t="shared" si="22"/>
        <v>-9.4271133374013522E-2</v>
      </c>
      <c r="H355" s="3">
        <f t="shared" si="23"/>
        <v>-3.6075313445092321</v>
      </c>
    </row>
    <row r="356" spans="1:8" x14ac:dyDescent="0.3">
      <c r="A356" s="2">
        <v>41992</v>
      </c>
      <c r="B356" s="3">
        <v>274343.65434523381</v>
      </c>
      <c r="C356" s="3">
        <v>299516.83776498272</v>
      </c>
      <c r="D356">
        <v>7141</v>
      </c>
      <c r="E356" s="3">
        <f t="shared" si="20"/>
        <v>38.418100314414481</v>
      </c>
      <c r="F356" s="16">
        <f t="shared" si="21"/>
        <v>-25173.183419748908</v>
      </c>
      <c r="G356" s="23">
        <f t="shared" si="22"/>
        <v>-9.1757848308279058E-2</v>
      </c>
      <c r="H356" s="3">
        <f t="shared" si="23"/>
        <v>-3.5251622209422919</v>
      </c>
    </row>
    <row r="357" spans="1:8" x14ac:dyDescent="0.3">
      <c r="A357" s="2">
        <v>41993</v>
      </c>
      <c r="B357" s="3">
        <v>316167.07465857267</v>
      </c>
      <c r="C357" s="3">
        <v>346378.30476784823</v>
      </c>
      <c r="D357">
        <v>8268</v>
      </c>
      <c r="E357" s="3">
        <f t="shared" si="20"/>
        <v>38.239849378153444</v>
      </c>
      <c r="F357" s="16">
        <f t="shared" si="21"/>
        <v>-30211.230109275552</v>
      </c>
      <c r="G357" s="23">
        <f t="shared" si="22"/>
        <v>-9.5554637186369001E-2</v>
      </c>
      <c r="H357" s="3">
        <f t="shared" si="23"/>
        <v>-3.6539949333908504</v>
      </c>
    </row>
    <row r="358" spans="1:8" x14ac:dyDescent="0.3">
      <c r="A358" s="2">
        <v>41994</v>
      </c>
      <c r="B358" s="3">
        <v>173833.40012841369</v>
      </c>
      <c r="C358" s="3">
        <v>190644.50156869169</v>
      </c>
      <c r="D358">
        <v>4541</v>
      </c>
      <c r="E358" s="3">
        <f t="shared" si="20"/>
        <v>38.280863274259787</v>
      </c>
      <c r="F358" s="16">
        <f t="shared" si="21"/>
        <v>-16811.101440277998</v>
      </c>
      <c r="G358" s="23">
        <f t="shared" si="22"/>
        <v>-9.6708120694063121E-2</v>
      </c>
      <c r="H358" s="3">
        <f t="shared" si="23"/>
        <v>-3.7020703458000437</v>
      </c>
    </row>
    <row r="359" spans="1:8" x14ac:dyDescent="0.3">
      <c r="A359" s="2">
        <v>41995</v>
      </c>
      <c r="B359" s="3">
        <v>204565.08183541149</v>
      </c>
      <c r="C359" s="3">
        <v>210188.9094104479</v>
      </c>
      <c r="D359">
        <v>5014</v>
      </c>
      <c r="E359" s="3">
        <f t="shared" si="20"/>
        <v>40.798779783687969</v>
      </c>
      <c r="F359" s="16">
        <f t="shared" si="21"/>
        <v>-5623.8275750364119</v>
      </c>
      <c r="G359" s="23">
        <f t="shared" si="22"/>
        <v>-2.7491630167660864E-2</v>
      </c>
      <c r="H359" s="3">
        <f t="shared" si="23"/>
        <v>-1.1216249651049883</v>
      </c>
    </row>
    <row r="360" spans="1:8" x14ac:dyDescent="0.3">
      <c r="A360" s="2">
        <v>41996</v>
      </c>
      <c r="B360" s="3">
        <v>316394.73085730919</v>
      </c>
      <c r="C360" s="3">
        <v>326627.13841637562</v>
      </c>
      <c r="D360">
        <v>7778</v>
      </c>
      <c r="E360" s="3">
        <f t="shared" si="20"/>
        <v>40.678160305645306</v>
      </c>
      <c r="F360" s="16">
        <f t="shared" si="21"/>
        <v>-10232.407559066429</v>
      </c>
      <c r="G360" s="23">
        <f t="shared" si="22"/>
        <v>-3.2340638326499631E-2</v>
      </c>
      <c r="H360" s="3">
        <f t="shared" si="23"/>
        <v>-1.3155576702322485</v>
      </c>
    </row>
    <row r="361" spans="1:8" x14ac:dyDescent="0.3">
      <c r="A361" s="2">
        <v>41997</v>
      </c>
      <c r="B361" s="3">
        <v>486230.32019362762</v>
      </c>
      <c r="C361" s="3">
        <v>495909.08956339589</v>
      </c>
      <c r="D361">
        <v>11809</v>
      </c>
      <c r="E361" s="3">
        <f t="shared" si="20"/>
        <v>41.174555016820023</v>
      </c>
      <c r="F361" s="16">
        <f t="shared" si="21"/>
        <v>-9678.7693697682698</v>
      </c>
      <c r="G361" s="23">
        <f t="shared" si="22"/>
        <v>-1.990572979059383E-2</v>
      </c>
      <c r="H361" s="3">
        <f t="shared" si="23"/>
        <v>-0.81960956641275895</v>
      </c>
    </row>
    <row r="362" spans="1:8" x14ac:dyDescent="0.3">
      <c r="A362" s="2">
        <v>41998</v>
      </c>
      <c r="B362" s="3">
        <v>137686.53210060639</v>
      </c>
      <c r="C362" s="3">
        <v>140525.78674110339</v>
      </c>
      <c r="D362">
        <v>3344</v>
      </c>
      <c r="E362" s="3">
        <f t="shared" si="20"/>
        <v>41.174202183195689</v>
      </c>
      <c r="F362" s="16">
        <f t="shared" si="21"/>
        <v>-2839.2546404970053</v>
      </c>
      <c r="G362" s="23">
        <f t="shared" si="22"/>
        <v>-2.0621150065878526E-2</v>
      </c>
      <c r="H362" s="3">
        <f t="shared" si="23"/>
        <v>-0.84905940206250163</v>
      </c>
    </row>
    <row r="363" spans="1:8" x14ac:dyDescent="0.3">
      <c r="A363" s="2">
        <v>41999</v>
      </c>
      <c r="B363" s="3">
        <v>48102.962409030253</v>
      </c>
      <c r="C363" s="3">
        <v>49028.365072183813</v>
      </c>
      <c r="D363">
        <v>1169</v>
      </c>
      <c r="E363" s="3">
        <f t="shared" si="20"/>
        <v>41.148813010291065</v>
      </c>
      <c r="F363" s="16">
        <f t="shared" si="21"/>
        <v>-925.40266315355984</v>
      </c>
      <c r="G363" s="23">
        <f t="shared" si="22"/>
        <v>-1.9237955768392264E-2</v>
      </c>
      <c r="H363" s="3">
        <f t="shared" si="23"/>
        <v>-0.7916190446138236</v>
      </c>
    </row>
    <row r="364" spans="1:8" x14ac:dyDescent="0.3">
      <c r="A364" s="2">
        <v>42000</v>
      </c>
      <c r="B364" s="3">
        <v>110162.1319825481</v>
      </c>
      <c r="C364" s="3">
        <v>112383.5592473063</v>
      </c>
      <c r="D364">
        <v>2676</v>
      </c>
      <c r="E364" s="3">
        <f t="shared" si="20"/>
        <v>41.166715987499295</v>
      </c>
      <c r="F364" s="16">
        <f t="shared" si="21"/>
        <v>-2221.4272647581965</v>
      </c>
      <c r="G364" s="23">
        <f t="shared" si="22"/>
        <v>-2.0165071470386171E-2</v>
      </c>
      <c r="H364" s="3">
        <f t="shared" si="23"/>
        <v>-0.83012977008901212</v>
      </c>
    </row>
    <row r="365" spans="1:8" x14ac:dyDescent="0.3">
      <c r="A365" s="2">
        <v>42001</v>
      </c>
      <c r="B365" s="3">
        <v>69051.33709342037</v>
      </c>
      <c r="C365" s="3">
        <v>70482.717802969084</v>
      </c>
      <c r="D365">
        <v>1677</v>
      </c>
      <c r="E365" s="3">
        <f t="shared" si="20"/>
        <v>41.175514068825507</v>
      </c>
      <c r="F365" s="16">
        <f t="shared" si="21"/>
        <v>-1431.3807095487136</v>
      </c>
      <c r="G365" s="23">
        <f t="shared" si="22"/>
        <v>-2.0729225092516047E-2</v>
      </c>
      <c r="H365" s="3">
        <f t="shared" si="23"/>
        <v>-0.85353649943274512</v>
      </c>
    </row>
    <row r="366" spans="1:8" x14ac:dyDescent="0.3">
      <c r="A366" s="2">
        <v>42002</v>
      </c>
      <c r="B366" s="3">
        <v>133307.3689628276</v>
      </c>
      <c r="C366" s="3">
        <v>136003.48252575181</v>
      </c>
      <c r="D366">
        <v>3237</v>
      </c>
      <c r="E366" s="3">
        <f t="shared" si="20"/>
        <v>41.182381514620822</v>
      </c>
      <c r="F366" s="16">
        <f t="shared" si="21"/>
        <v>-2696.1135629242053</v>
      </c>
      <c r="G366" s="23">
        <f t="shared" si="22"/>
        <v>-2.0224790151518249E-2</v>
      </c>
      <c r="H366" s="3">
        <f t="shared" si="23"/>
        <v>-0.8329050240729704</v>
      </c>
    </row>
    <row r="367" spans="1:8" x14ac:dyDescent="0.3">
      <c r="A367" s="2">
        <v>42003</v>
      </c>
      <c r="B367" s="3">
        <v>216389.504268855</v>
      </c>
      <c r="C367" s="3">
        <v>235723.76475390821</v>
      </c>
      <c r="D367">
        <v>5607</v>
      </c>
      <c r="E367" s="3">
        <f t="shared" si="20"/>
        <v>38.592741977680575</v>
      </c>
      <c r="F367" s="16">
        <f t="shared" si="21"/>
        <v>-19334.260485053208</v>
      </c>
      <c r="G367" s="23">
        <f t="shared" si="22"/>
        <v>-8.9349345063571978E-2</v>
      </c>
      <c r="H367" s="3">
        <f t="shared" si="23"/>
        <v>-3.4482362199131815</v>
      </c>
    </row>
    <row r="368" spans="1:8" x14ac:dyDescent="0.3">
      <c r="A368" s="2">
        <v>42004</v>
      </c>
      <c r="B368" s="3">
        <v>365055.31201272178</v>
      </c>
      <c r="C368" s="3">
        <v>398013.34833037207</v>
      </c>
      <c r="D368">
        <v>9464</v>
      </c>
      <c r="E368" s="3">
        <f t="shared" si="20"/>
        <v>38.573046493313797</v>
      </c>
      <c r="F368" s="16">
        <f t="shared" si="21"/>
        <v>-32958.036317650287</v>
      </c>
      <c r="G368" s="23">
        <f t="shared" si="22"/>
        <v>-9.0282308551920848E-2</v>
      </c>
      <c r="H368" s="3">
        <f t="shared" si="23"/>
        <v>-3.4824636852969451</v>
      </c>
    </row>
    <row r="369" spans="1:8" x14ac:dyDescent="0.3">
      <c r="A369" s="2">
        <v>42005</v>
      </c>
      <c r="B369" s="3">
        <v>112161.419616753</v>
      </c>
      <c r="C369" s="3">
        <v>122170.43168462771</v>
      </c>
      <c r="D369">
        <v>2905</v>
      </c>
      <c r="E369" s="3">
        <f t="shared" si="20"/>
        <v>38.609783000603443</v>
      </c>
      <c r="F369" s="16">
        <f t="shared" si="21"/>
        <v>-10009.012067874704</v>
      </c>
      <c r="G369" s="23">
        <f t="shared" si="22"/>
        <v>-8.9237565841041713E-2</v>
      </c>
      <c r="H369" s="3">
        <f t="shared" si="23"/>
        <v>-3.4454430526246829</v>
      </c>
    </row>
    <row r="370" spans="1:8" x14ac:dyDescent="0.3">
      <c r="A370" s="2">
        <v>42006</v>
      </c>
      <c r="B370" s="3">
        <v>271101.46167031268</v>
      </c>
      <c r="C370" s="3">
        <v>295019.46942959027</v>
      </c>
      <c r="D370">
        <v>7023</v>
      </c>
      <c r="E370" s="3">
        <f t="shared" si="20"/>
        <v>38.6019452755678</v>
      </c>
      <c r="F370" s="16">
        <f t="shared" si="21"/>
        <v>-23918.007759277592</v>
      </c>
      <c r="G370" s="23">
        <f t="shared" si="22"/>
        <v>-8.8225299900316856E-2</v>
      </c>
      <c r="H370" s="3">
        <f t="shared" si="23"/>
        <v>-3.405668198672589</v>
      </c>
    </row>
    <row r="371" spans="1:8" x14ac:dyDescent="0.3">
      <c r="A371" s="2">
        <v>42007</v>
      </c>
      <c r="B371" s="3">
        <v>245813.288312124</v>
      </c>
      <c r="C371" s="3">
        <v>267734.72525537072</v>
      </c>
      <c r="D371">
        <v>6371</v>
      </c>
      <c r="E371" s="3">
        <f t="shared" si="20"/>
        <v>38.583156225415792</v>
      </c>
      <c r="F371" s="16">
        <f t="shared" si="21"/>
        <v>-21921.436943246721</v>
      </c>
      <c r="G371" s="23">
        <f t="shared" si="22"/>
        <v>-8.9179218478261213E-2</v>
      </c>
      <c r="H371" s="3">
        <f t="shared" si="23"/>
        <v>-3.4408157186072392</v>
      </c>
    </row>
    <row r="372" spans="1:8" x14ac:dyDescent="0.3">
      <c r="A372" s="2">
        <v>42008</v>
      </c>
      <c r="B372" s="3">
        <v>178394.81199754871</v>
      </c>
      <c r="C372" s="3">
        <v>194427.44797350231</v>
      </c>
      <c r="D372">
        <v>4624</v>
      </c>
      <c r="E372" s="3">
        <f t="shared" si="20"/>
        <v>38.580192906044267</v>
      </c>
      <c r="F372" s="16">
        <f t="shared" si="21"/>
        <v>-16032.635975953599</v>
      </c>
      <c r="G372" s="23">
        <f t="shared" si="22"/>
        <v>-8.9871649272927845E-2</v>
      </c>
      <c r="H372" s="3">
        <f t="shared" si="23"/>
        <v>-3.4672655657339098</v>
      </c>
    </row>
    <row r="373" spans="1:8" x14ac:dyDescent="0.3">
      <c r="A373" s="2">
        <v>42009</v>
      </c>
      <c r="B373" s="3">
        <v>220443.631484265</v>
      </c>
      <c r="C373" s="3">
        <v>239988.0274603873</v>
      </c>
      <c r="D373">
        <v>5717</v>
      </c>
      <c r="E373" s="3">
        <f t="shared" si="20"/>
        <v>38.559319832825786</v>
      </c>
      <c r="F373" s="16">
        <f t="shared" si="21"/>
        <v>-19544.395976122294</v>
      </c>
      <c r="G373" s="23">
        <f t="shared" si="22"/>
        <v>-8.8659381287308131E-2</v>
      </c>
      <c r="H373" s="3">
        <f t="shared" si="23"/>
        <v>-3.4186454392377637</v>
      </c>
    </row>
    <row r="374" spans="1:8" x14ac:dyDescent="0.3">
      <c r="A374" s="2">
        <v>42010</v>
      </c>
      <c r="B374" s="3">
        <v>181534.1886726786</v>
      </c>
      <c r="C374" s="3">
        <v>197328.94391081069</v>
      </c>
      <c r="D374">
        <v>4705</v>
      </c>
      <c r="E374" s="3">
        <f t="shared" si="20"/>
        <v>38.583249452216492</v>
      </c>
      <c r="F374" s="16">
        <f t="shared" si="21"/>
        <v>-15794.755238132086</v>
      </c>
      <c r="G374" s="23">
        <f t="shared" si="22"/>
        <v>-8.7007055550353415E-2</v>
      </c>
      <c r="H374" s="3">
        <f t="shared" si="23"/>
        <v>-3.3570149284021435</v>
      </c>
    </row>
    <row r="375" spans="1:8" x14ac:dyDescent="0.3">
      <c r="A375" s="2">
        <v>42011</v>
      </c>
      <c r="B375" s="3">
        <v>83176.481393400245</v>
      </c>
      <c r="C375" s="3">
        <v>84728.831196631072</v>
      </c>
      <c r="D375">
        <v>2020</v>
      </c>
      <c r="E375" s="3">
        <f t="shared" si="20"/>
        <v>41.176475937326856</v>
      </c>
      <c r="F375" s="16">
        <f t="shared" si="21"/>
        <v>-1552.3498032308271</v>
      </c>
      <c r="G375" s="23">
        <f t="shared" si="22"/>
        <v>-1.8663326185784056E-2</v>
      </c>
      <c r="H375" s="3">
        <f t="shared" si="23"/>
        <v>-0.76849000159941938</v>
      </c>
    </row>
    <row r="376" spans="1:8" x14ac:dyDescent="0.3">
      <c r="A376" s="2">
        <v>42012</v>
      </c>
      <c r="B376" s="3">
        <v>76894.779348705371</v>
      </c>
      <c r="C376" s="3">
        <v>78468.095499687464</v>
      </c>
      <c r="D376">
        <v>1868</v>
      </c>
      <c r="E376" s="3">
        <f t="shared" si="20"/>
        <v>41.164228773396879</v>
      </c>
      <c r="F376" s="16">
        <f t="shared" si="21"/>
        <v>-1573.3161509820929</v>
      </c>
      <c r="G376" s="23">
        <f t="shared" si="22"/>
        <v>-2.0460636785851988E-2</v>
      </c>
      <c r="H376" s="3">
        <f t="shared" si="23"/>
        <v>-0.84224633350219114</v>
      </c>
    </row>
    <row r="377" spans="1:8" x14ac:dyDescent="0.3">
      <c r="A377" s="2">
        <v>42013</v>
      </c>
      <c r="B377" s="3">
        <v>123859.3879567376</v>
      </c>
      <c r="C377" s="3">
        <v>126444.1425182809</v>
      </c>
      <c r="D377">
        <v>3008</v>
      </c>
      <c r="E377" s="3">
        <f t="shared" si="20"/>
        <v>41.176658230298401</v>
      </c>
      <c r="F377" s="16">
        <f t="shared" si="21"/>
        <v>-2584.7545615433046</v>
      </c>
      <c r="G377" s="23">
        <f t="shared" si="22"/>
        <v>-2.0868459017786559E-2</v>
      </c>
      <c r="H377" s="3">
        <f t="shared" si="23"/>
        <v>-0.85929340476838578</v>
      </c>
    </row>
    <row r="378" spans="1:8" x14ac:dyDescent="0.3">
      <c r="A378" s="2">
        <v>42014</v>
      </c>
      <c r="B378" s="3">
        <v>120807.5741583273</v>
      </c>
      <c r="C378" s="3">
        <v>123392.8040677807</v>
      </c>
      <c r="D378">
        <v>2934</v>
      </c>
      <c r="E378" s="3">
        <f t="shared" si="20"/>
        <v>41.175042317084973</v>
      </c>
      <c r="F378" s="16">
        <f t="shared" si="21"/>
        <v>-2585.2299094533955</v>
      </c>
      <c r="G378" s="23">
        <f t="shared" si="22"/>
        <v>-2.1399568093845339E-2</v>
      </c>
      <c r="H378" s="3">
        <f t="shared" si="23"/>
        <v>-0.88112812183142319</v>
      </c>
    </row>
    <row r="379" spans="1:8" x14ac:dyDescent="0.3">
      <c r="A379" s="2">
        <v>42015</v>
      </c>
      <c r="B379" s="3">
        <v>69597.36734933038</v>
      </c>
      <c r="C379" s="3">
        <v>71051.363502932756</v>
      </c>
      <c r="D379">
        <v>1690</v>
      </c>
      <c r="E379" s="3">
        <f t="shared" si="20"/>
        <v>41.181874171201407</v>
      </c>
      <c r="F379" s="16">
        <f t="shared" si="21"/>
        <v>-1453.9961536023766</v>
      </c>
      <c r="G379" s="23">
        <f t="shared" si="22"/>
        <v>-2.0891539565057498E-2</v>
      </c>
      <c r="H379" s="3">
        <f t="shared" si="23"/>
        <v>-0.86035275361087371</v>
      </c>
    </row>
    <row r="380" spans="1:8" x14ac:dyDescent="0.3">
      <c r="A380" s="2">
        <v>42016</v>
      </c>
      <c r="B380" s="3">
        <v>84738.294411260125</v>
      </c>
      <c r="C380" s="3">
        <v>86467.537750281685</v>
      </c>
      <c r="D380">
        <v>2058</v>
      </c>
      <c r="E380" s="3">
        <f t="shared" si="20"/>
        <v>41.175070170680335</v>
      </c>
      <c r="F380" s="16">
        <f t="shared" si="21"/>
        <v>-1729.2433390215592</v>
      </c>
      <c r="G380" s="23">
        <f t="shared" si="22"/>
        <v>-2.0406869775181306E-2</v>
      </c>
      <c r="H380" s="3">
        <f t="shared" si="23"/>
        <v>-0.84025429495702586</v>
      </c>
    </row>
    <row r="381" spans="1:8" x14ac:dyDescent="0.3">
      <c r="A381" s="2">
        <v>42017</v>
      </c>
      <c r="B381" s="3">
        <v>64653.972138140372</v>
      </c>
      <c r="C381" s="3">
        <v>65980.422089859814</v>
      </c>
      <c r="D381">
        <v>1570</v>
      </c>
      <c r="E381" s="3">
        <f t="shared" si="20"/>
        <v>41.180873973337818</v>
      </c>
      <c r="F381" s="16">
        <f t="shared" si="21"/>
        <v>-1326.4499517194417</v>
      </c>
      <c r="G381" s="23">
        <f t="shared" si="22"/>
        <v>-2.0516140120290436E-2</v>
      </c>
      <c r="H381" s="3">
        <f t="shared" si="23"/>
        <v>-0.84487258071302018</v>
      </c>
    </row>
    <row r="382" spans="1:8" x14ac:dyDescent="0.3">
      <c r="A382" s="2">
        <v>42018</v>
      </c>
      <c r="B382" s="3">
        <v>59553.386031020251</v>
      </c>
      <c r="C382" s="3">
        <v>60703.356028777598</v>
      </c>
      <c r="D382">
        <v>1446</v>
      </c>
      <c r="E382" s="3">
        <f t="shared" si="20"/>
        <v>41.184914267648857</v>
      </c>
      <c r="F382" s="16">
        <f t="shared" si="21"/>
        <v>-1149.9699977573473</v>
      </c>
      <c r="G382" s="23">
        <f t="shared" si="22"/>
        <v>-1.9309901155886405E-2</v>
      </c>
      <c r="H382" s="3">
        <f t="shared" si="23"/>
        <v>-0.79527662362195528</v>
      </c>
    </row>
    <row r="383" spans="1:8" x14ac:dyDescent="0.3">
      <c r="A383" s="2">
        <v>42019</v>
      </c>
      <c r="B383" s="3">
        <v>79080.756957730366</v>
      </c>
      <c r="C383" s="3">
        <v>80337.748312174546</v>
      </c>
      <c r="D383">
        <v>1921</v>
      </c>
      <c r="E383" s="3">
        <f t="shared" si="20"/>
        <v>41.16645338767848</v>
      </c>
      <c r="F383" s="16">
        <f t="shared" si="21"/>
        <v>-1256.9913544441806</v>
      </c>
      <c r="G383" s="23">
        <f t="shared" si="22"/>
        <v>-1.5895034428110723E-2</v>
      </c>
      <c r="H383" s="3">
        <f t="shared" si="23"/>
        <v>-0.65434219388036474</v>
      </c>
    </row>
    <row r="384" spans="1:8" x14ac:dyDescent="0.3">
      <c r="A384" s="2">
        <v>42020</v>
      </c>
      <c r="B384" s="3">
        <v>149444.05678745391</v>
      </c>
      <c r="C384" s="3">
        <v>152030.98648053521</v>
      </c>
      <c r="D384">
        <v>3629</v>
      </c>
      <c r="E384" s="3">
        <f t="shared" si="20"/>
        <v>41.180506141486333</v>
      </c>
      <c r="F384" s="16">
        <f t="shared" si="21"/>
        <v>-2586.9296930812998</v>
      </c>
      <c r="G384" s="23">
        <f t="shared" si="22"/>
        <v>-1.7310355116768195E-2</v>
      </c>
      <c r="H384" s="3">
        <f t="shared" si="23"/>
        <v>-0.71284918519738216</v>
      </c>
    </row>
    <row r="385" spans="1:8" x14ac:dyDescent="0.3">
      <c r="A385" s="2">
        <v>42021</v>
      </c>
      <c r="B385" s="3">
        <v>170624.0799358915</v>
      </c>
      <c r="C385" s="3">
        <v>173547.0271100424</v>
      </c>
      <c r="D385">
        <v>4144</v>
      </c>
      <c r="E385" s="3">
        <f t="shared" si="20"/>
        <v>41.173764463294283</v>
      </c>
      <c r="F385" s="16">
        <f t="shared" si="21"/>
        <v>-2922.9471741509042</v>
      </c>
      <c r="G385" s="23">
        <f t="shared" si="22"/>
        <v>-1.7130918304433591E-2</v>
      </c>
      <c r="H385" s="3">
        <f t="shared" si="23"/>
        <v>-0.70534439530668536</v>
      </c>
    </row>
    <row r="386" spans="1:8" x14ac:dyDescent="0.3">
      <c r="A386" s="2">
        <v>42022</v>
      </c>
      <c r="B386" s="3">
        <v>74744.283149260489</v>
      </c>
      <c r="C386" s="3">
        <v>76003.928254213824</v>
      </c>
      <c r="D386">
        <v>1815</v>
      </c>
      <c r="E386" s="3">
        <f t="shared" ref="E386:E449" si="24">B386/D386</f>
        <v>41.181423222733052</v>
      </c>
      <c r="F386" s="16">
        <f t="shared" ref="F386:F449" si="25">B386-C386</f>
        <v>-1259.6451049533352</v>
      </c>
      <c r="G386" s="23">
        <f t="shared" ref="G386:G449" si="26">F386/B386</f>
        <v>-1.6852728421221042E-2</v>
      </c>
      <c r="H386" s="3">
        <f t="shared" ref="H386:H449" si="27">F386/D386</f>
        <v>-0.69401934157208556</v>
      </c>
    </row>
    <row r="387" spans="1:8" x14ac:dyDescent="0.3">
      <c r="A387" s="2">
        <v>42023</v>
      </c>
      <c r="B387" s="3">
        <v>90144.161401489764</v>
      </c>
      <c r="C387" s="3">
        <v>91110.969347994804</v>
      </c>
      <c r="D387">
        <v>2189</v>
      </c>
      <c r="E387" s="3">
        <f t="shared" si="24"/>
        <v>41.180521425988928</v>
      </c>
      <c r="F387" s="16">
        <f t="shared" si="25"/>
        <v>-966.80794650503958</v>
      </c>
      <c r="G387" s="23">
        <f t="shared" si="26"/>
        <v>-1.0725131073093122E-2</v>
      </c>
      <c r="H387" s="3">
        <f t="shared" si="27"/>
        <v>-0.44166648995205099</v>
      </c>
    </row>
    <row r="388" spans="1:8" x14ac:dyDescent="0.3">
      <c r="A388" s="2">
        <v>42024</v>
      </c>
      <c r="B388" s="3">
        <v>97826.808800979037</v>
      </c>
      <c r="C388" s="3">
        <v>99134.30698859354</v>
      </c>
      <c r="D388">
        <v>2376</v>
      </c>
      <c r="E388" s="3">
        <f t="shared" si="24"/>
        <v>41.172899327011379</v>
      </c>
      <c r="F388" s="16">
        <f t="shared" si="25"/>
        <v>-1307.498187614503</v>
      </c>
      <c r="G388" s="23">
        <f t="shared" si="26"/>
        <v>-1.3365438407323552E-2</v>
      </c>
      <c r="H388" s="3">
        <f t="shared" si="27"/>
        <v>-0.55029385000610398</v>
      </c>
    </row>
    <row r="389" spans="1:8" x14ac:dyDescent="0.3">
      <c r="A389" s="2">
        <v>42025</v>
      </c>
      <c r="B389" s="3">
        <v>62795.97914592037</v>
      </c>
      <c r="C389" s="3">
        <v>64144.088875245921</v>
      </c>
      <c r="D389">
        <v>1525</v>
      </c>
      <c r="E389" s="3">
        <f t="shared" si="24"/>
        <v>41.177691243226469</v>
      </c>
      <c r="F389" s="16">
        <f t="shared" si="25"/>
        <v>-1348.1097293255516</v>
      </c>
      <c r="G389" s="23">
        <f t="shared" si="26"/>
        <v>-2.146808995832233E-2</v>
      </c>
      <c r="H389" s="3">
        <f t="shared" si="27"/>
        <v>-0.8840063798856076</v>
      </c>
    </row>
    <row r="390" spans="1:8" x14ac:dyDescent="0.3">
      <c r="A390" s="2">
        <v>42026</v>
      </c>
      <c r="B390" s="3">
        <v>66550.989827080368</v>
      </c>
      <c r="C390" s="3">
        <v>67952.150554841501</v>
      </c>
      <c r="D390">
        <v>1616</v>
      </c>
      <c r="E390" s="3">
        <f t="shared" si="24"/>
        <v>41.18254320982696</v>
      </c>
      <c r="F390" s="16">
        <f t="shared" si="25"/>
        <v>-1401.1607277611329</v>
      </c>
      <c r="G390" s="23">
        <f t="shared" si="26"/>
        <v>-2.1053942719736745E-2</v>
      </c>
      <c r="H390" s="3">
        <f t="shared" si="27"/>
        <v>-0.86705490579278022</v>
      </c>
    </row>
    <row r="391" spans="1:8" x14ac:dyDescent="0.3">
      <c r="A391" s="2">
        <v>42027</v>
      </c>
      <c r="B391" s="3">
        <v>154670.89070075389</v>
      </c>
      <c r="C391" s="3">
        <v>158031.79104317201</v>
      </c>
      <c r="D391">
        <v>3757</v>
      </c>
      <c r="E391" s="3">
        <f t="shared" si="24"/>
        <v>41.168722571401091</v>
      </c>
      <c r="F391" s="16">
        <f t="shared" si="25"/>
        <v>-3360.9003424181137</v>
      </c>
      <c r="G391" s="23">
        <f t="shared" si="26"/>
        <v>-2.1729365669203662E-2</v>
      </c>
      <c r="H391" s="3">
        <f t="shared" si="27"/>
        <v>-0.89457022688797283</v>
      </c>
    </row>
    <row r="392" spans="1:8" x14ac:dyDescent="0.3">
      <c r="A392" s="2">
        <v>42028</v>
      </c>
      <c r="B392" s="3">
        <v>158722.10562536391</v>
      </c>
      <c r="C392" s="3">
        <v>162082.4184385144</v>
      </c>
      <c r="D392">
        <v>3855</v>
      </c>
      <c r="E392" s="3">
        <f t="shared" si="24"/>
        <v>41.173049448862237</v>
      </c>
      <c r="F392" s="16">
        <f t="shared" si="25"/>
        <v>-3360.3128131504927</v>
      </c>
      <c r="G392" s="23">
        <f t="shared" si="26"/>
        <v>-2.1171044826496507E-2</v>
      </c>
      <c r="H392" s="3">
        <f t="shared" si="27"/>
        <v>-0.8716764755254196</v>
      </c>
    </row>
    <row r="393" spans="1:8" x14ac:dyDescent="0.3">
      <c r="A393" s="2">
        <v>42029</v>
      </c>
      <c r="B393" s="3">
        <v>78092.276922030491</v>
      </c>
      <c r="C393" s="3">
        <v>79795.0431031607</v>
      </c>
      <c r="D393">
        <v>1897</v>
      </c>
      <c r="E393" s="3">
        <f t="shared" si="24"/>
        <v>41.16619763944675</v>
      </c>
      <c r="F393" s="16">
        <f t="shared" si="25"/>
        <v>-1702.7661811302096</v>
      </c>
      <c r="G393" s="23">
        <f t="shared" si="26"/>
        <v>-2.1804540067775189E-2</v>
      </c>
      <c r="H393" s="3">
        <f t="shared" si="27"/>
        <v>-0.89761000586726913</v>
      </c>
    </row>
    <row r="394" spans="1:8" x14ac:dyDescent="0.3">
      <c r="A394" s="2">
        <v>42030</v>
      </c>
      <c r="B394" s="3">
        <v>91830.402043779875</v>
      </c>
      <c r="C394" s="3">
        <v>93808.086746872388</v>
      </c>
      <c r="D394">
        <v>2230</v>
      </c>
      <c r="E394" s="3">
        <f t="shared" si="24"/>
        <v>41.179552485999942</v>
      </c>
      <c r="F394" s="16">
        <f t="shared" si="25"/>
        <v>-1977.6847030925128</v>
      </c>
      <c r="G394" s="23">
        <f t="shared" si="26"/>
        <v>-2.1536274034275243E-2</v>
      </c>
      <c r="H394" s="3">
        <f t="shared" si="27"/>
        <v>-0.88685412694731514</v>
      </c>
    </row>
    <row r="395" spans="1:8" x14ac:dyDescent="0.3">
      <c r="A395" s="2">
        <v>42031</v>
      </c>
      <c r="B395" s="3">
        <v>76992.935683210482</v>
      </c>
      <c r="C395" s="3">
        <v>78614.457753375827</v>
      </c>
      <c r="D395">
        <v>1870</v>
      </c>
      <c r="E395" s="3">
        <f t="shared" si="24"/>
        <v>41.172692878722181</v>
      </c>
      <c r="F395" s="16">
        <f t="shared" si="25"/>
        <v>-1621.5220701653452</v>
      </c>
      <c r="G395" s="23">
        <f t="shared" si="26"/>
        <v>-2.1060660381065889E-2</v>
      </c>
      <c r="H395" s="3">
        <f t="shared" si="27"/>
        <v>-0.86712410169269794</v>
      </c>
    </row>
    <row r="396" spans="1:8" x14ac:dyDescent="0.3">
      <c r="A396" s="2">
        <v>42032</v>
      </c>
      <c r="B396" s="3">
        <v>59897.71587994037</v>
      </c>
      <c r="C396" s="3">
        <v>61194.180255889572</v>
      </c>
      <c r="D396">
        <v>1455</v>
      </c>
      <c r="E396" s="3">
        <f t="shared" si="24"/>
        <v>41.166815037759704</v>
      </c>
      <c r="F396" s="16">
        <f t="shared" si="25"/>
        <v>-1296.4643759492028</v>
      </c>
      <c r="G396" s="23">
        <f t="shared" si="26"/>
        <v>-2.164463797831373E-2</v>
      </c>
      <c r="H396" s="3">
        <f t="shared" si="27"/>
        <v>-0.89104080821251053</v>
      </c>
    </row>
    <row r="397" spans="1:8" x14ac:dyDescent="0.3">
      <c r="A397" s="2">
        <v>42033</v>
      </c>
      <c r="B397" s="3">
        <v>57310.194042320363</v>
      </c>
      <c r="C397" s="3">
        <v>58531.41098518647</v>
      </c>
      <c r="D397">
        <v>1392</v>
      </c>
      <c r="E397" s="3">
        <f t="shared" si="24"/>
        <v>41.171116409712901</v>
      </c>
      <c r="F397" s="16">
        <f t="shared" si="25"/>
        <v>-1221.2169428661073</v>
      </c>
      <c r="G397" s="23">
        <f t="shared" si="26"/>
        <v>-2.1308895620983363E-2</v>
      </c>
      <c r="H397" s="3">
        <f t="shared" si="27"/>
        <v>-0.87731102217392765</v>
      </c>
    </row>
    <row r="398" spans="1:8" x14ac:dyDescent="0.3">
      <c r="A398" s="2">
        <v>42034</v>
      </c>
      <c r="B398" s="3">
        <v>134540.2144657376</v>
      </c>
      <c r="C398" s="3">
        <v>137221.53747357719</v>
      </c>
      <c r="D398">
        <v>3268</v>
      </c>
      <c r="E398" s="3">
        <f t="shared" si="24"/>
        <v>41.168976274705507</v>
      </c>
      <c r="F398" s="16">
        <f t="shared" si="25"/>
        <v>-2681.3230078395864</v>
      </c>
      <c r="G398" s="23">
        <f t="shared" si="26"/>
        <v>-1.9929528271433072E-2</v>
      </c>
      <c r="H398" s="3">
        <f t="shared" si="27"/>
        <v>-0.82047827657270089</v>
      </c>
    </row>
    <row r="399" spans="1:8" x14ac:dyDescent="0.3">
      <c r="A399" s="2">
        <v>42035</v>
      </c>
      <c r="B399" s="3">
        <v>200193.61199916029</v>
      </c>
      <c r="C399" s="3">
        <v>203814.73638908501</v>
      </c>
      <c r="D399">
        <v>4862</v>
      </c>
      <c r="E399" s="3">
        <f t="shared" si="24"/>
        <v>41.175156725454606</v>
      </c>
      <c r="F399" s="16">
        <f t="shared" si="25"/>
        <v>-3621.1243899247202</v>
      </c>
      <c r="G399" s="23">
        <f t="shared" si="26"/>
        <v>-1.8088111572410758E-2</v>
      </c>
      <c r="H399" s="3">
        <f t="shared" si="27"/>
        <v>-0.74478082886152208</v>
      </c>
    </row>
    <row r="400" spans="1:8" x14ac:dyDescent="0.3">
      <c r="A400" s="2">
        <v>42036</v>
      </c>
      <c r="B400" s="3">
        <v>171469.93052966279</v>
      </c>
      <c r="C400" s="3">
        <v>174652.45798996431</v>
      </c>
      <c r="D400">
        <v>4165</v>
      </c>
      <c r="E400" s="3">
        <f t="shared" si="24"/>
        <v>41.16925102753008</v>
      </c>
      <c r="F400" s="16">
        <f t="shared" si="25"/>
        <v>-3182.5274603015278</v>
      </c>
      <c r="G400" s="23">
        <f t="shared" si="26"/>
        <v>-1.8560265642324842E-2</v>
      </c>
      <c r="H400" s="3">
        <f t="shared" si="27"/>
        <v>-0.76411223536651329</v>
      </c>
    </row>
    <row r="401" spans="1:8" x14ac:dyDescent="0.3">
      <c r="A401" s="2">
        <v>42037</v>
      </c>
      <c r="B401" s="3">
        <v>151737.21883246521</v>
      </c>
      <c r="C401" s="3">
        <v>154148.5988130215</v>
      </c>
      <c r="D401">
        <v>3685</v>
      </c>
      <c r="E401" s="3">
        <f t="shared" si="24"/>
        <v>41.176992898905077</v>
      </c>
      <c r="F401" s="16">
        <f t="shared" si="25"/>
        <v>-2411.3799805562885</v>
      </c>
      <c r="G401" s="23">
        <f t="shared" si="26"/>
        <v>-1.5891816122046633E-2</v>
      </c>
      <c r="H401" s="3">
        <f t="shared" si="27"/>
        <v>-0.65437719960821938</v>
      </c>
    </row>
    <row r="402" spans="1:8" x14ac:dyDescent="0.3">
      <c r="A402" s="2">
        <v>42038</v>
      </c>
      <c r="B402" s="3">
        <v>102072.4434055789</v>
      </c>
      <c r="C402" s="3">
        <v>103634.964229016</v>
      </c>
      <c r="D402">
        <v>2479</v>
      </c>
      <c r="E402" s="3">
        <f t="shared" si="24"/>
        <v>41.174846069212947</v>
      </c>
      <c r="F402" s="16">
        <f t="shared" si="25"/>
        <v>-1562.5208234370948</v>
      </c>
      <c r="G402" s="23">
        <f t="shared" si="26"/>
        <v>-1.5307959438459893E-2</v>
      </c>
      <c r="H402" s="3">
        <f t="shared" si="27"/>
        <v>-0.6303028735123416</v>
      </c>
    </row>
    <row r="403" spans="1:8" x14ac:dyDescent="0.3">
      <c r="A403" s="2">
        <v>42039</v>
      </c>
      <c r="B403" s="3">
        <v>82514.105120030377</v>
      </c>
      <c r="C403" s="3">
        <v>83232.391367362128</v>
      </c>
      <c r="D403">
        <v>2005</v>
      </c>
      <c r="E403" s="3">
        <f t="shared" si="24"/>
        <v>41.154167142159793</v>
      </c>
      <c r="F403" s="16">
        <f t="shared" si="25"/>
        <v>-718.28624733175093</v>
      </c>
      <c r="G403" s="23">
        <f t="shared" si="26"/>
        <v>-8.7050116617866137E-3</v>
      </c>
      <c r="H403" s="3">
        <f t="shared" si="27"/>
        <v>-0.3582475049036164</v>
      </c>
    </row>
    <row r="404" spans="1:8" x14ac:dyDescent="0.3">
      <c r="A404" s="2">
        <v>42040</v>
      </c>
      <c r="B404" s="3">
        <v>46211.332458070247</v>
      </c>
      <c r="C404" s="3">
        <v>46407.299117268973</v>
      </c>
      <c r="D404">
        <v>1122</v>
      </c>
      <c r="E404" s="3">
        <f t="shared" si="24"/>
        <v>41.186570818244427</v>
      </c>
      <c r="F404" s="16">
        <f t="shared" si="25"/>
        <v>-195.96665919872612</v>
      </c>
      <c r="G404" s="23">
        <f t="shared" si="26"/>
        <v>-4.2406623824694095E-3</v>
      </c>
      <c r="H404" s="3">
        <f t="shared" si="27"/>
        <v>-0.17465834153184145</v>
      </c>
    </row>
    <row r="405" spans="1:8" x14ac:dyDescent="0.3">
      <c r="A405" s="2">
        <v>42041</v>
      </c>
      <c r="B405" s="3">
        <v>85730.414810460134</v>
      </c>
      <c r="C405" s="3">
        <v>85765.709336061569</v>
      </c>
      <c r="D405">
        <v>2082</v>
      </c>
      <c r="E405" s="3">
        <f t="shared" si="24"/>
        <v>41.176952358530322</v>
      </c>
      <c r="F405" s="16">
        <f t="shared" si="25"/>
        <v>-35.294525601435453</v>
      </c>
      <c r="G405" s="23">
        <f t="shared" si="26"/>
        <v>-4.1169199611908446E-4</v>
      </c>
      <c r="H405" s="3">
        <f t="shared" si="27"/>
        <v>-1.695222171058379E-2</v>
      </c>
    </row>
    <row r="406" spans="1:8" x14ac:dyDescent="0.3">
      <c r="A406" s="2">
        <v>42042</v>
      </c>
      <c r="B406" s="3">
        <v>105918.2932906084</v>
      </c>
      <c r="C406" s="3">
        <v>105662.5562409002</v>
      </c>
      <c r="D406">
        <v>2573</v>
      </c>
      <c r="E406" s="3">
        <f t="shared" si="24"/>
        <v>41.165290824177383</v>
      </c>
      <c r="F406" s="16">
        <f t="shared" si="25"/>
        <v>255.73704970820108</v>
      </c>
      <c r="G406" s="23">
        <f t="shared" si="26"/>
        <v>2.4144747971583569E-3</v>
      </c>
      <c r="H406" s="3">
        <f t="shared" si="27"/>
        <v>9.9392557212670457E-2</v>
      </c>
    </row>
    <row r="407" spans="1:8" x14ac:dyDescent="0.3">
      <c r="A407" s="2">
        <v>42043</v>
      </c>
      <c r="B407" s="3">
        <v>73041.660871220491</v>
      </c>
      <c r="C407" s="3">
        <v>73046.233899676779</v>
      </c>
      <c r="D407">
        <v>1774</v>
      </c>
      <c r="E407" s="3">
        <f t="shared" si="24"/>
        <v>41.173427774081446</v>
      </c>
      <c r="F407" s="16">
        <f t="shared" si="25"/>
        <v>-4.5730284562887391</v>
      </c>
      <c r="G407" s="23">
        <f t="shared" si="26"/>
        <v>-6.2608494956753935E-5</v>
      </c>
      <c r="H407" s="3">
        <f t="shared" si="27"/>
        <v>-2.5778063451458509E-3</v>
      </c>
    </row>
    <row r="408" spans="1:8" x14ac:dyDescent="0.3">
      <c r="A408" s="2">
        <v>42044</v>
      </c>
      <c r="B408" s="3">
        <v>97908.547096098671</v>
      </c>
      <c r="C408" s="3">
        <v>97097.936590193072</v>
      </c>
      <c r="D408">
        <v>2378</v>
      </c>
      <c r="E408" s="3">
        <f t="shared" si="24"/>
        <v>41.172643858746291</v>
      </c>
      <c r="F408" s="16">
        <f t="shared" si="25"/>
        <v>810.61050590559898</v>
      </c>
      <c r="G408" s="23">
        <f t="shared" si="26"/>
        <v>8.2792619229654484E-3</v>
      </c>
      <c r="H408" s="3">
        <f t="shared" si="27"/>
        <v>0.34087910256753534</v>
      </c>
    </row>
    <row r="409" spans="1:8" x14ac:dyDescent="0.3">
      <c r="A409" s="2">
        <v>42045</v>
      </c>
      <c r="B409" s="3">
        <v>138667.4159111364</v>
      </c>
      <c r="C409" s="3">
        <v>148522.8490204199</v>
      </c>
      <c r="D409">
        <v>3677</v>
      </c>
      <c r="E409" s="3">
        <f t="shared" si="24"/>
        <v>37.712106584480935</v>
      </c>
      <c r="F409" s="16">
        <f t="shared" si="25"/>
        <v>-9855.4331092835055</v>
      </c>
      <c r="G409" s="23">
        <f t="shared" si="26"/>
        <v>-7.1072450903673423E-2</v>
      </c>
      <c r="H409" s="3">
        <f t="shared" si="27"/>
        <v>-2.6802918436996208</v>
      </c>
    </row>
    <row r="410" spans="1:8" x14ac:dyDescent="0.3">
      <c r="A410" s="2">
        <v>42046</v>
      </c>
      <c r="B410" s="3">
        <v>162162.103518324</v>
      </c>
      <c r="C410" s="3">
        <v>173661.82783508641</v>
      </c>
      <c r="D410">
        <v>4299</v>
      </c>
      <c r="E410" s="3">
        <f t="shared" si="24"/>
        <v>37.720889397144454</v>
      </c>
      <c r="F410" s="16">
        <f t="shared" si="25"/>
        <v>-11499.724316762411</v>
      </c>
      <c r="G410" s="23">
        <f t="shared" si="26"/>
        <v>-7.091499226552006E-2</v>
      </c>
      <c r="H410" s="3">
        <f t="shared" si="27"/>
        <v>-2.6749765798470366</v>
      </c>
    </row>
    <row r="411" spans="1:8" x14ac:dyDescent="0.3">
      <c r="A411" s="2">
        <v>42047</v>
      </c>
      <c r="B411" s="3">
        <v>138520.1268039264</v>
      </c>
      <c r="C411" s="3">
        <v>147756.34279381519</v>
      </c>
      <c r="D411">
        <v>3674</v>
      </c>
      <c r="E411" s="3">
        <f t="shared" si="24"/>
        <v>37.702810779511815</v>
      </c>
      <c r="F411" s="16">
        <f t="shared" si="25"/>
        <v>-9236.2159898887912</v>
      </c>
      <c r="G411" s="23">
        <f t="shared" si="26"/>
        <v>-6.6677790462627465E-2</v>
      </c>
      <c r="H411" s="3">
        <f t="shared" si="27"/>
        <v>-2.513940117008381</v>
      </c>
    </row>
    <row r="412" spans="1:8" x14ac:dyDescent="0.3">
      <c r="A412" s="2">
        <v>42048</v>
      </c>
      <c r="B412" s="3">
        <v>358597.42850915849</v>
      </c>
      <c r="C412" s="3">
        <v>382447.08041708497</v>
      </c>
      <c r="D412">
        <v>9505</v>
      </c>
      <c r="E412" s="3">
        <f t="shared" si="24"/>
        <v>37.727241295019304</v>
      </c>
      <c r="F412" s="16">
        <f t="shared" si="25"/>
        <v>-23849.651907926484</v>
      </c>
      <c r="G412" s="23">
        <f t="shared" si="26"/>
        <v>-6.6508150956574322E-2</v>
      </c>
      <c r="H412" s="3">
        <f t="shared" si="27"/>
        <v>-2.5091690592242486</v>
      </c>
    </row>
    <row r="413" spans="1:8" x14ac:dyDescent="0.3">
      <c r="A413" s="2">
        <v>42049</v>
      </c>
      <c r="B413" s="3">
        <v>424009.8825170612</v>
      </c>
      <c r="C413" s="3">
        <v>451548.0275596244</v>
      </c>
      <c r="D413">
        <v>11237</v>
      </c>
      <c r="E413" s="3">
        <f t="shared" si="24"/>
        <v>37.733370340576769</v>
      </c>
      <c r="F413" s="16">
        <f t="shared" si="25"/>
        <v>-27538.145042563207</v>
      </c>
      <c r="G413" s="23">
        <f t="shared" si="26"/>
        <v>-6.494694151723017E-2</v>
      </c>
      <c r="H413" s="3">
        <f t="shared" si="27"/>
        <v>-2.4506669967574268</v>
      </c>
    </row>
    <row r="414" spans="1:8" x14ac:dyDescent="0.3">
      <c r="A414" s="2">
        <v>42050</v>
      </c>
      <c r="B414" s="3">
        <v>203861.47237812541</v>
      </c>
      <c r="C414" s="3">
        <v>217065.61516082729</v>
      </c>
      <c r="D414">
        <v>5406</v>
      </c>
      <c r="E414" s="3">
        <f t="shared" si="24"/>
        <v>37.710224265284019</v>
      </c>
      <c r="F414" s="16">
        <f t="shared" si="25"/>
        <v>-13204.142782701878</v>
      </c>
      <c r="G414" s="23">
        <f t="shared" si="26"/>
        <v>-6.4770172748534999E-2</v>
      </c>
      <c r="H414" s="3">
        <f t="shared" si="27"/>
        <v>-2.442497740048442</v>
      </c>
    </row>
    <row r="415" spans="1:8" x14ac:dyDescent="0.3">
      <c r="A415" s="2">
        <v>42051</v>
      </c>
      <c r="B415" s="3">
        <v>220506.20933281549</v>
      </c>
      <c r="C415" s="3">
        <v>234723.22004532229</v>
      </c>
      <c r="D415">
        <v>5846</v>
      </c>
      <c r="E415" s="3">
        <f t="shared" si="24"/>
        <v>37.719159995349898</v>
      </c>
      <c r="F415" s="16">
        <f t="shared" si="25"/>
        <v>-14217.010712506803</v>
      </c>
      <c r="G415" s="23">
        <f t="shared" si="26"/>
        <v>-6.4474423443780293E-2</v>
      </c>
      <c r="H415" s="3">
        <f t="shared" si="27"/>
        <v>-2.4319210934838869</v>
      </c>
    </row>
    <row r="416" spans="1:8" x14ac:dyDescent="0.3">
      <c r="A416" s="2">
        <v>42052</v>
      </c>
      <c r="B416" s="3">
        <v>139935.9369763452</v>
      </c>
      <c r="C416" s="3">
        <v>148697.54369598959</v>
      </c>
      <c r="D416">
        <v>3713</v>
      </c>
      <c r="E416" s="3">
        <f t="shared" si="24"/>
        <v>37.688105837959924</v>
      </c>
      <c r="F416" s="16">
        <f t="shared" si="25"/>
        <v>-8761.606719644391</v>
      </c>
      <c r="G416" s="23">
        <f t="shared" si="26"/>
        <v>-6.2611555751582629E-2</v>
      </c>
      <c r="H416" s="3">
        <f t="shared" si="27"/>
        <v>-2.3597109398449745</v>
      </c>
    </row>
    <row r="417" spans="1:8" x14ac:dyDescent="0.3">
      <c r="A417" s="2">
        <v>42053</v>
      </c>
      <c r="B417" s="3">
        <v>161064.75234488389</v>
      </c>
      <c r="C417" s="3">
        <v>170739.36662316829</v>
      </c>
      <c r="D417">
        <v>4270</v>
      </c>
      <c r="E417" s="3">
        <f t="shared" si="24"/>
        <v>37.720082516366254</v>
      </c>
      <c r="F417" s="16">
        <f t="shared" si="25"/>
        <v>-9674.6142782843963</v>
      </c>
      <c r="G417" s="23">
        <f t="shared" si="26"/>
        <v>-6.0066613814848756E-2</v>
      </c>
      <c r="H417" s="3">
        <f t="shared" si="27"/>
        <v>-2.2657176295748003</v>
      </c>
    </row>
    <row r="418" spans="1:8" x14ac:dyDescent="0.3">
      <c r="A418" s="2">
        <v>42054</v>
      </c>
      <c r="B418" s="3">
        <v>144328.54518998519</v>
      </c>
      <c r="C418" s="3">
        <v>152824.1148984046</v>
      </c>
      <c r="D418">
        <v>3827</v>
      </c>
      <c r="E418" s="3">
        <f t="shared" si="24"/>
        <v>37.713233652988031</v>
      </c>
      <c r="F418" s="16">
        <f t="shared" si="25"/>
        <v>-8495.5697084194107</v>
      </c>
      <c r="G418" s="23">
        <f t="shared" si="26"/>
        <v>-5.8862712828126738E-2</v>
      </c>
      <c r="H418" s="3">
        <f t="shared" si="27"/>
        <v>-2.2199032423358793</v>
      </c>
    </row>
    <row r="419" spans="1:8" x14ac:dyDescent="0.3">
      <c r="A419" s="2">
        <v>42055</v>
      </c>
      <c r="B419" s="3">
        <v>293071.75919640332</v>
      </c>
      <c r="C419" s="3">
        <v>310240.37839534058</v>
      </c>
      <c r="D419">
        <v>7770</v>
      </c>
      <c r="E419" s="3">
        <f t="shared" si="24"/>
        <v>37.718373126950233</v>
      </c>
      <c r="F419" s="16">
        <f t="shared" si="25"/>
        <v>-17168.61919893726</v>
      </c>
      <c r="G419" s="23">
        <f t="shared" si="26"/>
        <v>-5.8581622623801274E-2</v>
      </c>
      <c r="H419" s="3">
        <f t="shared" si="27"/>
        <v>-2.2096035005067258</v>
      </c>
    </row>
    <row r="420" spans="1:8" x14ac:dyDescent="0.3">
      <c r="A420" s="2">
        <v>42056</v>
      </c>
      <c r="B420" s="3">
        <v>267782.15396190819</v>
      </c>
      <c r="C420" s="3">
        <v>283430.33683376323</v>
      </c>
      <c r="D420">
        <v>7102</v>
      </c>
      <c r="E420" s="3">
        <f t="shared" si="24"/>
        <v>37.705175156562682</v>
      </c>
      <c r="F420" s="16">
        <f t="shared" si="25"/>
        <v>-15648.182871855039</v>
      </c>
      <c r="G420" s="23">
        <f t="shared" si="26"/>
        <v>-5.8436242446839759E-2</v>
      </c>
      <c r="H420" s="3">
        <f t="shared" si="27"/>
        <v>-2.2033487569494561</v>
      </c>
    </row>
    <row r="421" spans="1:8" x14ac:dyDescent="0.3">
      <c r="A421" s="2">
        <v>42057</v>
      </c>
      <c r="B421" s="3">
        <v>136052.68842362519</v>
      </c>
      <c r="C421" s="3">
        <v>144020.1227597401</v>
      </c>
      <c r="D421">
        <v>3608</v>
      </c>
      <c r="E421" s="3">
        <f t="shared" si="24"/>
        <v>37.708616525395009</v>
      </c>
      <c r="F421" s="16">
        <f t="shared" si="25"/>
        <v>-7967.4343361149076</v>
      </c>
      <c r="G421" s="23">
        <f t="shared" si="26"/>
        <v>-5.856138844759045E-2</v>
      </c>
      <c r="H421" s="3">
        <f t="shared" si="27"/>
        <v>-2.2082689401648858</v>
      </c>
    </row>
    <row r="422" spans="1:8" x14ac:dyDescent="0.3">
      <c r="A422" s="2">
        <v>42058</v>
      </c>
      <c r="B422" s="3">
        <v>86703.314090379165</v>
      </c>
      <c r="C422" s="3">
        <v>85730.966539282686</v>
      </c>
      <c r="D422">
        <v>2150</v>
      </c>
      <c r="E422" s="3">
        <f t="shared" si="24"/>
        <v>40.327122832734496</v>
      </c>
      <c r="F422" s="16">
        <f t="shared" si="25"/>
        <v>972.34755109647813</v>
      </c>
      <c r="G422" s="23">
        <f t="shared" si="26"/>
        <v>1.1214652649642748E-2</v>
      </c>
      <c r="H422" s="3">
        <f t="shared" si="27"/>
        <v>0.4522546749285945</v>
      </c>
    </row>
    <row r="423" spans="1:8" x14ac:dyDescent="0.3">
      <c r="A423" s="2">
        <v>42059</v>
      </c>
      <c r="B423" s="3">
        <v>95474.357369099642</v>
      </c>
      <c r="C423" s="3">
        <v>100867.5240607559</v>
      </c>
      <c r="D423">
        <v>2530</v>
      </c>
      <c r="E423" s="3">
        <f t="shared" si="24"/>
        <v>37.736900145889187</v>
      </c>
      <c r="F423" s="16">
        <f t="shared" si="25"/>
        <v>-5393.1666916562535</v>
      </c>
      <c r="G423" s="23">
        <f t="shared" si="26"/>
        <v>-5.6488117231378782E-2</v>
      </c>
      <c r="H423" s="3">
        <f t="shared" si="27"/>
        <v>-2.1316864393898234</v>
      </c>
    </row>
    <row r="424" spans="1:8" x14ac:dyDescent="0.3">
      <c r="A424" s="2">
        <v>42060</v>
      </c>
      <c r="B424" s="3">
        <v>198431.62752698149</v>
      </c>
      <c r="C424" s="3">
        <v>209499.79410912099</v>
      </c>
      <c r="D424">
        <v>5253</v>
      </c>
      <c r="E424" s="3">
        <f t="shared" si="24"/>
        <v>37.774914815720827</v>
      </c>
      <c r="F424" s="16">
        <f t="shared" si="25"/>
        <v>-11068.1665821395</v>
      </c>
      <c r="G424" s="23">
        <f t="shared" si="26"/>
        <v>-5.5778238177452429E-2</v>
      </c>
      <c r="H424" s="3">
        <f t="shared" si="27"/>
        <v>-2.1070181957242529</v>
      </c>
    </row>
    <row r="425" spans="1:8" x14ac:dyDescent="0.3">
      <c r="A425" s="2">
        <v>42061</v>
      </c>
      <c r="B425" s="3">
        <v>157291.73399894519</v>
      </c>
      <c r="C425" s="3">
        <v>166305.03762747039</v>
      </c>
      <c r="D425">
        <v>4171</v>
      </c>
      <c r="E425" s="3">
        <f t="shared" si="24"/>
        <v>37.71079693093867</v>
      </c>
      <c r="F425" s="16">
        <f t="shared" si="25"/>
        <v>-9013.3036285252019</v>
      </c>
      <c r="G425" s="23">
        <f t="shared" si="26"/>
        <v>-5.7303097876622341E-2</v>
      </c>
      <c r="H425" s="3">
        <f t="shared" si="27"/>
        <v>-2.1609454875390077</v>
      </c>
    </row>
    <row r="426" spans="1:8" x14ac:dyDescent="0.3">
      <c r="A426" s="2">
        <v>42062</v>
      </c>
      <c r="B426" s="3">
        <v>307540.67515623698</v>
      </c>
      <c r="C426" s="3">
        <v>324997.33647802821</v>
      </c>
      <c r="D426">
        <v>8156</v>
      </c>
      <c r="E426" s="3">
        <f t="shared" si="24"/>
        <v>37.707292196694084</v>
      </c>
      <c r="F426" s="16">
        <f t="shared" si="25"/>
        <v>-17456.661321791238</v>
      </c>
      <c r="G426" s="23">
        <f t="shared" si="26"/>
        <v>-5.676212199548205E-2</v>
      </c>
      <c r="H426" s="3">
        <f t="shared" si="27"/>
        <v>-2.1403459197880381</v>
      </c>
    </row>
    <row r="427" spans="1:8" x14ac:dyDescent="0.3">
      <c r="A427" s="2">
        <v>42063</v>
      </c>
      <c r="B427" s="3">
        <v>350898.76351026969</v>
      </c>
      <c r="C427" s="3">
        <v>375030.63545205921</v>
      </c>
      <c r="D427">
        <v>9296</v>
      </c>
      <c r="E427" s="3">
        <f t="shared" si="24"/>
        <v>37.747285231311281</v>
      </c>
      <c r="F427" s="16">
        <f t="shared" si="25"/>
        <v>-24131.871941789519</v>
      </c>
      <c r="G427" s="23">
        <f t="shared" si="26"/>
        <v>-6.8771607230480467E-2</v>
      </c>
      <c r="H427" s="3">
        <f t="shared" si="27"/>
        <v>-2.5959414739446558</v>
      </c>
    </row>
    <row r="428" spans="1:8" x14ac:dyDescent="0.3">
      <c r="A428" s="2">
        <v>42064</v>
      </c>
      <c r="B428" s="3">
        <v>256701.54273334061</v>
      </c>
      <c r="C428" s="3">
        <v>276569.25039235951</v>
      </c>
      <c r="D428">
        <v>6803</v>
      </c>
      <c r="E428" s="3">
        <f t="shared" si="24"/>
        <v>37.733579705033165</v>
      </c>
      <c r="F428" s="16">
        <f t="shared" si="25"/>
        <v>-19867.707659018895</v>
      </c>
      <c r="G428" s="23">
        <f t="shared" si="26"/>
        <v>-7.7396136569608781E-2</v>
      </c>
      <c r="H428" s="3">
        <f t="shared" si="27"/>
        <v>-2.9204332881109649</v>
      </c>
    </row>
    <row r="429" spans="1:8" x14ac:dyDescent="0.3">
      <c r="A429" s="2">
        <v>42065</v>
      </c>
      <c r="B429" s="3">
        <v>234705.592779103</v>
      </c>
      <c r="C429" s="3">
        <v>252709.82306975979</v>
      </c>
      <c r="D429">
        <v>6221</v>
      </c>
      <c r="E429" s="3">
        <f t="shared" si="24"/>
        <v>37.727952544462788</v>
      </c>
      <c r="F429" s="16">
        <f t="shared" si="25"/>
        <v>-18004.230290656793</v>
      </c>
      <c r="G429" s="23">
        <f t="shared" si="26"/>
        <v>-7.6709847760644406E-2</v>
      </c>
      <c r="H429" s="3">
        <f t="shared" si="27"/>
        <v>-2.8941054960065573</v>
      </c>
    </row>
    <row r="430" spans="1:8" x14ac:dyDescent="0.3">
      <c r="A430" s="2">
        <v>42066</v>
      </c>
      <c r="B430" s="3">
        <v>249380.5654475792</v>
      </c>
      <c r="C430" s="3">
        <v>268761.83235694439</v>
      </c>
      <c r="D430">
        <v>6611</v>
      </c>
      <c r="E430" s="3">
        <f t="shared" si="24"/>
        <v>37.722064051970833</v>
      </c>
      <c r="F430" s="16">
        <f t="shared" si="25"/>
        <v>-19381.266909365193</v>
      </c>
      <c r="G430" s="23">
        <f t="shared" si="26"/>
        <v>-7.7717631582799554E-2</v>
      </c>
      <c r="H430" s="3">
        <f t="shared" si="27"/>
        <v>-2.9316694765338367</v>
      </c>
    </row>
    <row r="431" spans="1:8" x14ac:dyDescent="0.3">
      <c r="A431" s="2">
        <v>42067</v>
      </c>
      <c r="B431" s="3">
        <v>258211.44416769789</v>
      </c>
      <c r="C431" s="3">
        <v>278825.60667853651</v>
      </c>
      <c r="D431">
        <v>6843</v>
      </c>
      <c r="E431" s="3">
        <f t="shared" si="24"/>
        <v>37.73366128418791</v>
      </c>
      <c r="F431" s="16">
        <f t="shared" si="25"/>
        <v>-20614.162510838622</v>
      </c>
      <c r="G431" s="23">
        <f t="shared" si="26"/>
        <v>-7.9834426306258352E-2</v>
      </c>
      <c r="H431" s="3">
        <f t="shared" si="27"/>
        <v>-3.012445201057814</v>
      </c>
    </row>
    <row r="432" spans="1:8" x14ac:dyDescent="0.3">
      <c r="A432" s="2">
        <v>42068</v>
      </c>
      <c r="B432" s="3">
        <v>145975.83394282509</v>
      </c>
      <c r="C432" s="3">
        <v>157578.00586652799</v>
      </c>
      <c r="D432">
        <v>3858</v>
      </c>
      <c r="E432" s="3">
        <f t="shared" si="24"/>
        <v>37.837178315921484</v>
      </c>
      <c r="F432" s="16">
        <f t="shared" si="25"/>
        <v>-11602.171923702903</v>
      </c>
      <c r="G432" s="23">
        <f t="shared" si="26"/>
        <v>-7.9480086602876809E-2</v>
      </c>
      <c r="H432" s="3">
        <f t="shared" si="27"/>
        <v>-3.0073022093579325</v>
      </c>
    </row>
    <row r="433" spans="1:8" x14ac:dyDescent="0.3">
      <c r="A433" s="2">
        <v>42069</v>
      </c>
      <c r="B433" s="3">
        <v>269239.85258366819</v>
      </c>
      <c r="C433" s="3">
        <v>291365.01755439863</v>
      </c>
      <c r="D433">
        <v>7128</v>
      </c>
      <c r="E433" s="3">
        <f t="shared" si="24"/>
        <v>37.772145424195877</v>
      </c>
      <c r="F433" s="16">
        <f t="shared" si="25"/>
        <v>-22125.164970730431</v>
      </c>
      <c r="G433" s="23">
        <f t="shared" si="26"/>
        <v>-8.2176411695422683E-2</v>
      </c>
      <c r="H433" s="3">
        <f t="shared" si="27"/>
        <v>-3.1039793729980962</v>
      </c>
    </row>
    <row r="434" spans="1:8" x14ac:dyDescent="0.3">
      <c r="A434" s="2">
        <v>42070</v>
      </c>
      <c r="B434" s="3">
        <v>306920.21160129207</v>
      </c>
      <c r="C434" s="3">
        <v>332242.411551486</v>
      </c>
      <c r="D434">
        <v>8127</v>
      </c>
      <c r="E434" s="3">
        <f t="shared" si="24"/>
        <v>37.765499151137206</v>
      </c>
      <c r="F434" s="16">
        <f t="shared" si="25"/>
        <v>-25322.199950193928</v>
      </c>
      <c r="G434" s="23">
        <f t="shared" si="26"/>
        <v>-8.2504178587915866E-2</v>
      </c>
      <c r="H434" s="3">
        <f t="shared" si="27"/>
        <v>-3.1158114864272091</v>
      </c>
    </row>
    <row r="435" spans="1:8" x14ac:dyDescent="0.3">
      <c r="A435" s="2">
        <v>42071</v>
      </c>
      <c r="B435" s="3">
        <v>122106.7956223864</v>
      </c>
      <c r="C435" s="3">
        <v>121394.8122011722</v>
      </c>
      <c r="D435">
        <v>2966</v>
      </c>
      <c r="E435" s="3">
        <f t="shared" si="24"/>
        <v>41.168845455963051</v>
      </c>
      <c r="F435" s="16">
        <f t="shared" si="25"/>
        <v>711.98342121420137</v>
      </c>
      <c r="G435" s="23">
        <f t="shared" si="26"/>
        <v>5.8308255292850398E-3</v>
      </c>
      <c r="H435" s="3">
        <f t="shared" si="27"/>
        <v>0.24004835509581976</v>
      </c>
    </row>
    <row r="436" spans="1:8" x14ac:dyDescent="0.3">
      <c r="A436" s="2">
        <v>42072</v>
      </c>
      <c r="B436" s="3">
        <v>117661.2807925471</v>
      </c>
      <c r="C436" s="3">
        <v>116861.1582735515</v>
      </c>
      <c r="D436">
        <v>2858</v>
      </c>
      <c r="E436" s="3">
        <f t="shared" si="24"/>
        <v>41.169097548127048</v>
      </c>
      <c r="F436" s="16">
        <f t="shared" si="25"/>
        <v>800.12251899560215</v>
      </c>
      <c r="G436" s="23">
        <f t="shared" si="26"/>
        <v>6.8002193551362691E-3</v>
      </c>
      <c r="H436" s="3">
        <f t="shared" si="27"/>
        <v>0.27995889398026669</v>
      </c>
    </row>
    <row r="437" spans="1:8" x14ac:dyDescent="0.3">
      <c r="A437" s="2">
        <v>42073</v>
      </c>
      <c r="B437" s="3">
        <v>62499.799171560371</v>
      </c>
      <c r="C437" s="3">
        <v>62073.872654165207</v>
      </c>
      <c r="D437">
        <v>1518</v>
      </c>
      <c r="E437" s="3">
        <f t="shared" si="24"/>
        <v>41.172463222371789</v>
      </c>
      <c r="F437" s="16">
        <f t="shared" si="25"/>
        <v>425.92651739516441</v>
      </c>
      <c r="G437" s="23">
        <f t="shared" si="26"/>
        <v>6.8148461761614121E-3</v>
      </c>
      <c r="H437" s="3">
        <f t="shared" si="27"/>
        <v>0.28058400355412677</v>
      </c>
    </row>
    <row r="438" spans="1:8" x14ac:dyDescent="0.3">
      <c r="A438" s="2">
        <v>42074</v>
      </c>
      <c r="B438" s="3">
        <v>57063.98412427037</v>
      </c>
      <c r="C438" s="3">
        <v>56638.281370608107</v>
      </c>
      <c r="D438">
        <v>1386</v>
      </c>
      <c r="E438" s="3">
        <f t="shared" si="24"/>
        <v>41.171705717366791</v>
      </c>
      <c r="F438" s="16">
        <f t="shared" si="25"/>
        <v>425.70275366226269</v>
      </c>
      <c r="G438" s="23">
        <f t="shared" si="26"/>
        <v>7.4600951930589689E-3</v>
      </c>
      <c r="H438" s="3">
        <f t="shared" si="27"/>
        <v>0.30714484391216645</v>
      </c>
    </row>
    <row r="439" spans="1:8" x14ac:dyDescent="0.3">
      <c r="A439" s="2">
        <v>42075</v>
      </c>
      <c r="B439" s="3">
        <v>48008.482841660247</v>
      </c>
      <c r="C439" s="3">
        <v>47681.672078871583</v>
      </c>
      <c r="D439">
        <v>1166</v>
      </c>
      <c r="E439" s="3">
        <f t="shared" si="24"/>
        <v>41.173655953396441</v>
      </c>
      <c r="F439" s="16">
        <f t="shared" si="25"/>
        <v>326.81076278866385</v>
      </c>
      <c r="G439" s="23">
        <f t="shared" si="26"/>
        <v>6.8073545224609303E-3</v>
      </c>
      <c r="H439" s="3">
        <f t="shared" si="27"/>
        <v>0.28028367306060364</v>
      </c>
    </row>
    <row r="440" spans="1:8" x14ac:dyDescent="0.3">
      <c r="A440" s="2">
        <v>42076</v>
      </c>
      <c r="B440" s="3">
        <v>117446.83911330831</v>
      </c>
      <c r="C440" s="3">
        <v>116681.1415516587</v>
      </c>
      <c r="D440">
        <v>2853</v>
      </c>
      <c r="E440" s="3">
        <f t="shared" si="24"/>
        <v>41.166084512200598</v>
      </c>
      <c r="F440" s="16">
        <f t="shared" si="25"/>
        <v>765.69756164960563</v>
      </c>
      <c r="G440" s="23">
        <f t="shared" si="26"/>
        <v>6.5195246413646719E-3</v>
      </c>
      <c r="H440" s="3">
        <f t="shared" si="27"/>
        <v>0.26838330236579239</v>
      </c>
    </row>
    <row r="441" spans="1:8" x14ac:dyDescent="0.3">
      <c r="A441" s="2">
        <v>42077</v>
      </c>
      <c r="B441" s="3">
        <v>150591.5479008352</v>
      </c>
      <c r="C441" s="3">
        <v>149573.8275926896</v>
      </c>
      <c r="D441">
        <v>3657</v>
      </c>
      <c r="E441" s="3">
        <f t="shared" si="24"/>
        <v>41.178984933233579</v>
      </c>
      <c r="F441" s="16">
        <f t="shared" si="25"/>
        <v>1017.7203081455955</v>
      </c>
      <c r="G441" s="23">
        <f t="shared" si="26"/>
        <v>6.7581502569836532E-3</v>
      </c>
      <c r="H441" s="3">
        <f t="shared" si="27"/>
        <v>0.27829376760885849</v>
      </c>
    </row>
    <row r="442" spans="1:8" x14ac:dyDescent="0.3">
      <c r="A442" s="2">
        <v>42078</v>
      </c>
      <c r="B442" s="3">
        <v>67152.474953640369</v>
      </c>
      <c r="C442" s="3">
        <v>66802.983217839879</v>
      </c>
      <c r="D442">
        <v>1631</v>
      </c>
      <c r="E442" s="3">
        <f t="shared" si="24"/>
        <v>41.172578144476006</v>
      </c>
      <c r="F442" s="16">
        <f t="shared" si="25"/>
        <v>349.49173580048955</v>
      </c>
      <c r="G442" s="23">
        <f t="shared" si="26"/>
        <v>5.204450558847845E-3</v>
      </c>
      <c r="H442" s="3">
        <f t="shared" si="27"/>
        <v>0.21428064733322474</v>
      </c>
    </row>
    <row r="443" spans="1:8" x14ac:dyDescent="0.3">
      <c r="A443" s="2">
        <v>42079</v>
      </c>
      <c r="B443" s="3">
        <v>80635.289248590489</v>
      </c>
      <c r="C443" s="3">
        <v>80121.290522541603</v>
      </c>
      <c r="D443">
        <v>1959</v>
      </c>
      <c r="E443" s="3">
        <f t="shared" si="24"/>
        <v>41.16145444032184</v>
      </c>
      <c r="F443" s="16">
        <f t="shared" si="25"/>
        <v>513.99872604888515</v>
      </c>
      <c r="G443" s="23">
        <f t="shared" si="26"/>
        <v>6.3743645101126721E-3</v>
      </c>
      <c r="H443" s="3">
        <f t="shared" si="27"/>
        <v>0.26237811436900721</v>
      </c>
    </row>
    <row r="444" spans="1:8" x14ac:dyDescent="0.3">
      <c r="A444" s="2">
        <v>42080</v>
      </c>
      <c r="B444" s="3">
        <v>50669.637098340369</v>
      </c>
      <c r="C444" s="3">
        <v>50308.957054208033</v>
      </c>
      <c r="D444">
        <v>1230</v>
      </c>
      <c r="E444" s="3">
        <f t="shared" si="24"/>
        <v>41.194826909219813</v>
      </c>
      <c r="F444" s="16">
        <f t="shared" si="25"/>
        <v>360.68004413233575</v>
      </c>
      <c r="G444" s="23">
        <f t="shared" si="26"/>
        <v>7.1182677592958217E-3</v>
      </c>
      <c r="H444" s="3">
        <f t="shared" si="27"/>
        <v>0.29323580823767137</v>
      </c>
    </row>
    <row r="445" spans="1:8" x14ac:dyDescent="0.3">
      <c r="A445" s="2">
        <v>42081</v>
      </c>
      <c r="B445" s="3">
        <v>48648.992664940248</v>
      </c>
      <c r="C445" s="3">
        <v>48362.068791947771</v>
      </c>
      <c r="D445">
        <v>1182</v>
      </c>
      <c r="E445" s="3">
        <f t="shared" si="24"/>
        <v>41.158200224145723</v>
      </c>
      <c r="F445" s="16">
        <f t="shared" si="25"/>
        <v>286.92387299247639</v>
      </c>
      <c r="G445" s="23">
        <f t="shared" si="26"/>
        <v>5.8978379052697866E-3</v>
      </c>
      <c r="H445" s="3">
        <f t="shared" si="27"/>
        <v>0.24274439339465007</v>
      </c>
    </row>
    <row r="446" spans="1:8" x14ac:dyDescent="0.3">
      <c r="A446" s="2">
        <v>42082</v>
      </c>
      <c r="B446" s="3">
        <v>43213.177617650254</v>
      </c>
      <c r="C446" s="3">
        <v>42981.216847754557</v>
      </c>
      <c r="D446">
        <v>1050</v>
      </c>
      <c r="E446" s="3">
        <f t="shared" si="24"/>
        <v>41.155407254905001</v>
      </c>
      <c r="F446" s="16">
        <f t="shared" si="25"/>
        <v>231.96076989569701</v>
      </c>
      <c r="G446" s="23">
        <f t="shared" si="26"/>
        <v>5.3678248785146857E-3</v>
      </c>
      <c r="H446" s="3">
        <f t="shared" si="27"/>
        <v>0.22091501894828286</v>
      </c>
    </row>
    <row r="447" spans="1:8" x14ac:dyDescent="0.3">
      <c r="A447" s="2">
        <v>42083</v>
      </c>
      <c r="B447" s="3">
        <v>96881.018094589395</v>
      </c>
      <c r="C447" s="3">
        <v>96453.287284883205</v>
      </c>
      <c r="D447">
        <v>2353</v>
      </c>
      <c r="E447" s="3">
        <f t="shared" si="24"/>
        <v>41.173403355116612</v>
      </c>
      <c r="F447" s="16">
        <f t="shared" si="25"/>
        <v>427.73080970619048</v>
      </c>
      <c r="G447" s="23">
        <f t="shared" si="26"/>
        <v>4.4150115070898327E-3</v>
      </c>
      <c r="H447" s="3">
        <f t="shared" si="27"/>
        <v>0.18178104959889099</v>
      </c>
    </row>
    <row r="448" spans="1:8" x14ac:dyDescent="0.3">
      <c r="A448" s="2">
        <v>42084</v>
      </c>
      <c r="B448" s="3">
        <v>121360.8851412364</v>
      </c>
      <c r="C448" s="3">
        <v>120829.2879710704</v>
      </c>
      <c r="D448">
        <v>2947</v>
      </c>
      <c r="E448" s="3">
        <f t="shared" si="24"/>
        <v>41.18116224677177</v>
      </c>
      <c r="F448" s="16">
        <f t="shared" si="25"/>
        <v>531.59717016600189</v>
      </c>
      <c r="G448" s="23">
        <f t="shared" si="26"/>
        <v>4.3803007002408065E-3</v>
      </c>
      <c r="H448" s="3">
        <f t="shared" si="27"/>
        <v>0.18038587382626464</v>
      </c>
    </row>
    <row r="449" spans="1:8" x14ac:dyDescent="0.3">
      <c r="A449" s="2">
        <v>42085</v>
      </c>
      <c r="B449" s="3">
        <v>66954.366371970376</v>
      </c>
      <c r="C449" s="3">
        <v>66756.376443642119</v>
      </c>
      <c r="D449">
        <v>1626</v>
      </c>
      <c r="E449" s="3">
        <f t="shared" si="24"/>
        <v>41.177347092232701</v>
      </c>
      <c r="F449" s="16">
        <f t="shared" si="25"/>
        <v>197.98992832825752</v>
      </c>
      <c r="G449" s="23">
        <f t="shared" si="26"/>
        <v>2.9570876263440163E-3</v>
      </c>
      <c r="H449" s="3">
        <f t="shared" si="27"/>
        <v>0.12176502357211409</v>
      </c>
    </row>
    <row r="450" spans="1:8" x14ac:dyDescent="0.3">
      <c r="A450" s="2">
        <v>42086</v>
      </c>
      <c r="B450" s="3">
        <v>81342.150763930375</v>
      </c>
      <c r="C450" s="3">
        <v>81132.012897235923</v>
      </c>
      <c r="D450">
        <v>1976</v>
      </c>
      <c r="E450" s="3">
        <f t="shared" ref="E450:E513" si="28">B450/D450</f>
        <v>41.165056054620635</v>
      </c>
      <c r="F450" s="16">
        <f t="shared" ref="F450:F513" si="29">B450-C450</f>
        <v>210.13786669445108</v>
      </c>
      <c r="G450" s="23">
        <f t="shared" ref="G450:G513" si="30">F450/B450</f>
        <v>2.583382228290338E-3</v>
      </c>
      <c r="H450" s="3">
        <f t="shared" ref="H450:H513" si="31">F450/D450</f>
        <v>0.10634507423808252</v>
      </c>
    </row>
    <row r="451" spans="1:8" x14ac:dyDescent="0.3">
      <c r="A451" s="2">
        <v>42087</v>
      </c>
      <c r="B451" s="3">
        <v>125060.7079117364</v>
      </c>
      <c r="C451" s="3">
        <v>136375.1527135167</v>
      </c>
      <c r="D451">
        <v>3312</v>
      </c>
      <c r="E451" s="3">
        <f t="shared" si="28"/>
        <v>37.759875577215098</v>
      </c>
      <c r="F451" s="16">
        <f t="shared" si="29"/>
        <v>-11314.444801780293</v>
      </c>
      <c r="G451" s="23">
        <f t="shared" si="30"/>
        <v>-9.0471619669430015E-2</v>
      </c>
      <c r="H451" s="3">
        <f t="shared" si="31"/>
        <v>-3.4161971019868034</v>
      </c>
    </row>
    <row r="452" spans="1:8" x14ac:dyDescent="0.3">
      <c r="A452" s="2">
        <v>42088</v>
      </c>
      <c r="B452" s="3">
        <v>253218.83124198421</v>
      </c>
      <c r="C452" s="3">
        <v>276194.82948404271</v>
      </c>
      <c r="D452">
        <v>6704</v>
      </c>
      <c r="E452" s="3">
        <f t="shared" si="28"/>
        <v>37.771305376190959</v>
      </c>
      <c r="F452" s="16">
        <f t="shared" si="29"/>
        <v>-22975.9982420585</v>
      </c>
      <c r="G452" s="23">
        <f t="shared" si="30"/>
        <v>-9.0735740818983099E-2</v>
      </c>
      <c r="H452" s="3">
        <f t="shared" si="31"/>
        <v>-3.427207375008726</v>
      </c>
    </row>
    <row r="453" spans="1:8" x14ac:dyDescent="0.3">
      <c r="A453" s="2">
        <v>42089</v>
      </c>
      <c r="B453" s="3">
        <v>229184.47188046671</v>
      </c>
      <c r="C453" s="3">
        <v>250361.15020932569</v>
      </c>
      <c r="D453">
        <v>6077</v>
      </c>
      <c r="E453" s="3">
        <f t="shared" si="28"/>
        <v>37.713423050924256</v>
      </c>
      <c r="F453" s="16">
        <f t="shared" si="29"/>
        <v>-21176.67832885898</v>
      </c>
      <c r="G453" s="23">
        <f t="shared" si="30"/>
        <v>-9.2400144543404644E-2</v>
      </c>
      <c r="H453" s="3">
        <f t="shared" si="31"/>
        <v>-3.4847257411319696</v>
      </c>
    </row>
    <row r="454" spans="1:8" x14ac:dyDescent="0.3">
      <c r="A454" s="2">
        <v>42090</v>
      </c>
      <c r="B454" s="3">
        <v>354191.35095056967</v>
      </c>
      <c r="C454" s="3">
        <v>386464.65132698609</v>
      </c>
      <c r="D454">
        <v>9386</v>
      </c>
      <c r="E454" s="3">
        <f t="shared" si="28"/>
        <v>37.736133704514138</v>
      </c>
      <c r="F454" s="16">
        <f t="shared" si="29"/>
        <v>-32273.300376416417</v>
      </c>
      <c r="G454" s="23">
        <f t="shared" si="30"/>
        <v>-9.1118262176086914E-2</v>
      </c>
      <c r="H454" s="3">
        <f t="shared" si="31"/>
        <v>-3.4384509243997887</v>
      </c>
    </row>
    <row r="455" spans="1:8" x14ac:dyDescent="0.3">
      <c r="A455" s="2">
        <v>42091</v>
      </c>
      <c r="B455" s="3">
        <v>459484.66663548641</v>
      </c>
      <c r="C455" s="3">
        <v>501362.57249034831</v>
      </c>
      <c r="D455">
        <v>12181</v>
      </c>
      <c r="E455" s="3">
        <f t="shared" si="28"/>
        <v>37.721424073186633</v>
      </c>
      <c r="F455" s="16">
        <f t="shared" si="29"/>
        <v>-41877.905854861892</v>
      </c>
      <c r="G455" s="23">
        <f t="shared" si="30"/>
        <v>-9.1141030149073585E-2</v>
      </c>
      <c r="H455" s="3">
        <f t="shared" si="31"/>
        <v>-3.4379694487202932</v>
      </c>
    </row>
    <row r="456" spans="1:8" x14ac:dyDescent="0.3">
      <c r="A456" s="2">
        <v>42092</v>
      </c>
      <c r="B456" s="3">
        <v>224102.88847081421</v>
      </c>
      <c r="C456" s="3">
        <v>244359.80746223289</v>
      </c>
      <c r="D456">
        <v>5937</v>
      </c>
      <c r="E456" s="3">
        <f t="shared" si="28"/>
        <v>37.746823053867985</v>
      </c>
      <c r="F456" s="16">
        <f t="shared" si="29"/>
        <v>-20256.918991418672</v>
      </c>
      <c r="G456" s="23">
        <f t="shared" si="30"/>
        <v>-9.0391155284269387E-2</v>
      </c>
      <c r="H456" s="3">
        <f t="shared" si="31"/>
        <v>-3.4119789441500203</v>
      </c>
    </row>
    <row r="457" spans="1:8" x14ac:dyDescent="0.3">
      <c r="A457" s="2">
        <v>42093</v>
      </c>
      <c r="B457" s="3">
        <v>215203.5587823579</v>
      </c>
      <c r="C457" s="3">
        <v>234819.44742668921</v>
      </c>
      <c r="D457">
        <v>5706</v>
      </c>
      <c r="E457" s="3">
        <f t="shared" si="28"/>
        <v>37.715309986392903</v>
      </c>
      <c r="F457" s="16">
        <f t="shared" si="29"/>
        <v>-19615.888644331309</v>
      </c>
      <c r="G457" s="23">
        <f t="shared" si="30"/>
        <v>-9.1150391542406936E-2</v>
      </c>
      <c r="H457" s="3">
        <f t="shared" si="31"/>
        <v>-3.4377652724029635</v>
      </c>
    </row>
    <row r="458" spans="1:8" x14ac:dyDescent="0.3">
      <c r="A458" s="2">
        <v>42094</v>
      </c>
      <c r="B458" s="3">
        <v>355534.91204206698</v>
      </c>
      <c r="C458" s="3">
        <v>386988.91474848392</v>
      </c>
      <c r="D458">
        <v>9421</v>
      </c>
      <c r="E458" s="3">
        <f t="shared" si="28"/>
        <v>37.738553448897882</v>
      </c>
      <c r="F458" s="16">
        <f t="shared" si="29"/>
        <v>-31454.002706416941</v>
      </c>
      <c r="G458" s="23">
        <f t="shared" si="30"/>
        <v>-8.8469519141611885E-2</v>
      </c>
      <c r="H458" s="3">
        <f t="shared" si="31"/>
        <v>-3.3387116767240146</v>
      </c>
    </row>
    <row r="459" spans="1:8" x14ac:dyDescent="0.3">
      <c r="A459" s="2">
        <v>42095</v>
      </c>
      <c r="B459" s="3">
        <v>498894.34393015638</v>
      </c>
      <c r="C459" s="3">
        <v>542483.83580550889</v>
      </c>
      <c r="D459">
        <v>13207</v>
      </c>
      <c r="E459" s="3">
        <f t="shared" si="28"/>
        <v>37.774993861600393</v>
      </c>
      <c r="F459" s="16">
        <f t="shared" si="29"/>
        <v>-43589.491875352513</v>
      </c>
      <c r="G459" s="23">
        <f t="shared" si="30"/>
        <v>-8.7372190937195518E-2</v>
      </c>
      <c r="H459" s="3">
        <f t="shared" si="31"/>
        <v>-3.3004839763271381</v>
      </c>
    </row>
    <row r="460" spans="1:8" x14ac:dyDescent="0.3">
      <c r="A460" s="2">
        <v>42096</v>
      </c>
      <c r="B460" s="3">
        <v>715032.18987024296</v>
      </c>
      <c r="C460" s="3">
        <v>777522.19275101577</v>
      </c>
      <c r="D460">
        <v>18936</v>
      </c>
      <c r="E460" s="3">
        <f t="shared" si="28"/>
        <v>37.760466300709915</v>
      </c>
      <c r="F460" s="16">
        <f t="shared" si="29"/>
        <v>-62490.002880772809</v>
      </c>
      <c r="G460" s="23">
        <f t="shared" si="30"/>
        <v>-8.7394670849871639E-2</v>
      </c>
      <c r="H460" s="3">
        <f t="shared" si="31"/>
        <v>-3.3000635234882134</v>
      </c>
    </row>
    <row r="461" spans="1:8" x14ac:dyDescent="0.3">
      <c r="A461" s="2">
        <v>42097</v>
      </c>
      <c r="B461" s="3">
        <v>510289.21560512908</v>
      </c>
      <c r="C461" s="3">
        <v>554159.81941342691</v>
      </c>
      <c r="D461">
        <v>13503</v>
      </c>
      <c r="E461" s="3">
        <f t="shared" si="28"/>
        <v>37.790803199668893</v>
      </c>
      <c r="F461" s="16">
        <f t="shared" si="29"/>
        <v>-43870.603808297834</v>
      </c>
      <c r="G461" s="23">
        <f t="shared" si="30"/>
        <v>-8.5972037947683558E-2</v>
      </c>
      <c r="H461" s="3">
        <f t="shared" si="31"/>
        <v>-3.2489523667553755</v>
      </c>
    </row>
    <row r="462" spans="1:8" x14ac:dyDescent="0.3">
      <c r="A462" s="2">
        <v>42098</v>
      </c>
      <c r="B462" s="3">
        <v>400302.03949241102</v>
      </c>
      <c r="C462" s="3">
        <v>434872.72891034582</v>
      </c>
      <c r="D462">
        <v>10600</v>
      </c>
      <c r="E462" s="3">
        <f t="shared" si="28"/>
        <v>37.76434334834066</v>
      </c>
      <c r="F462" s="16">
        <f t="shared" si="29"/>
        <v>-34570.689417934802</v>
      </c>
      <c r="G462" s="23">
        <f t="shared" si="30"/>
        <v>-8.6361512076658306E-2</v>
      </c>
      <c r="H462" s="3">
        <f t="shared" si="31"/>
        <v>-3.2613857941447928</v>
      </c>
    </row>
    <row r="463" spans="1:8" x14ac:dyDescent="0.3">
      <c r="A463" s="2">
        <v>42099</v>
      </c>
      <c r="B463" s="3">
        <v>135578.20344503759</v>
      </c>
      <c r="C463" s="3">
        <v>147335.92505366591</v>
      </c>
      <c r="D463">
        <v>3591</v>
      </c>
      <c r="E463" s="3">
        <f t="shared" si="28"/>
        <v>37.754999566983457</v>
      </c>
      <c r="F463" s="16">
        <f t="shared" si="29"/>
        <v>-11757.721608628315</v>
      </c>
      <c r="G463" s="23">
        <f t="shared" si="30"/>
        <v>-8.6722801378577116E-2</v>
      </c>
      <c r="H463" s="3">
        <f t="shared" si="31"/>
        <v>-3.2742193284957715</v>
      </c>
    </row>
    <row r="464" spans="1:8" x14ac:dyDescent="0.3">
      <c r="A464" s="2">
        <v>42100</v>
      </c>
      <c r="B464" s="3">
        <v>182466.2552086603</v>
      </c>
      <c r="C464" s="3">
        <v>198405.2291123257</v>
      </c>
      <c r="D464">
        <v>4836</v>
      </c>
      <c r="E464" s="3">
        <f t="shared" si="28"/>
        <v>37.730822003445056</v>
      </c>
      <c r="F464" s="16">
        <f t="shared" si="29"/>
        <v>-15938.973903665406</v>
      </c>
      <c r="G464" s="23">
        <f t="shared" si="30"/>
        <v>-8.735299513566662E-2</v>
      </c>
      <c r="H464" s="3">
        <f t="shared" si="31"/>
        <v>-3.2959003109316392</v>
      </c>
    </row>
    <row r="465" spans="1:8" x14ac:dyDescent="0.3">
      <c r="A465" s="2">
        <v>42101</v>
      </c>
      <c r="B465" s="3">
        <v>176814.2025694703</v>
      </c>
      <c r="C465" s="3">
        <v>178390.14906155379</v>
      </c>
      <c r="D465">
        <v>4348</v>
      </c>
      <c r="E465" s="3">
        <f t="shared" si="28"/>
        <v>40.665639965379555</v>
      </c>
      <c r="F465" s="16">
        <f t="shared" si="29"/>
        <v>-1575.9464920834871</v>
      </c>
      <c r="G465" s="23">
        <f t="shared" si="30"/>
        <v>-8.9130085093944746E-3</v>
      </c>
      <c r="H465" s="3">
        <f t="shared" si="31"/>
        <v>-0.3624531950514</v>
      </c>
    </row>
    <row r="466" spans="1:8" x14ac:dyDescent="0.3">
      <c r="A466" s="2">
        <v>42102</v>
      </c>
      <c r="B466" s="3">
        <v>100917.67156519881</v>
      </c>
      <c r="C466" s="3">
        <v>100579.12894836511</v>
      </c>
      <c r="D466">
        <v>2451</v>
      </c>
      <c r="E466" s="3">
        <f t="shared" si="28"/>
        <v>41.174080605956263</v>
      </c>
      <c r="F466" s="16">
        <f t="shared" si="29"/>
        <v>338.54261683369987</v>
      </c>
      <c r="G466" s="23">
        <f t="shared" si="30"/>
        <v>3.3546415764753473E-3</v>
      </c>
      <c r="H466" s="3">
        <f t="shared" si="31"/>
        <v>0.13812428267388815</v>
      </c>
    </row>
    <row r="467" spans="1:8" x14ac:dyDescent="0.3">
      <c r="A467" s="2">
        <v>42103</v>
      </c>
      <c r="B467" s="3">
        <v>74690.672729450496</v>
      </c>
      <c r="C467" s="3">
        <v>74427.585972183966</v>
      </c>
      <c r="D467">
        <v>1814</v>
      </c>
      <c r="E467" s="3">
        <f t="shared" si="28"/>
        <v>41.174571515683844</v>
      </c>
      <c r="F467" s="16">
        <f t="shared" si="29"/>
        <v>263.08675726653019</v>
      </c>
      <c r="G467" s="23">
        <f t="shared" si="30"/>
        <v>3.5223508860269671E-3</v>
      </c>
      <c r="H467" s="3">
        <f t="shared" si="31"/>
        <v>0.14503128846004973</v>
      </c>
    </row>
    <row r="468" spans="1:8" x14ac:dyDescent="0.3">
      <c r="A468" s="2">
        <v>42104</v>
      </c>
      <c r="B468" s="3">
        <v>114067.0771017275</v>
      </c>
      <c r="C468" s="3">
        <v>113653.97356322029</v>
      </c>
      <c r="D468">
        <v>2770</v>
      </c>
      <c r="E468" s="3">
        <f t="shared" si="28"/>
        <v>41.179450217230141</v>
      </c>
      <c r="F468" s="16">
        <f t="shared" si="29"/>
        <v>413.10353850720276</v>
      </c>
      <c r="G468" s="23">
        <f t="shared" si="30"/>
        <v>3.621584325675217E-3</v>
      </c>
      <c r="H468" s="3">
        <f t="shared" si="31"/>
        <v>0.1491348514466436</v>
      </c>
    </row>
    <row r="469" spans="1:8" x14ac:dyDescent="0.3">
      <c r="A469" s="2">
        <v>42105</v>
      </c>
      <c r="B469" s="3">
        <v>126507.8009411664</v>
      </c>
      <c r="C469" s="3">
        <v>126043.76915933751</v>
      </c>
      <c r="D469">
        <v>3072</v>
      </c>
      <c r="E469" s="3">
        <f t="shared" si="28"/>
        <v>41.180924785535936</v>
      </c>
      <c r="F469" s="16">
        <f t="shared" si="29"/>
        <v>464.03178182888951</v>
      </c>
      <c r="G469" s="23">
        <f t="shared" si="30"/>
        <v>3.6680092324479791E-3</v>
      </c>
      <c r="H469" s="3">
        <f t="shared" si="31"/>
        <v>0.15105201231409163</v>
      </c>
    </row>
    <row r="470" spans="1:8" x14ac:dyDescent="0.3">
      <c r="A470" s="2">
        <v>42106</v>
      </c>
      <c r="B470" s="3">
        <v>79648.629394640506</v>
      </c>
      <c r="C470" s="3">
        <v>79349.402451342714</v>
      </c>
      <c r="D470">
        <v>1934</v>
      </c>
      <c r="E470" s="3">
        <f t="shared" si="28"/>
        <v>41.183365767652795</v>
      </c>
      <c r="F470" s="16">
        <f t="shared" si="29"/>
        <v>299.22694329779188</v>
      </c>
      <c r="G470" s="23">
        <f t="shared" si="30"/>
        <v>3.7568373187590173E-3</v>
      </c>
      <c r="H470" s="3">
        <f t="shared" si="31"/>
        <v>0.15471920542802062</v>
      </c>
    </row>
    <row r="471" spans="1:8" x14ac:dyDescent="0.3">
      <c r="A471" s="2">
        <v>42107</v>
      </c>
      <c r="B471" s="3">
        <v>83137.432427590247</v>
      </c>
      <c r="C471" s="3">
        <v>82700.354170302948</v>
      </c>
      <c r="D471">
        <v>2019</v>
      </c>
      <c r="E471" s="3">
        <f t="shared" si="28"/>
        <v>41.177529681817852</v>
      </c>
      <c r="F471" s="16">
        <f t="shared" si="29"/>
        <v>437.07825728729949</v>
      </c>
      <c r="G471" s="23">
        <f t="shared" si="30"/>
        <v>5.2572980007288429E-3</v>
      </c>
      <c r="H471" s="3">
        <f t="shared" si="31"/>
        <v>0.2164825444711736</v>
      </c>
    </row>
    <row r="472" spans="1:8" x14ac:dyDescent="0.3">
      <c r="A472" s="2">
        <v>42108</v>
      </c>
      <c r="B472" s="3">
        <v>40776.027061670247</v>
      </c>
      <c r="C472" s="3">
        <v>39940.199579223197</v>
      </c>
      <c r="D472">
        <v>979</v>
      </c>
      <c r="E472" s="3">
        <f t="shared" si="28"/>
        <v>41.650691584954288</v>
      </c>
      <c r="F472" s="16">
        <f t="shared" si="29"/>
        <v>835.82748244704999</v>
      </c>
      <c r="G472" s="23">
        <f t="shared" si="30"/>
        <v>2.0498011765171055E-2</v>
      </c>
      <c r="H472" s="3">
        <f t="shared" si="31"/>
        <v>0.853756366135904</v>
      </c>
    </row>
    <row r="473" spans="1:8" x14ac:dyDescent="0.3">
      <c r="A473" s="2">
        <v>42109</v>
      </c>
      <c r="B473" s="3">
        <v>58278.457926050367</v>
      </c>
      <c r="C473" s="3">
        <v>56969.922594239448</v>
      </c>
      <c r="D473">
        <v>1398</v>
      </c>
      <c r="E473" s="3">
        <f t="shared" si="28"/>
        <v>41.6870228369459</v>
      </c>
      <c r="F473" s="16">
        <f t="shared" si="29"/>
        <v>1308.5353318109192</v>
      </c>
      <c r="G473" s="23">
        <f t="shared" si="30"/>
        <v>2.245315642138853E-2</v>
      </c>
      <c r="H473" s="3">
        <f t="shared" si="31"/>
        <v>0.93600524449994216</v>
      </c>
    </row>
    <row r="474" spans="1:8" x14ac:dyDescent="0.3">
      <c r="A474" s="2">
        <v>42110</v>
      </c>
      <c r="B474" s="3">
        <v>50000.101443420237</v>
      </c>
      <c r="C474" s="3">
        <v>48827.885381172753</v>
      </c>
      <c r="D474">
        <v>1198</v>
      </c>
      <c r="E474" s="3">
        <f t="shared" si="28"/>
        <v>41.736311722387512</v>
      </c>
      <c r="F474" s="16">
        <f t="shared" si="29"/>
        <v>1172.2160622474839</v>
      </c>
      <c r="G474" s="23">
        <f t="shared" si="30"/>
        <v>2.3444273679603538E-2</v>
      </c>
      <c r="H474" s="3">
        <f t="shared" si="31"/>
        <v>0.97847751439689812</v>
      </c>
    </row>
    <row r="475" spans="1:8" x14ac:dyDescent="0.3">
      <c r="A475" s="2">
        <v>42111</v>
      </c>
      <c r="B475" s="3">
        <v>103911.9190821282</v>
      </c>
      <c r="C475" s="3">
        <v>101408.94958672021</v>
      </c>
      <c r="D475">
        <v>2485</v>
      </c>
      <c r="E475" s="3">
        <f t="shared" si="28"/>
        <v>41.815661602466072</v>
      </c>
      <c r="F475" s="16">
        <f t="shared" si="29"/>
        <v>2502.9694954079896</v>
      </c>
      <c r="G475" s="23">
        <f t="shared" si="30"/>
        <v>2.4087414778950756E-2</v>
      </c>
      <c r="H475" s="3">
        <f t="shared" si="31"/>
        <v>1.007231185274845</v>
      </c>
    </row>
    <row r="476" spans="1:8" x14ac:dyDescent="0.3">
      <c r="A476" s="2">
        <v>42112</v>
      </c>
      <c r="B476" s="3">
        <v>132843.22261657639</v>
      </c>
      <c r="C476" s="3">
        <v>129545.5321235172</v>
      </c>
      <c r="D476">
        <v>3172</v>
      </c>
      <c r="E476" s="3">
        <f t="shared" si="28"/>
        <v>41.879956688706301</v>
      </c>
      <c r="F476" s="16">
        <f t="shared" si="29"/>
        <v>3297.6904930591845</v>
      </c>
      <c r="G476" s="23">
        <f t="shared" si="30"/>
        <v>2.4823927243750057E-2</v>
      </c>
      <c r="H476" s="3">
        <f t="shared" si="31"/>
        <v>1.0396249978118488</v>
      </c>
    </row>
    <row r="477" spans="1:8" x14ac:dyDescent="0.3">
      <c r="A477" s="2">
        <v>42113</v>
      </c>
      <c r="B477" s="3">
        <v>62786.611277180004</v>
      </c>
      <c r="C477" s="3">
        <v>61213.255905066573</v>
      </c>
      <c r="D477">
        <v>1497</v>
      </c>
      <c r="E477" s="3">
        <f t="shared" si="28"/>
        <v>41.941624099652643</v>
      </c>
      <c r="F477" s="16">
        <f t="shared" si="29"/>
        <v>1573.3553721134303</v>
      </c>
      <c r="G477" s="23">
        <f t="shared" si="30"/>
        <v>2.5058771927786321E-2</v>
      </c>
      <c r="H477" s="3">
        <f t="shared" si="31"/>
        <v>1.0510055925941419</v>
      </c>
    </row>
    <row r="478" spans="1:8" x14ac:dyDescent="0.3">
      <c r="A478" s="2">
        <v>42114</v>
      </c>
      <c r="B478" s="3">
        <v>57233.406641560126</v>
      </c>
      <c r="C478" s="3">
        <v>55706.875425596532</v>
      </c>
      <c r="D478">
        <v>1365</v>
      </c>
      <c r="E478" s="3">
        <f t="shared" si="28"/>
        <v>41.929235634842584</v>
      </c>
      <c r="F478" s="16">
        <f t="shared" si="29"/>
        <v>1526.5312159635941</v>
      </c>
      <c r="G478" s="23">
        <f t="shared" si="30"/>
        <v>2.6672031345677423E-2</v>
      </c>
      <c r="H478" s="3">
        <f t="shared" si="31"/>
        <v>1.1183378871528162</v>
      </c>
    </row>
    <row r="479" spans="1:8" x14ac:dyDescent="0.3">
      <c r="A479" s="2">
        <v>42115</v>
      </c>
      <c r="B479" s="3">
        <v>56874.345455010007</v>
      </c>
      <c r="C479" s="3">
        <v>55172.171225548656</v>
      </c>
      <c r="D479">
        <v>1353</v>
      </c>
      <c r="E479" s="3">
        <f t="shared" si="28"/>
        <v>42.035732043614196</v>
      </c>
      <c r="F479" s="16">
        <f t="shared" si="29"/>
        <v>1702.1742294613505</v>
      </c>
      <c r="G479" s="23">
        <f t="shared" si="30"/>
        <v>2.9928682534163698E-2</v>
      </c>
      <c r="H479" s="3">
        <f t="shared" si="31"/>
        <v>1.2580740794245016</v>
      </c>
    </row>
    <row r="480" spans="1:8" x14ac:dyDescent="0.3">
      <c r="A480" s="2">
        <v>42116</v>
      </c>
      <c r="B480" s="3">
        <v>132737.73701689861</v>
      </c>
      <c r="C480" s="3">
        <v>140263.9301023919</v>
      </c>
      <c r="D480">
        <v>3439</v>
      </c>
      <c r="E480" s="3">
        <f t="shared" si="28"/>
        <v>38.597771740883573</v>
      </c>
      <c r="F480" s="16">
        <f t="shared" si="29"/>
        <v>-7526.1930854932871</v>
      </c>
      <c r="G480" s="23">
        <f t="shared" si="30"/>
        <v>-5.6699724242964461E-2</v>
      </c>
      <c r="H480" s="3">
        <f t="shared" si="31"/>
        <v>-2.188483014100985</v>
      </c>
    </row>
    <row r="481" spans="1:8" x14ac:dyDescent="0.3">
      <c r="A481" s="2">
        <v>42117</v>
      </c>
      <c r="B481" s="3">
        <v>60310.338948120007</v>
      </c>
      <c r="C481" s="3">
        <v>58446.054929901373</v>
      </c>
      <c r="D481">
        <v>1434</v>
      </c>
      <c r="E481" s="3">
        <f t="shared" si="28"/>
        <v>42.057419071213396</v>
      </c>
      <c r="F481" s="16">
        <f t="shared" si="29"/>
        <v>1864.2840182186337</v>
      </c>
      <c r="G481" s="23">
        <f t="shared" si="30"/>
        <v>3.0911516180042082E-2</v>
      </c>
      <c r="H481" s="3">
        <f t="shared" si="31"/>
        <v>1.3000585901106232</v>
      </c>
    </row>
    <row r="482" spans="1:8" x14ac:dyDescent="0.3">
      <c r="A482" s="2">
        <v>42118</v>
      </c>
      <c r="B482" s="3">
        <v>343587.00847871922</v>
      </c>
      <c r="C482" s="3">
        <v>362390.59604190831</v>
      </c>
      <c r="D482">
        <v>8892</v>
      </c>
      <c r="E482" s="3">
        <f t="shared" si="28"/>
        <v>38.64001444879883</v>
      </c>
      <c r="F482" s="16">
        <f t="shared" si="29"/>
        <v>-18803.587563189096</v>
      </c>
      <c r="G482" s="23">
        <f t="shared" si="30"/>
        <v>-5.4727294976735813E-2</v>
      </c>
      <c r="H482" s="3">
        <f t="shared" si="31"/>
        <v>-2.1146634686447476</v>
      </c>
    </row>
    <row r="483" spans="1:8" x14ac:dyDescent="0.3">
      <c r="A483" s="2">
        <v>42119</v>
      </c>
      <c r="B483" s="3">
        <v>496882.31502370269</v>
      </c>
      <c r="C483" s="3">
        <v>535306.00987018819</v>
      </c>
      <c r="D483">
        <v>13144</v>
      </c>
      <c r="E483" s="3">
        <f t="shared" si="28"/>
        <v>37.802975884335261</v>
      </c>
      <c r="F483" s="16">
        <f t="shared" si="29"/>
        <v>-38423.694846485509</v>
      </c>
      <c r="G483" s="23">
        <f t="shared" si="30"/>
        <v>-7.7329568158714987E-2</v>
      </c>
      <c r="H483" s="3">
        <f t="shared" si="31"/>
        <v>-2.9232878002499625</v>
      </c>
    </row>
    <row r="484" spans="1:8" x14ac:dyDescent="0.3">
      <c r="A484" s="2">
        <v>42120</v>
      </c>
      <c r="B484" s="3">
        <v>200369.82986166119</v>
      </c>
      <c r="C484" s="3">
        <v>210964.76808699651</v>
      </c>
      <c r="D484">
        <v>5179</v>
      </c>
      <c r="E484" s="3">
        <f t="shared" si="28"/>
        <v>38.688903236466729</v>
      </c>
      <c r="F484" s="16">
        <f t="shared" si="29"/>
        <v>-10594.938225335325</v>
      </c>
      <c r="G484" s="23">
        <f t="shared" si="30"/>
        <v>-5.28769138180646E-2</v>
      </c>
      <c r="H484" s="3">
        <f t="shared" si="31"/>
        <v>-2.0457498021500919</v>
      </c>
    </row>
    <row r="485" spans="1:8" x14ac:dyDescent="0.3">
      <c r="A485" s="2">
        <v>42121</v>
      </c>
      <c r="B485" s="3">
        <v>194028.06181921621</v>
      </c>
      <c r="C485" s="3">
        <v>204053.49893464721</v>
      </c>
      <c r="D485">
        <v>5014</v>
      </c>
      <c r="E485" s="3">
        <f t="shared" si="28"/>
        <v>38.697260035743163</v>
      </c>
      <c r="F485" s="16">
        <f t="shared" si="29"/>
        <v>-10025.437115431007</v>
      </c>
      <c r="G485" s="23">
        <f t="shared" si="30"/>
        <v>-5.1670036908228828E-2</v>
      </c>
      <c r="H485" s="3">
        <f t="shared" si="31"/>
        <v>-1.9994888542941776</v>
      </c>
    </row>
    <row r="486" spans="1:8" x14ac:dyDescent="0.3">
      <c r="A486" s="2">
        <v>42122</v>
      </c>
      <c r="B486" s="3">
        <v>190560.57918183241</v>
      </c>
      <c r="C486" s="3">
        <v>200804.03684509991</v>
      </c>
      <c r="D486">
        <v>4936</v>
      </c>
      <c r="E486" s="3">
        <f t="shared" si="28"/>
        <v>38.606276171359887</v>
      </c>
      <c r="F486" s="16">
        <f t="shared" si="29"/>
        <v>-10243.457663267502</v>
      </c>
      <c r="G486" s="23">
        <f t="shared" si="30"/>
        <v>-5.3754337372648418E-2</v>
      </c>
      <c r="H486" s="3">
        <f t="shared" si="31"/>
        <v>-2.0752547940169168</v>
      </c>
    </row>
    <row r="487" spans="1:8" x14ac:dyDescent="0.3">
      <c r="A487" s="2">
        <v>42123</v>
      </c>
      <c r="B487" s="3">
        <v>198985.3996226124</v>
      </c>
      <c r="C487" s="3">
        <v>209483.87580877281</v>
      </c>
      <c r="D487">
        <v>5150</v>
      </c>
      <c r="E487" s="3">
        <f t="shared" si="28"/>
        <v>38.637941674293671</v>
      </c>
      <c r="F487" s="16">
        <f t="shared" si="29"/>
        <v>-10498.476186160406</v>
      </c>
      <c r="G487" s="23">
        <f t="shared" si="30"/>
        <v>-5.2760032676122913E-2</v>
      </c>
      <c r="H487" s="3">
        <f t="shared" si="31"/>
        <v>-2.0385390652738651</v>
      </c>
    </row>
    <row r="488" spans="1:8" x14ac:dyDescent="0.3">
      <c r="A488" s="2">
        <v>42124</v>
      </c>
      <c r="B488" s="3">
        <v>385482.8720257082</v>
      </c>
      <c r="C488" s="3">
        <v>406252.00759341638</v>
      </c>
      <c r="D488">
        <v>9986</v>
      </c>
      <c r="E488" s="3">
        <f t="shared" si="28"/>
        <v>38.602330465222131</v>
      </c>
      <c r="F488" s="16">
        <f t="shared" si="29"/>
        <v>-20769.135567708174</v>
      </c>
      <c r="G488" s="23">
        <f t="shared" si="30"/>
        <v>-5.3878231887623432E-2</v>
      </c>
      <c r="H488" s="3">
        <f t="shared" si="31"/>
        <v>-2.0798253122079084</v>
      </c>
    </row>
    <row r="489" spans="1:8" x14ac:dyDescent="0.3">
      <c r="A489" s="2">
        <v>42125</v>
      </c>
      <c r="B489" s="3">
        <v>499703.41471803008</v>
      </c>
      <c r="C489" s="3">
        <v>526206.93717221648</v>
      </c>
      <c r="D489">
        <v>12937</v>
      </c>
      <c r="E489" s="3">
        <f t="shared" si="28"/>
        <v>38.62591131777306</v>
      </c>
      <c r="F489" s="16">
        <f t="shared" si="29"/>
        <v>-26503.522454186401</v>
      </c>
      <c r="G489" s="23">
        <f t="shared" si="30"/>
        <v>-5.3038505788762048E-2</v>
      </c>
      <c r="H489" s="3">
        <f t="shared" si="31"/>
        <v>-2.0486606210239158</v>
      </c>
    </row>
    <row r="490" spans="1:8" x14ac:dyDescent="0.3">
      <c r="A490" s="2">
        <v>42126</v>
      </c>
      <c r="B490" s="3">
        <v>461667.00388101261</v>
      </c>
      <c r="C490" s="3">
        <v>496852.8019930757</v>
      </c>
      <c r="D490">
        <v>12217</v>
      </c>
      <c r="E490" s="3">
        <f t="shared" si="28"/>
        <v>37.788901029795582</v>
      </c>
      <c r="F490" s="16">
        <f t="shared" si="29"/>
        <v>-35185.798112063087</v>
      </c>
      <c r="G490" s="23">
        <f t="shared" si="30"/>
        <v>-7.6214669483140429E-2</v>
      </c>
      <c r="H490" s="3">
        <f t="shared" si="31"/>
        <v>-2.8800686021169755</v>
      </c>
    </row>
    <row r="491" spans="1:8" x14ac:dyDescent="0.3">
      <c r="A491" s="2">
        <v>42127</v>
      </c>
      <c r="B491" s="3">
        <v>259541.60872151391</v>
      </c>
      <c r="C491" s="3">
        <v>273280.04637040471</v>
      </c>
      <c r="D491">
        <v>6721</v>
      </c>
      <c r="E491" s="3">
        <f t="shared" si="28"/>
        <v>38.61651669714535</v>
      </c>
      <c r="F491" s="16">
        <f t="shared" si="29"/>
        <v>-13738.437648890802</v>
      </c>
      <c r="G491" s="23">
        <f t="shared" si="30"/>
        <v>-5.2933468805119552E-2</v>
      </c>
      <c r="H491" s="3">
        <f t="shared" si="31"/>
        <v>-2.0441061819507218</v>
      </c>
    </row>
    <row r="492" spans="1:8" x14ac:dyDescent="0.3">
      <c r="A492" s="2">
        <v>42128</v>
      </c>
      <c r="B492" s="3">
        <v>320309.27440158668</v>
      </c>
      <c r="C492" s="3">
        <v>336742.60236538568</v>
      </c>
      <c r="D492">
        <v>8283</v>
      </c>
      <c r="E492" s="3">
        <f t="shared" si="28"/>
        <v>38.670683858696933</v>
      </c>
      <c r="F492" s="16">
        <f t="shared" si="29"/>
        <v>-16433.327963799005</v>
      </c>
      <c r="G492" s="23">
        <f t="shared" si="30"/>
        <v>-5.1304564922449843E-2</v>
      </c>
      <c r="H492" s="3">
        <f t="shared" si="31"/>
        <v>-1.9839826106240499</v>
      </c>
    </row>
    <row r="493" spans="1:8" x14ac:dyDescent="0.3">
      <c r="A493" s="2">
        <v>42129</v>
      </c>
      <c r="B493" s="3">
        <v>239922.99815095021</v>
      </c>
      <c r="C493" s="3">
        <v>251700.96640120179</v>
      </c>
      <c r="D493">
        <v>6191</v>
      </c>
      <c r="E493" s="3">
        <f t="shared" si="28"/>
        <v>38.753512865603327</v>
      </c>
      <c r="F493" s="16">
        <f t="shared" si="29"/>
        <v>-11777.968250251579</v>
      </c>
      <c r="G493" s="23">
        <f t="shared" si="30"/>
        <v>-4.9090617994200537E-2</v>
      </c>
      <c r="H493" s="3">
        <f t="shared" si="31"/>
        <v>-1.9024338960186689</v>
      </c>
    </row>
    <row r="494" spans="1:8" x14ac:dyDescent="0.3">
      <c r="A494" s="2">
        <v>42130</v>
      </c>
      <c r="B494" s="3">
        <v>224994.1950701554</v>
      </c>
      <c r="C494" s="3">
        <v>242259.85953966621</v>
      </c>
      <c r="D494">
        <v>5959</v>
      </c>
      <c r="E494" s="3">
        <f t="shared" si="28"/>
        <v>37.757038944479845</v>
      </c>
      <c r="F494" s="16">
        <f t="shared" si="29"/>
        <v>-17265.664469510812</v>
      </c>
      <c r="G494" s="23">
        <f t="shared" si="30"/>
        <v>-7.6738266354503981E-2</v>
      </c>
      <c r="H494" s="3">
        <f t="shared" si="31"/>
        <v>-2.8974097112788741</v>
      </c>
    </row>
    <row r="495" spans="1:8" x14ac:dyDescent="0.3">
      <c r="A495" s="2">
        <v>42131</v>
      </c>
      <c r="B495" s="3">
        <v>117197.9717299037</v>
      </c>
      <c r="C495" s="3">
        <v>115769.08632788141</v>
      </c>
      <c r="D495">
        <v>2848</v>
      </c>
      <c r="E495" s="3">
        <f t="shared" si="28"/>
        <v>41.150973219769554</v>
      </c>
      <c r="F495" s="16">
        <f t="shared" si="29"/>
        <v>1428.8854020222934</v>
      </c>
      <c r="G495" s="23">
        <f t="shared" si="30"/>
        <v>1.2192065962671481E-2</v>
      </c>
      <c r="H495" s="3">
        <f t="shared" si="31"/>
        <v>0.50171537992355808</v>
      </c>
    </row>
    <row r="496" spans="1:8" x14ac:dyDescent="0.3">
      <c r="A496" s="2">
        <v>42132</v>
      </c>
      <c r="B496" s="3">
        <v>330589.1998128597</v>
      </c>
      <c r="C496" s="3">
        <v>355565.04173447768</v>
      </c>
      <c r="D496">
        <v>8748</v>
      </c>
      <c r="E496" s="3">
        <f t="shared" si="28"/>
        <v>37.790260609609021</v>
      </c>
      <c r="F496" s="16">
        <f t="shared" si="29"/>
        <v>-24975.841921617975</v>
      </c>
      <c r="G496" s="23">
        <f t="shared" si="30"/>
        <v>-7.554947934099579E-2</v>
      </c>
      <c r="H496" s="3">
        <f t="shared" si="31"/>
        <v>-2.8550345132165038</v>
      </c>
    </row>
    <row r="497" spans="1:8" x14ac:dyDescent="0.3">
      <c r="A497" s="2">
        <v>42133</v>
      </c>
      <c r="B497" s="3">
        <v>389972.11975571001</v>
      </c>
      <c r="C497" s="3">
        <v>419827.1365222265</v>
      </c>
      <c r="D497">
        <v>10329</v>
      </c>
      <c r="E497" s="3">
        <f t="shared" si="28"/>
        <v>37.755070167074258</v>
      </c>
      <c r="F497" s="16">
        <f t="shared" si="29"/>
        <v>-29855.016766516492</v>
      </c>
      <c r="G497" s="23">
        <f t="shared" si="30"/>
        <v>-7.6556797919857839E-2</v>
      </c>
      <c r="H497" s="3">
        <f t="shared" si="31"/>
        <v>-2.8904072772307572</v>
      </c>
    </row>
    <row r="498" spans="1:8" x14ac:dyDescent="0.3">
      <c r="A498" s="2">
        <v>42134</v>
      </c>
      <c r="B498" s="3">
        <v>166536.00026357031</v>
      </c>
      <c r="C498" s="3">
        <v>179243.05183339989</v>
      </c>
      <c r="D498">
        <v>4410</v>
      </c>
      <c r="E498" s="3">
        <f t="shared" si="28"/>
        <v>37.763265365888962</v>
      </c>
      <c r="F498" s="16">
        <f t="shared" si="29"/>
        <v>-12707.051569829579</v>
      </c>
      <c r="G498" s="23">
        <f t="shared" si="30"/>
        <v>-7.6302130168363611E-2</v>
      </c>
      <c r="H498" s="3">
        <f t="shared" si="31"/>
        <v>-2.8814175895305167</v>
      </c>
    </row>
    <row r="499" spans="1:8" x14ac:dyDescent="0.3">
      <c r="A499" s="2">
        <v>42135</v>
      </c>
      <c r="B499" s="3">
        <v>198442.91265382789</v>
      </c>
      <c r="C499" s="3">
        <v>213676.42842593021</v>
      </c>
      <c r="D499">
        <v>5257</v>
      </c>
      <c r="E499" s="3">
        <f t="shared" si="28"/>
        <v>37.748318937384042</v>
      </c>
      <c r="F499" s="16">
        <f t="shared" si="29"/>
        <v>-15233.515772102313</v>
      </c>
      <c r="G499" s="23">
        <f t="shared" si="30"/>
        <v>-7.6765229699466739E-2</v>
      </c>
      <c r="H499" s="3">
        <f t="shared" si="31"/>
        <v>-2.8977583739970161</v>
      </c>
    </row>
    <row r="500" spans="1:8" x14ac:dyDescent="0.3">
      <c r="A500" s="2">
        <v>42136</v>
      </c>
      <c r="B500" s="3">
        <v>193182.15055271279</v>
      </c>
      <c r="C500" s="3">
        <v>208039.1734455548</v>
      </c>
      <c r="D500">
        <v>5118</v>
      </c>
      <c r="E500" s="3">
        <f t="shared" si="28"/>
        <v>37.745633167782884</v>
      </c>
      <c r="F500" s="16">
        <f t="shared" si="29"/>
        <v>-14857.022892842011</v>
      </c>
      <c r="G500" s="23">
        <f t="shared" si="30"/>
        <v>-7.6906809714741411E-2</v>
      </c>
      <c r="H500" s="3">
        <f t="shared" si="31"/>
        <v>-2.9028962275971102</v>
      </c>
    </row>
    <row r="501" spans="1:8" x14ac:dyDescent="0.3">
      <c r="A501" s="2">
        <v>42137</v>
      </c>
      <c r="B501" s="3">
        <v>166403.12699582271</v>
      </c>
      <c r="C501" s="3">
        <v>179221.57229364</v>
      </c>
      <c r="D501">
        <v>4410</v>
      </c>
      <c r="E501" s="3">
        <f t="shared" si="28"/>
        <v>37.73313537320243</v>
      </c>
      <c r="F501" s="16">
        <f t="shared" si="29"/>
        <v>-12818.445297817292</v>
      </c>
      <c r="G501" s="23">
        <f t="shared" si="30"/>
        <v>-7.7032478471027052E-2</v>
      </c>
      <c r="H501" s="3">
        <f t="shared" si="31"/>
        <v>-2.9066769382805653</v>
      </c>
    </row>
    <row r="502" spans="1:8" x14ac:dyDescent="0.3">
      <c r="A502" s="2">
        <v>42138</v>
      </c>
      <c r="B502" s="3">
        <v>149178.60148103401</v>
      </c>
      <c r="C502" s="3">
        <v>160620.2071408729</v>
      </c>
      <c r="D502">
        <v>3952</v>
      </c>
      <c r="E502" s="3">
        <f t="shared" si="28"/>
        <v>37.74762183224545</v>
      </c>
      <c r="F502" s="16">
        <f t="shared" si="29"/>
        <v>-11441.605659838882</v>
      </c>
      <c r="G502" s="23">
        <f t="shared" si="30"/>
        <v>-7.6697365079491805E-2</v>
      </c>
      <c r="H502" s="3">
        <f t="shared" si="31"/>
        <v>-2.8951431325503245</v>
      </c>
    </row>
    <row r="503" spans="1:8" x14ac:dyDescent="0.3">
      <c r="A503" s="2">
        <v>42139</v>
      </c>
      <c r="B503" s="3">
        <v>380592.57758342719</v>
      </c>
      <c r="C503" s="3">
        <v>409812.43266368861</v>
      </c>
      <c r="D503">
        <v>10084</v>
      </c>
      <c r="E503" s="3">
        <f t="shared" si="28"/>
        <v>37.742223084433476</v>
      </c>
      <c r="F503" s="16">
        <f t="shared" si="29"/>
        <v>-29219.855080261419</v>
      </c>
      <c r="G503" s="23">
        <f t="shared" si="30"/>
        <v>-7.6774631985187164E-2</v>
      </c>
      <c r="H503" s="3">
        <f t="shared" si="31"/>
        <v>-2.8976452876102159</v>
      </c>
    </row>
    <row r="504" spans="1:8" x14ac:dyDescent="0.3">
      <c r="A504" s="2">
        <v>42140</v>
      </c>
      <c r="B504" s="3">
        <v>413700.17893234122</v>
      </c>
      <c r="C504" s="3">
        <v>445569.71910740522</v>
      </c>
      <c r="D504">
        <v>10964</v>
      </c>
      <c r="E504" s="3">
        <f t="shared" si="28"/>
        <v>37.732595670589312</v>
      </c>
      <c r="F504" s="16">
        <f t="shared" si="29"/>
        <v>-31869.540175064001</v>
      </c>
      <c r="G504" s="23">
        <f t="shared" si="30"/>
        <v>-7.7035355066346539E-2</v>
      </c>
      <c r="H504" s="3">
        <f t="shared" si="31"/>
        <v>-2.9067439050587378</v>
      </c>
    </row>
    <row r="505" spans="1:8" x14ac:dyDescent="0.3">
      <c r="A505" s="2">
        <v>42141</v>
      </c>
      <c r="B505" s="3">
        <v>177159.67306561911</v>
      </c>
      <c r="C505" s="3">
        <v>190811.57794423791</v>
      </c>
      <c r="D505">
        <v>4695</v>
      </c>
      <c r="E505" s="3">
        <f t="shared" si="28"/>
        <v>37.733689683837937</v>
      </c>
      <c r="F505" s="16">
        <f t="shared" si="29"/>
        <v>-13651.904878618807</v>
      </c>
      <c r="G505" s="23">
        <f t="shared" si="30"/>
        <v>-7.705988977278258E-2</v>
      </c>
      <c r="H505" s="3">
        <f t="shared" si="31"/>
        <v>-2.9077539677569342</v>
      </c>
    </row>
    <row r="506" spans="1:8" x14ac:dyDescent="0.3">
      <c r="A506" s="2">
        <v>42142</v>
      </c>
      <c r="B506" s="3">
        <v>196420.7635368479</v>
      </c>
      <c r="C506" s="3">
        <v>211510.78612034491</v>
      </c>
      <c r="D506">
        <v>5205</v>
      </c>
      <c r="E506" s="3">
        <f t="shared" si="28"/>
        <v>37.73693823954811</v>
      </c>
      <c r="F506" s="16">
        <f t="shared" si="29"/>
        <v>-15090.022583497019</v>
      </c>
      <c r="G506" s="23">
        <f t="shared" si="30"/>
        <v>-7.6824986889261218E-2</v>
      </c>
      <c r="H506" s="3">
        <f t="shared" si="31"/>
        <v>-2.8991397854941439</v>
      </c>
    </row>
    <row r="507" spans="1:8" x14ac:dyDescent="0.3">
      <c r="A507" s="2">
        <v>42143</v>
      </c>
      <c r="B507" s="3">
        <v>137940.87216380521</v>
      </c>
      <c r="C507" s="3">
        <v>147846.05216339661</v>
      </c>
      <c r="D507">
        <v>3638</v>
      </c>
      <c r="E507" s="3">
        <f t="shared" si="28"/>
        <v>37.916677340243325</v>
      </c>
      <c r="F507" s="16">
        <f t="shared" si="29"/>
        <v>-9905.1799995914043</v>
      </c>
      <c r="G507" s="23">
        <f t="shared" si="30"/>
        <v>-7.1807433461990672E-2</v>
      </c>
      <c r="H507" s="3">
        <f t="shared" si="31"/>
        <v>-2.7226992852092922</v>
      </c>
    </row>
    <row r="508" spans="1:8" x14ac:dyDescent="0.3">
      <c r="A508" s="2">
        <v>42144</v>
      </c>
      <c r="B508" s="3">
        <v>166176.2838115927</v>
      </c>
      <c r="C508" s="3">
        <v>178568.18048077749</v>
      </c>
      <c r="D508">
        <v>4394</v>
      </c>
      <c r="E508" s="3">
        <f t="shared" si="28"/>
        <v>37.818908468728424</v>
      </c>
      <c r="F508" s="16">
        <f t="shared" si="29"/>
        <v>-12391.896669184789</v>
      </c>
      <c r="G508" s="23">
        <f t="shared" si="30"/>
        <v>-7.457078943487791E-2</v>
      </c>
      <c r="H508" s="3">
        <f t="shared" si="31"/>
        <v>-2.8201858600784679</v>
      </c>
    </row>
    <row r="509" spans="1:8" x14ac:dyDescent="0.3">
      <c r="A509" s="2">
        <v>42145</v>
      </c>
      <c r="B509" s="3">
        <v>84604.377572639161</v>
      </c>
      <c r="C509" s="3">
        <v>81763.267389330111</v>
      </c>
      <c r="D509">
        <v>2012</v>
      </c>
      <c r="E509" s="3">
        <f t="shared" si="28"/>
        <v>42.049889449621851</v>
      </c>
      <c r="F509" s="16">
        <f t="shared" si="29"/>
        <v>2841.1101833090506</v>
      </c>
      <c r="G509" s="23">
        <f t="shared" si="30"/>
        <v>3.358112505313033E-2</v>
      </c>
      <c r="H509" s="3">
        <f t="shared" si="31"/>
        <v>1.412082596078057</v>
      </c>
    </row>
    <row r="510" spans="1:8" x14ac:dyDescent="0.3">
      <c r="A510" s="2">
        <v>42146</v>
      </c>
      <c r="B510" s="3">
        <v>321821.02028676088</v>
      </c>
      <c r="C510" s="3">
        <v>346487.52033416741</v>
      </c>
      <c r="D510">
        <v>8526</v>
      </c>
      <c r="E510" s="3">
        <f t="shared" si="28"/>
        <v>37.745838644940285</v>
      </c>
      <c r="F510" s="16">
        <f t="shared" si="29"/>
        <v>-24666.500047406531</v>
      </c>
      <c r="G510" s="23">
        <f t="shared" si="30"/>
        <v>-7.6646640500447338E-2</v>
      </c>
      <c r="H510" s="3">
        <f t="shared" si="31"/>
        <v>-2.8930917250066304</v>
      </c>
    </row>
    <row r="511" spans="1:8" x14ac:dyDescent="0.3">
      <c r="A511" s="2">
        <v>42147</v>
      </c>
      <c r="B511" s="3">
        <v>418715.41064993001</v>
      </c>
      <c r="C511" s="3">
        <v>450936.27926429448</v>
      </c>
      <c r="D511">
        <v>11096</v>
      </c>
      <c r="E511" s="3">
        <f t="shared" si="28"/>
        <v>37.735707520721881</v>
      </c>
      <c r="F511" s="16">
        <f t="shared" si="29"/>
        <v>-32220.868614364474</v>
      </c>
      <c r="G511" s="23">
        <f t="shared" si="30"/>
        <v>-7.6951714206915017E-2</v>
      </c>
      <c r="H511" s="3">
        <f t="shared" si="31"/>
        <v>-2.9038273805303239</v>
      </c>
    </row>
    <row r="512" spans="1:8" x14ac:dyDescent="0.3">
      <c r="A512" s="2">
        <v>42148</v>
      </c>
      <c r="B512" s="3">
        <v>169541.26594736151</v>
      </c>
      <c r="C512" s="3">
        <v>182419.1414416233</v>
      </c>
      <c r="D512">
        <v>4489</v>
      </c>
      <c r="E512" s="3">
        <f t="shared" si="28"/>
        <v>37.76815904374282</v>
      </c>
      <c r="F512" s="16">
        <f t="shared" si="29"/>
        <v>-12877.875494261796</v>
      </c>
      <c r="G512" s="23">
        <f t="shared" si="30"/>
        <v>-7.5957174333357094E-2</v>
      </c>
      <c r="H512" s="3">
        <f t="shared" si="31"/>
        <v>-2.8687626407355302</v>
      </c>
    </row>
    <row r="513" spans="1:8" x14ac:dyDescent="0.3">
      <c r="A513" s="2">
        <v>42149</v>
      </c>
      <c r="B513" s="3">
        <v>256434.50993607429</v>
      </c>
      <c r="C513" s="3">
        <v>276173.7924514967</v>
      </c>
      <c r="D513">
        <v>6795</v>
      </c>
      <c r="E513" s="3">
        <f t="shared" si="28"/>
        <v>37.738706392358246</v>
      </c>
      <c r="F513" s="16">
        <f t="shared" si="29"/>
        <v>-19739.282515422412</v>
      </c>
      <c r="G513" s="23">
        <f t="shared" si="30"/>
        <v>-7.6975920753970098E-2</v>
      </c>
      <c r="H513" s="3">
        <f t="shared" si="31"/>
        <v>-2.9049716726155133</v>
      </c>
    </row>
    <row r="514" spans="1:8" x14ac:dyDescent="0.3">
      <c r="A514" s="2">
        <v>42150</v>
      </c>
      <c r="B514" s="3">
        <v>199385.91241487031</v>
      </c>
      <c r="C514" s="3">
        <v>214719.75281922091</v>
      </c>
      <c r="D514">
        <v>5283</v>
      </c>
      <c r="E514" s="3">
        <f t="shared" ref="E514:E577" si="32">B514/D514</f>
        <v>37.74103963938488</v>
      </c>
      <c r="F514" s="16">
        <f t="shared" ref="F514:F577" si="33">B514-C514</f>
        <v>-15333.840404350602</v>
      </c>
      <c r="G514" s="23">
        <f t="shared" ref="G514:G577" si="34">F514/B514</f>
        <v>-7.6905335079265086E-2</v>
      </c>
      <c r="H514" s="3">
        <f t="shared" ref="H514:H577" si="35">F514/D514</f>
        <v>-2.9024872997067201</v>
      </c>
    </row>
    <row r="515" spans="1:8" x14ac:dyDescent="0.3">
      <c r="A515" s="2">
        <v>42151</v>
      </c>
      <c r="B515" s="3">
        <v>243554.22433855539</v>
      </c>
      <c r="C515" s="3">
        <v>262251.08007940761</v>
      </c>
      <c r="D515">
        <v>6453</v>
      </c>
      <c r="E515" s="3">
        <f t="shared" si="32"/>
        <v>37.742790072610475</v>
      </c>
      <c r="F515" s="16">
        <f t="shared" si="33"/>
        <v>-18696.855740852217</v>
      </c>
      <c r="G515" s="23">
        <f t="shared" si="34"/>
        <v>-7.6766706845792315E-2</v>
      </c>
      <c r="H515" s="3">
        <f t="shared" si="35"/>
        <v>-2.8973897010463689</v>
      </c>
    </row>
    <row r="516" spans="1:8" x14ac:dyDescent="0.3">
      <c r="A516" s="2">
        <v>42152</v>
      </c>
      <c r="B516" s="3">
        <v>217746.01291984669</v>
      </c>
      <c r="C516" s="3">
        <v>234483.41700980731</v>
      </c>
      <c r="D516">
        <v>5770</v>
      </c>
      <c r="E516" s="3">
        <f t="shared" si="32"/>
        <v>37.737610558032358</v>
      </c>
      <c r="F516" s="16">
        <f t="shared" si="33"/>
        <v>-16737.404089960619</v>
      </c>
      <c r="G516" s="23">
        <f t="shared" si="34"/>
        <v>-7.6866638637933332E-2</v>
      </c>
      <c r="H516" s="3">
        <f t="shared" si="35"/>
        <v>-2.9007632738233307</v>
      </c>
    </row>
    <row r="517" spans="1:8" x14ac:dyDescent="0.3">
      <c r="A517" s="2">
        <v>42153</v>
      </c>
      <c r="B517" s="3">
        <v>472160.75210974878</v>
      </c>
      <c r="C517" s="3">
        <v>508265.14697374182</v>
      </c>
      <c r="D517">
        <v>12507</v>
      </c>
      <c r="E517" s="3">
        <f t="shared" si="32"/>
        <v>37.751719206024525</v>
      </c>
      <c r="F517" s="16">
        <f t="shared" si="33"/>
        <v>-36104.394863993046</v>
      </c>
      <c r="G517" s="23">
        <f t="shared" si="34"/>
        <v>-7.6466319368283631E-2</v>
      </c>
      <c r="H517" s="3">
        <f t="shared" si="35"/>
        <v>-2.8867350175096385</v>
      </c>
    </row>
    <row r="518" spans="1:8" x14ac:dyDescent="0.3">
      <c r="A518" s="2">
        <v>42154</v>
      </c>
      <c r="B518" s="3">
        <v>546135.46241509903</v>
      </c>
      <c r="C518" s="3">
        <v>588250.18115078332</v>
      </c>
      <c r="D518">
        <v>14475</v>
      </c>
      <c r="E518" s="3">
        <f t="shared" si="32"/>
        <v>37.729565624531887</v>
      </c>
      <c r="F518" s="16">
        <f t="shared" si="33"/>
        <v>-42114.718735684291</v>
      </c>
      <c r="G518" s="23">
        <f t="shared" si="34"/>
        <v>-7.7114052527272658E-2</v>
      </c>
      <c r="H518" s="3">
        <f t="shared" si="35"/>
        <v>-2.9094797054013326</v>
      </c>
    </row>
    <row r="519" spans="1:8" x14ac:dyDescent="0.3">
      <c r="A519" s="2">
        <v>42155</v>
      </c>
      <c r="B519" s="3">
        <v>264637.36527971062</v>
      </c>
      <c r="C519" s="3">
        <v>284828.65965624881</v>
      </c>
      <c r="D519">
        <v>7009</v>
      </c>
      <c r="E519" s="3">
        <f t="shared" si="32"/>
        <v>37.756793448382169</v>
      </c>
      <c r="F519" s="16">
        <f t="shared" si="33"/>
        <v>-20191.294376538193</v>
      </c>
      <c r="G519" s="23">
        <f t="shared" si="34"/>
        <v>-7.629797234111986E-2</v>
      </c>
      <c r="H519" s="3">
        <f t="shared" si="35"/>
        <v>-2.8807667822140379</v>
      </c>
    </row>
    <row r="520" spans="1:8" x14ac:dyDescent="0.3">
      <c r="A520" s="2">
        <v>42156</v>
      </c>
      <c r="B520" s="3">
        <v>440905.99870597001</v>
      </c>
      <c r="C520" s="3">
        <v>474967.32763121481</v>
      </c>
      <c r="D520">
        <v>11688</v>
      </c>
      <c r="E520" s="3">
        <f t="shared" si="32"/>
        <v>37.722963612762662</v>
      </c>
      <c r="F520" s="16">
        <f t="shared" si="33"/>
        <v>-34061.328925244801</v>
      </c>
      <c r="G520" s="23">
        <f t="shared" si="34"/>
        <v>-7.7253040387775515E-2</v>
      </c>
      <c r="H520" s="3">
        <f t="shared" si="35"/>
        <v>-2.9142136315233405</v>
      </c>
    </row>
    <row r="521" spans="1:8" x14ac:dyDescent="0.3">
      <c r="A521" s="2">
        <v>42157</v>
      </c>
      <c r="B521" s="3">
        <v>334318.89783315209</v>
      </c>
      <c r="C521" s="3">
        <v>360168.82707700803</v>
      </c>
      <c r="D521">
        <v>8863</v>
      </c>
      <c r="E521" s="3">
        <f t="shared" si="32"/>
        <v>37.720737654648772</v>
      </c>
      <c r="F521" s="16">
        <f t="shared" si="33"/>
        <v>-25849.929243855935</v>
      </c>
      <c r="G521" s="23">
        <f t="shared" si="34"/>
        <v>-7.7321172722807946E-2</v>
      </c>
      <c r="H521" s="3">
        <f t="shared" si="35"/>
        <v>-2.9166116714268235</v>
      </c>
    </row>
    <row r="522" spans="1:8" x14ac:dyDescent="0.3">
      <c r="A522" s="2">
        <v>42158</v>
      </c>
      <c r="B522" s="3">
        <v>269835.82862680301</v>
      </c>
      <c r="C522" s="3">
        <v>290492.10628032242</v>
      </c>
      <c r="D522">
        <v>7148</v>
      </c>
      <c r="E522" s="3">
        <f t="shared" si="32"/>
        <v>37.749836125741886</v>
      </c>
      <c r="F522" s="16">
        <f t="shared" si="33"/>
        <v>-20656.277653519413</v>
      </c>
      <c r="G522" s="23">
        <f t="shared" si="34"/>
        <v>-7.6551278451936489E-2</v>
      </c>
      <c r="H522" s="3">
        <f t="shared" si="35"/>
        <v>-2.8897982167766387</v>
      </c>
    </row>
    <row r="523" spans="1:8" x14ac:dyDescent="0.3">
      <c r="A523" s="2">
        <v>42159</v>
      </c>
      <c r="B523" s="3">
        <v>201146.4892798303</v>
      </c>
      <c r="C523" s="3">
        <v>216428.50043796099</v>
      </c>
      <c r="D523">
        <v>5326</v>
      </c>
      <c r="E523" s="3">
        <f t="shared" si="32"/>
        <v>37.766896222273807</v>
      </c>
      <c r="F523" s="16">
        <f t="shared" si="33"/>
        <v>-15282.011158130685</v>
      </c>
      <c r="G523" s="23">
        <f t="shared" si="34"/>
        <v>-7.5974535836271576E-2</v>
      </c>
      <c r="H523" s="3">
        <f t="shared" si="35"/>
        <v>-2.8693224104638912</v>
      </c>
    </row>
    <row r="524" spans="1:8" x14ac:dyDescent="0.3">
      <c r="A524" s="2">
        <v>42160</v>
      </c>
      <c r="B524" s="3">
        <v>293461.08393818582</v>
      </c>
      <c r="C524" s="3">
        <v>315937.86219659372</v>
      </c>
      <c r="D524">
        <v>7775</v>
      </c>
      <c r="E524" s="3">
        <f t="shared" si="32"/>
        <v>37.744190860216825</v>
      </c>
      <c r="F524" s="16">
        <f t="shared" si="33"/>
        <v>-22476.778258407896</v>
      </c>
      <c r="G524" s="23">
        <f t="shared" si="34"/>
        <v>-7.659202357182858E-2</v>
      </c>
      <c r="H524" s="3">
        <f t="shared" si="35"/>
        <v>-2.890903956065324</v>
      </c>
    </row>
    <row r="525" spans="1:8" x14ac:dyDescent="0.3">
      <c r="A525" s="2">
        <v>42161</v>
      </c>
      <c r="B525" s="3">
        <v>349413.00982046733</v>
      </c>
      <c r="C525" s="3">
        <v>376094.7218058327</v>
      </c>
      <c r="D525">
        <v>9255</v>
      </c>
      <c r="E525" s="3">
        <f t="shared" si="32"/>
        <v>37.753971887678802</v>
      </c>
      <c r="F525" s="16">
        <f t="shared" si="33"/>
        <v>-26681.711985365371</v>
      </c>
      <c r="G525" s="23">
        <f t="shared" si="34"/>
        <v>-7.6361529867118458E-2</v>
      </c>
      <c r="H525" s="3">
        <f t="shared" si="35"/>
        <v>-2.8829510519033357</v>
      </c>
    </row>
    <row r="526" spans="1:8" x14ac:dyDescent="0.3">
      <c r="A526" s="2">
        <v>42162</v>
      </c>
      <c r="B526" s="3">
        <v>179602.91516319031</v>
      </c>
      <c r="C526" s="3">
        <v>193348.59144622891</v>
      </c>
      <c r="D526">
        <v>4758</v>
      </c>
      <c r="E526" s="3">
        <f t="shared" si="32"/>
        <v>37.7475651877239</v>
      </c>
      <c r="F526" s="16">
        <f t="shared" si="33"/>
        <v>-13745.6762830386</v>
      </c>
      <c r="G526" s="23">
        <f t="shared" si="34"/>
        <v>-7.6533703645895956E-2</v>
      </c>
      <c r="H526" s="3">
        <f t="shared" si="35"/>
        <v>-2.8889609674313999</v>
      </c>
    </row>
    <row r="527" spans="1:8" x14ac:dyDescent="0.3">
      <c r="A527" s="2">
        <v>42163</v>
      </c>
      <c r="B527" s="3">
        <v>109810.54567571809</v>
      </c>
      <c r="C527" s="3">
        <v>106166.08162125781</v>
      </c>
      <c r="D527">
        <v>2613</v>
      </c>
      <c r="E527" s="3">
        <f t="shared" si="32"/>
        <v>42.024701751135893</v>
      </c>
      <c r="F527" s="16">
        <f t="shared" si="33"/>
        <v>3644.464054460288</v>
      </c>
      <c r="G527" s="23">
        <f t="shared" si="34"/>
        <v>3.3188652620147863E-2</v>
      </c>
      <c r="H527" s="3">
        <f t="shared" si="35"/>
        <v>1.3947432278837688</v>
      </c>
    </row>
    <row r="528" spans="1:8" x14ac:dyDescent="0.3">
      <c r="A528" s="2">
        <v>42164</v>
      </c>
      <c r="B528" s="3">
        <v>76956.920353649635</v>
      </c>
      <c r="C528" s="3">
        <v>74212.790574549421</v>
      </c>
      <c r="D528">
        <v>1830</v>
      </c>
      <c r="E528" s="3">
        <f t="shared" si="32"/>
        <v>42.052961941885044</v>
      </c>
      <c r="F528" s="16">
        <f t="shared" si="33"/>
        <v>2744.1297791002144</v>
      </c>
      <c r="G528" s="23">
        <f t="shared" si="34"/>
        <v>3.5657998871183726E-2</v>
      </c>
      <c r="H528" s="3">
        <f t="shared" si="35"/>
        <v>1.4995244694536691</v>
      </c>
    </row>
    <row r="529" spans="1:8" x14ac:dyDescent="0.3">
      <c r="A529" s="2">
        <v>42165</v>
      </c>
      <c r="B529" s="3">
        <v>71199.588402039517</v>
      </c>
      <c r="C529" s="3">
        <v>68669.394963916289</v>
      </c>
      <c r="D529">
        <v>1694</v>
      </c>
      <c r="E529" s="3">
        <f t="shared" si="32"/>
        <v>42.030453602148476</v>
      </c>
      <c r="F529" s="16">
        <f t="shared" si="33"/>
        <v>2530.1934381232277</v>
      </c>
      <c r="G529" s="23">
        <f t="shared" si="34"/>
        <v>3.5536630125389185E-2</v>
      </c>
      <c r="H529" s="3">
        <f t="shared" si="35"/>
        <v>1.4936206836618817</v>
      </c>
    </row>
    <row r="530" spans="1:8" x14ac:dyDescent="0.3">
      <c r="A530" s="2">
        <v>42166</v>
      </c>
      <c r="B530" s="3">
        <v>68988.346670324769</v>
      </c>
      <c r="C530" s="3">
        <v>66539.165195767971</v>
      </c>
      <c r="D530">
        <v>1642</v>
      </c>
      <c r="E530" s="3">
        <f t="shared" si="32"/>
        <v>42.014827448431653</v>
      </c>
      <c r="F530" s="16">
        <f t="shared" si="33"/>
        <v>2449.1814745567972</v>
      </c>
      <c r="G530" s="23">
        <f t="shared" si="34"/>
        <v>3.5501379475880508E-2</v>
      </c>
      <c r="H530" s="3">
        <f t="shared" si="35"/>
        <v>1.4915843328604124</v>
      </c>
    </row>
    <row r="531" spans="1:8" x14ac:dyDescent="0.3">
      <c r="A531" s="2">
        <v>42167</v>
      </c>
      <c r="B531" s="3">
        <v>155156.87922800641</v>
      </c>
      <c r="C531" s="3">
        <v>149423.24358090671</v>
      </c>
      <c r="D531">
        <v>3690</v>
      </c>
      <c r="E531" s="3">
        <f t="shared" si="32"/>
        <v>42.047934750137237</v>
      </c>
      <c r="F531" s="16">
        <f t="shared" si="33"/>
        <v>5733.635647099698</v>
      </c>
      <c r="G531" s="23">
        <f t="shared" si="34"/>
        <v>3.6953795897595981E-2</v>
      </c>
      <c r="H531" s="3">
        <f t="shared" si="35"/>
        <v>1.5538307986720048</v>
      </c>
    </row>
    <row r="532" spans="1:8" x14ac:dyDescent="0.3">
      <c r="A532" s="2">
        <v>42168</v>
      </c>
      <c r="B532" s="3">
        <v>185109.5231460139</v>
      </c>
      <c r="C532" s="3">
        <v>178347.369376849</v>
      </c>
      <c r="D532">
        <v>4404</v>
      </c>
      <c r="E532" s="3">
        <f t="shared" si="32"/>
        <v>42.032135137605337</v>
      </c>
      <c r="F532" s="16">
        <f t="shared" si="33"/>
        <v>6762.1537691648991</v>
      </c>
      <c r="G532" s="23">
        <f t="shared" si="34"/>
        <v>3.6530555825757975E-2</v>
      </c>
      <c r="H532" s="3">
        <f t="shared" si="35"/>
        <v>1.5354572591200952</v>
      </c>
    </row>
    <row r="533" spans="1:8" x14ac:dyDescent="0.3">
      <c r="A533" s="2">
        <v>42169</v>
      </c>
      <c r="B533" s="3">
        <v>83779.544010808924</v>
      </c>
      <c r="C533" s="3">
        <v>80659.821812082024</v>
      </c>
      <c r="D533">
        <v>1992</v>
      </c>
      <c r="E533" s="3">
        <f t="shared" si="32"/>
        <v>42.058004021490426</v>
      </c>
      <c r="F533" s="16">
        <f t="shared" si="33"/>
        <v>3119.7221987269004</v>
      </c>
      <c r="G533" s="23">
        <f t="shared" si="34"/>
        <v>3.7237278330428794E-2</v>
      </c>
      <c r="H533" s="3">
        <f t="shared" si="35"/>
        <v>1.5661256017705323</v>
      </c>
    </row>
    <row r="534" spans="1:8" x14ac:dyDescent="0.3">
      <c r="A534" s="2">
        <v>42170</v>
      </c>
      <c r="B534" s="3">
        <v>149501.57453075761</v>
      </c>
      <c r="C534" s="3">
        <v>143962.87189290189</v>
      </c>
      <c r="D534">
        <v>3557</v>
      </c>
      <c r="E534" s="3">
        <f t="shared" si="32"/>
        <v>42.030243050536299</v>
      </c>
      <c r="F534" s="16">
        <f t="shared" si="33"/>
        <v>5538.7026378557202</v>
      </c>
      <c r="G534" s="23">
        <f t="shared" si="34"/>
        <v>3.7047787993137279E-2</v>
      </c>
      <c r="H534" s="3">
        <f t="shared" si="35"/>
        <v>1.5571275338363004</v>
      </c>
    </row>
    <row r="535" spans="1:8" x14ac:dyDescent="0.3">
      <c r="A535" s="2">
        <v>42171</v>
      </c>
      <c r="B535" s="3">
        <v>100477.29679260369</v>
      </c>
      <c r="C535" s="3">
        <v>96810.103581569099</v>
      </c>
      <c r="D535">
        <v>2395</v>
      </c>
      <c r="E535" s="3">
        <f t="shared" si="32"/>
        <v>41.95294229336271</v>
      </c>
      <c r="F535" s="16">
        <f t="shared" si="33"/>
        <v>3667.1932110345952</v>
      </c>
      <c r="G535" s="23">
        <f t="shared" si="34"/>
        <v>3.6497729617508412E-2</v>
      </c>
      <c r="H535" s="3">
        <f t="shared" si="35"/>
        <v>1.5311871444820857</v>
      </c>
    </row>
    <row r="536" spans="1:8" x14ac:dyDescent="0.3">
      <c r="A536" s="2">
        <v>42172</v>
      </c>
      <c r="B536" s="3">
        <v>89072.705347079172</v>
      </c>
      <c r="C536" s="3">
        <v>85639.307745994563</v>
      </c>
      <c r="D536">
        <v>2120</v>
      </c>
      <c r="E536" s="3">
        <f t="shared" si="32"/>
        <v>42.015427050509047</v>
      </c>
      <c r="F536" s="16">
        <f t="shared" si="33"/>
        <v>3433.3976010846091</v>
      </c>
      <c r="G536" s="23">
        <f t="shared" si="34"/>
        <v>3.8546012358175168E-2</v>
      </c>
      <c r="H536" s="3">
        <f t="shared" si="35"/>
        <v>1.6195271703229288</v>
      </c>
    </row>
    <row r="537" spans="1:8" x14ac:dyDescent="0.3">
      <c r="A537" s="2">
        <v>42173</v>
      </c>
      <c r="B537" s="3">
        <v>78746.595857519525</v>
      </c>
      <c r="C537" s="3">
        <v>75673.78198741567</v>
      </c>
      <c r="D537">
        <v>1875</v>
      </c>
      <c r="E537" s="3">
        <f t="shared" si="32"/>
        <v>41.998184457343747</v>
      </c>
      <c r="F537" s="16">
        <f t="shared" si="33"/>
        <v>3072.8138701038552</v>
      </c>
      <c r="G537" s="23">
        <f t="shared" si="34"/>
        <v>3.9021545460373466E-2</v>
      </c>
      <c r="H537" s="3">
        <f t="shared" si="35"/>
        <v>1.6388340640553893</v>
      </c>
    </row>
    <row r="538" spans="1:8" x14ac:dyDescent="0.3">
      <c r="A538" s="2">
        <v>42174</v>
      </c>
      <c r="B538" s="3">
        <v>141913.38242954639</v>
      </c>
      <c r="C538" s="3">
        <v>136017.75039375731</v>
      </c>
      <c r="D538">
        <v>3376</v>
      </c>
      <c r="E538" s="3">
        <f t="shared" si="32"/>
        <v>42.03595451112156</v>
      </c>
      <c r="F538" s="16">
        <f t="shared" si="33"/>
        <v>5895.63203578908</v>
      </c>
      <c r="G538" s="23">
        <f t="shared" si="34"/>
        <v>4.1543876517184671E-2</v>
      </c>
      <c r="H538" s="3">
        <f t="shared" si="35"/>
        <v>1.746336503492026</v>
      </c>
    </row>
    <row r="539" spans="1:8" x14ac:dyDescent="0.3">
      <c r="A539" s="2">
        <v>42175</v>
      </c>
      <c r="B539" s="3">
        <v>169304.27828351519</v>
      </c>
      <c r="C539" s="3">
        <v>162287.90922482399</v>
      </c>
      <c r="D539">
        <v>4027</v>
      </c>
      <c r="E539" s="3">
        <f t="shared" si="32"/>
        <v>42.042284152847081</v>
      </c>
      <c r="F539" s="16">
        <f t="shared" si="33"/>
        <v>7016.369058691198</v>
      </c>
      <c r="G539" s="23">
        <f t="shared" si="34"/>
        <v>4.1442361231661611E-2</v>
      </c>
      <c r="H539" s="3">
        <f t="shared" si="35"/>
        <v>1.742331526866451</v>
      </c>
    </row>
    <row r="540" spans="1:8" x14ac:dyDescent="0.3">
      <c r="A540" s="2">
        <v>42176</v>
      </c>
      <c r="B540" s="3">
        <v>89512.242836068428</v>
      </c>
      <c r="C540" s="3">
        <v>85781.807031229662</v>
      </c>
      <c r="D540">
        <v>2128</v>
      </c>
      <c r="E540" s="3">
        <f t="shared" si="32"/>
        <v>42.064023889129899</v>
      </c>
      <c r="F540" s="16">
        <f t="shared" si="33"/>
        <v>3730.4358048387658</v>
      </c>
      <c r="G540" s="23">
        <f t="shared" si="34"/>
        <v>4.1675146177161913E-2</v>
      </c>
      <c r="H540" s="3">
        <f t="shared" si="35"/>
        <v>1.7530243443791194</v>
      </c>
    </row>
    <row r="541" spans="1:8" x14ac:dyDescent="0.3">
      <c r="A541" s="2">
        <v>42177</v>
      </c>
      <c r="B541" s="3">
        <v>85984.075339139163</v>
      </c>
      <c r="C541" s="3">
        <v>82427.231536907115</v>
      </c>
      <c r="D541">
        <v>2046</v>
      </c>
      <c r="E541" s="3">
        <f t="shared" si="32"/>
        <v>42.025452267418949</v>
      </c>
      <c r="F541" s="16">
        <f t="shared" si="33"/>
        <v>3556.8438022320479</v>
      </c>
      <c r="G541" s="23">
        <f t="shared" si="34"/>
        <v>4.1366308682196241E-2</v>
      </c>
      <c r="H541" s="3">
        <f t="shared" si="35"/>
        <v>1.738437831002956</v>
      </c>
    </row>
    <row r="542" spans="1:8" x14ac:dyDescent="0.3">
      <c r="A542" s="2">
        <v>42178</v>
      </c>
      <c r="B542" s="3">
        <v>64956.462075899639</v>
      </c>
      <c r="C542" s="3">
        <v>62169.777124857188</v>
      </c>
      <c r="D542">
        <v>1546</v>
      </c>
      <c r="E542" s="3">
        <f t="shared" si="32"/>
        <v>42.015822817528871</v>
      </c>
      <c r="F542" s="16">
        <f t="shared" si="33"/>
        <v>2786.6849510424508</v>
      </c>
      <c r="G542" s="23">
        <f t="shared" si="34"/>
        <v>4.290081174350744E-2</v>
      </c>
      <c r="H542" s="3">
        <f t="shared" si="35"/>
        <v>1.8025129049433706</v>
      </c>
    </row>
    <row r="543" spans="1:8" x14ac:dyDescent="0.3">
      <c r="A543" s="2">
        <v>42179</v>
      </c>
      <c r="B543" s="3">
        <v>106613.4328354785</v>
      </c>
      <c r="C543" s="3">
        <v>113428.4742746674</v>
      </c>
      <c r="D543">
        <v>2822</v>
      </c>
      <c r="E543" s="3">
        <f t="shared" si="32"/>
        <v>37.779387964379339</v>
      </c>
      <c r="F543" s="16">
        <f t="shared" si="33"/>
        <v>-6815.0414391889062</v>
      </c>
      <c r="G543" s="23">
        <f t="shared" si="34"/>
        <v>-6.3922915320676343E-2</v>
      </c>
      <c r="H543" s="3">
        <f t="shared" si="35"/>
        <v>-2.4149686177139995</v>
      </c>
    </row>
    <row r="544" spans="1:8" x14ac:dyDescent="0.3">
      <c r="A544" s="2">
        <v>42180</v>
      </c>
      <c r="B544" s="3">
        <v>183843.81729524271</v>
      </c>
      <c r="C544" s="3">
        <v>195365.7307199428</v>
      </c>
      <c r="D544">
        <v>4865</v>
      </c>
      <c r="E544" s="3">
        <f t="shared" si="32"/>
        <v>37.789068303235915</v>
      </c>
      <c r="F544" s="16">
        <f t="shared" si="33"/>
        <v>-11521.913424700091</v>
      </c>
      <c r="G544" s="23">
        <f t="shared" si="34"/>
        <v>-6.2672292134777388E-2</v>
      </c>
      <c r="H544" s="3">
        <f t="shared" si="35"/>
        <v>-2.3683275282014575</v>
      </c>
    </row>
    <row r="545" spans="1:8" x14ac:dyDescent="0.3">
      <c r="A545" s="2">
        <v>42181</v>
      </c>
      <c r="B545" s="3">
        <v>319579.79409435572</v>
      </c>
      <c r="C545" s="3">
        <v>339241.69180245663</v>
      </c>
      <c r="D545">
        <v>8450</v>
      </c>
      <c r="E545" s="3">
        <f t="shared" si="32"/>
        <v>37.820093975663397</v>
      </c>
      <c r="F545" s="16">
        <f t="shared" si="33"/>
        <v>-19661.897708100907</v>
      </c>
      <c r="G545" s="23">
        <f t="shared" si="34"/>
        <v>-6.1524220465251772E-2</v>
      </c>
      <c r="H545" s="3">
        <f t="shared" si="35"/>
        <v>-2.3268517997752554</v>
      </c>
    </row>
    <row r="546" spans="1:8" x14ac:dyDescent="0.3">
      <c r="A546" s="2">
        <v>42182</v>
      </c>
      <c r="B546" s="3">
        <v>369245.75870664971</v>
      </c>
      <c r="C546" s="3">
        <v>392017.97345098661</v>
      </c>
      <c r="D546">
        <v>9770</v>
      </c>
      <c r="E546" s="3">
        <f t="shared" si="32"/>
        <v>37.793834053904781</v>
      </c>
      <c r="F546" s="16">
        <f t="shared" si="33"/>
        <v>-22772.214744336903</v>
      </c>
      <c r="G546" s="23">
        <f t="shared" si="34"/>
        <v>-6.1672244588809141E-2</v>
      </c>
      <c r="H546" s="3">
        <f t="shared" si="35"/>
        <v>-2.3308305777212799</v>
      </c>
    </row>
    <row r="547" spans="1:8" x14ac:dyDescent="0.3">
      <c r="A547" s="2">
        <v>42183</v>
      </c>
      <c r="B547" s="3">
        <v>185648.49109673029</v>
      </c>
      <c r="C547" s="3">
        <v>197095.1087429694</v>
      </c>
      <c r="D547">
        <v>4914</v>
      </c>
      <c r="E547" s="3">
        <f t="shared" si="32"/>
        <v>37.779505717690334</v>
      </c>
      <c r="F547" s="16">
        <f t="shared" si="33"/>
        <v>-11446.617646239116</v>
      </c>
      <c r="G547" s="23">
        <f t="shared" si="34"/>
        <v>-6.1657477411302904E-2</v>
      </c>
      <c r="H547" s="3">
        <f t="shared" si="35"/>
        <v>-2.3293890203986805</v>
      </c>
    </row>
    <row r="548" spans="1:8" x14ac:dyDescent="0.3">
      <c r="A548" s="2">
        <v>42184</v>
      </c>
      <c r="B548" s="3">
        <v>165557.76178385271</v>
      </c>
      <c r="C548" s="3">
        <v>175871.11092052259</v>
      </c>
      <c r="D548">
        <v>4385</v>
      </c>
      <c r="E548" s="3">
        <f t="shared" si="32"/>
        <v>37.755475891414527</v>
      </c>
      <c r="F548" s="16">
        <f t="shared" si="33"/>
        <v>-10313.349136669887</v>
      </c>
      <c r="G548" s="23">
        <f t="shared" si="34"/>
        <v>-6.2294567319257969E-2</v>
      </c>
      <c r="H548" s="3">
        <f t="shared" si="35"/>
        <v>-2.3519610345883439</v>
      </c>
    </row>
    <row r="549" spans="1:8" x14ac:dyDescent="0.3">
      <c r="A549" s="2">
        <v>42185</v>
      </c>
      <c r="B549" s="3">
        <v>212465.0832049415</v>
      </c>
      <c r="C549" s="3">
        <v>225678.93452530191</v>
      </c>
      <c r="D549">
        <v>5627</v>
      </c>
      <c r="E549" s="3">
        <f t="shared" si="32"/>
        <v>37.758145229241428</v>
      </c>
      <c r="F549" s="16">
        <f t="shared" si="33"/>
        <v>-13213.851320360409</v>
      </c>
      <c r="G549" s="23">
        <f t="shared" si="34"/>
        <v>-6.219304895202226E-2</v>
      </c>
      <c r="H549" s="3">
        <f t="shared" si="35"/>
        <v>-2.3482941745797778</v>
      </c>
    </row>
    <row r="550" spans="1:8" x14ac:dyDescent="0.3">
      <c r="A550" s="2">
        <v>42186</v>
      </c>
      <c r="B550" s="3">
        <v>305231.90808635822</v>
      </c>
      <c r="C550" s="3">
        <v>324248.84149134008</v>
      </c>
      <c r="D550">
        <v>8086</v>
      </c>
      <c r="E550" s="3">
        <f t="shared" si="32"/>
        <v>37.748195410135814</v>
      </c>
      <c r="F550" s="16">
        <f t="shared" si="33"/>
        <v>-19016.933404981857</v>
      </c>
      <c r="G550" s="23">
        <f t="shared" si="34"/>
        <v>-6.2303228794813488E-2</v>
      </c>
      <c r="H550" s="3">
        <f t="shared" si="35"/>
        <v>-2.35183445522902</v>
      </c>
    </row>
    <row r="551" spans="1:8" x14ac:dyDescent="0.3">
      <c r="A551" s="2">
        <v>42187</v>
      </c>
      <c r="B551" s="3">
        <v>250481.61765724421</v>
      </c>
      <c r="C551" s="3">
        <v>266061.92835854058</v>
      </c>
      <c r="D551">
        <v>6639</v>
      </c>
      <c r="E551" s="3">
        <f t="shared" si="32"/>
        <v>37.728817240133182</v>
      </c>
      <c r="F551" s="16">
        <f t="shared" si="33"/>
        <v>-15580.310701296374</v>
      </c>
      <c r="G551" s="23">
        <f t="shared" si="34"/>
        <v>-6.220141360878733E-2</v>
      </c>
      <c r="H551" s="3">
        <f t="shared" si="35"/>
        <v>-2.3467857661238702</v>
      </c>
    </row>
    <row r="552" spans="1:8" x14ac:dyDescent="0.3">
      <c r="A552" s="2">
        <v>42188</v>
      </c>
      <c r="B552" s="3">
        <v>268410.4807020094</v>
      </c>
      <c r="C552" s="3">
        <v>284592.99466123187</v>
      </c>
      <c r="D552">
        <v>7104</v>
      </c>
      <c r="E552" s="3">
        <f t="shared" si="32"/>
        <v>37.78300685557565</v>
      </c>
      <c r="F552" s="16">
        <f t="shared" si="33"/>
        <v>-16182.513959222473</v>
      </c>
      <c r="G552" s="23">
        <f t="shared" si="34"/>
        <v>-6.0290171668774657E-2</v>
      </c>
      <c r="H552" s="3">
        <f t="shared" si="35"/>
        <v>-2.2779439694851455</v>
      </c>
    </row>
    <row r="553" spans="1:8" x14ac:dyDescent="0.3">
      <c r="A553" s="2">
        <v>42189</v>
      </c>
      <c r="B553" s="3">
        <v>316365.49873839208</v>
      </c>
      <c r="C553" s="3">
        <v>335025.07636012638</v>
      </c>
      <c r="D553">
        <v>8364</v>
      </c>
      <c r="E553" s="3">
        <f t="shared" si="32"/>
        <v>37.82466508110857</v>
      </c>
      <c r="F553" s="16">
        <f t="shared" si="33"/>
        <v>-18659.577621734294</v>
      </c>
      <c r="G553" s="23">
        <f t="shared" si="34"/>
        <v>-5.8981076306187895E-2</v>
      </c>
      <c r="H553" s="3">
        <f t="shared" si="35"/>
        <v>-2.2309394574048653</v>
      </c>
    </row>
    <row r="554" spans="1:8" x14ac:dyDescent="0.3">
      <c r="A554" s="2">
        <v>42190</v>
      </c>
      <c r="B554" s="3">
        <v>156873.04365826401</v>
      </c>
      <c r="C554" s="3">
        <v>165968.6245016396</v>
      </c>
      <c r="D554">
        <v>4146</v>
      </c>
      <c r="E554" s="3">
        <f t="shared" si="32"/>
        <v>37.837203004887606</v>
      </c>
      <c r="F554" s="16">
        <f t="shared" si="33"/>
        <v>-9095.5808433755883</v>
      </c>
      <c r="G554" s="23">
        <f t="shared" si="34"/>
        <v>-5.7980521262720054E-2</v>
      </c>
      <c r="H554" s="3">
        <f t="shared" si="35"/>
        <v>-2.1938207533467411</v>
      </c>
    </row>
    <row r="555" spans="1:8" x14ac:dyDescent="0.3">
      <c r="A555" s="2">
        <v>42191</v>
      </c>
      <c r="B555" s="3">
        <v>173987.75154080149</v>
      </c>
      <c r="C555" s="3">
        <v>184188.97897635491</v>
      </c>
      <c r="D555">
        <v>4601</v>
      </c>
      <c r="E555" s="3">
        <f t="shared" si="32"/>
        <v>37.815203551576069</v>
      </c>
      <c r="F555" s="16">
        <f t="shared" si="33"/>
        <v>-10201.227435553417</v>
      </c>
      <c r="G555" s="23">
        <f t="shared" si="34"/>
        <v>-5.8631871181812185E-2</v>
      </c>
      <c r="H555" s="3">
        <f t="shared" si="35"/>
        <v>-2.2171761433500148</v>
      </c>
    </row>
    <row r="556" spans="1:8" x14ac:dyDescent="0.3">
      <c r="A556" s="2">
        <v>42192</v>
      </c>
      <c r="B556" s="3">
        <v>135753.76604209639</v>
      </c>
      <c r="C556" s="3">
        <v>143799.59868752939</v>
      </c>
      <c r="D556">
        <v>3593</v>
      </c>
      <c r="E556" s="3">
        <f t="shared" si="32"/>
        <v>37.782846101334925</v>
      </c>
      <c r="F556" s="16">
        <f t="shared" si="33"/>
        <v>-8045.8326454329945</v>
      </c>
      <c r="G556" s="23">
        <f t="shared" si="34"/>
        <v>-5.9267841180465165E-2</v>
      </c>
      <c r="H556" s="3">
        <f t="shared" si="35"/>
        <v>-2.2393077220798761</v>
      </c>
    </row>
    <row r="557" spans="1:8" x14ac:dyDescent="0.3">
      <c r="A557" s="2">
        <v>42193</v>
      </c>
      <c r="B557" s="3">
        <v>84426.509412029525</v>
      </c>
      <c r="C557" s="3">
        <v>84588.963035420922</v>
      </c>
      <c r="D557">
        <v>2114</v>
      </c>
      <c r="E557" s="3">
        <f t="shared" si="32"/>
        <v>39.936854026504029</v>
      </c>
      <c r="F557" s="16">
        <f t="shared" si="33"/>
        <v>-162.45362339139683</v>
      </c>
      <c r="G557" s="23">
        <f t="shared" si="34"/>
        <v>-1.9242015869514273E-3</v>
      </c>
      <c r="H557" s="3">
        <f t="shared" si="35"/>
        <v>-7.6846557895646567E-2</v>
      </c>
    </row>
    <row r="558" spans="1:8" x14ac:dyDescent="0.3">
      <c r="A558" s="2">
        <v>42194</v>
      </c>
      <c r="B558" s="3">
        <v>70815.190285530247</v>
      </c>
      <c r="C558" s="3">
        <v>71913.068580605148</v>
      </c>
      <c r="D558">
        <v>1797</v>
      </c>
      <c r="E558" s="3">
        <f t="shared" si="32"/>
        <v>39.407451466627847</v>
      </c>
      <c r="F558" s="16">
        <f t="shared" si="33"/>
        <v>-1097.878295074901</v>
      </c>
      <c r="G558" s="23">
        <f t="shared" si="34"/>
        <v>-1.5503429287532844E-2</v>
      </c>
      <c r="H558" s="3">
        <f t="shared" si="35"/>
        <v>-0.61095063721474729</v>
      </c>
    </row>
    <row r="559" spans="1:8" x14ac:dyDescent="0.3">
      <c r="A559" s="2">
        <v>42195</v>
      </c>
      <c r="B559" s="3">
        <v>125983.15175354639</v>
      </c>
      <c r="C559" s="3">
        <v>127884.5872444484</v>
      </c>
      <c r="D559">
        <v>3195</v>
      </c>
      <c r="E559" s="3">
        <f t="shared" si="32"/>
        <v>39.431346401735958</v>
      </c>
      <c r="F559" s="16">
        <f t="shared" si="33"/>
        <v>-1901.4354909020039</v>
      </c>
      <c r="G559" s="23">
        <f t="shared" si="34"/>
        <v>-1.5092776013586905E-2</v>
      </c>
      <c r="H559" s="3">
        <f t="shared" si="35"/>
        <v>-0.59512847915555678</v>
      </c>
    </row>
    <row r="560" spans="1:8" x14ac:dyDescent="0.3">
      <c r="A560" s="2">
        <v>42196</v>
      </c>
      <c r="B560" s="3">
        <v>142378.1840412264</v>
      </c>
      <c r="C560" s="3">
        <v>143924.56511903761</v>
      </c>
      <c r="D560">
        <v>3595</v>
      </c>
      <c r="E560" s="3">
        <f t="shared" si="32"/>
        <v>39.604501819534462</v>
      </c>
      <c r="F560" s="16">
        <f t="shared" si="33"/>
        <v>-1546.3810778112093</v>
      </c>
      <c r="G560" s="23">
        <f t="shared" si="34"/>
        <v>-1.086108162022523E-2</v>
      </c>
      <c r="H560" s="3">
        <f t="shared" si="35"/>
        <v>-0.43014772679032248</v>
      </c>
    </row>
    <row r="561" spans="1:8" x14ac:dyDescent="0.3">
      <c r="A561" s="2">
        <v>42197</v>
      </c>
      <c r="B561" s="3">
        <v>57427.680707010128</v>
      </c>
      <c r="C561" s="3">
        <v>58723.040531751663</v>
      </c>
      <c r="D561">
        <v>1467</v>
      </c>
      <c r="E561" s="3">
        <f t="shared" si="32"/>
        <v>39.146339950245483</v>
      </c>
      <c r="F561" s="16">
        <f t="shared" si="33"/>
        <v>-1295.3598247415357</v>
      </c>
      <c r="G561" s="23">
        <f t="shared" si="34"/>
        <v>-2.2556366699716165E-2</v>
      </c>
      <c r="H561" s="3">
        <f t="shared" si="35"/>
        <v>-0.88299919886948586</v>
      </c>
    </row>
    <row r="562" spans="1:8" x14ac:dyDescent="0.3">
      <c r="A562" s="2">
        <v>42198</v>
      </c>
      <c r="B562" s="3">
        <v>63331.33100223037</v>
      </c>
      <c r="C562" s="3">
        <v>64690.059069980809</v>
      </c>
      <c r="D562">
        <v>1610</v>
      </c>
      <c r="E562" s="3">
        <f t="shared" si="32"/>
        <v>39.336230436167931</v>
      </c>
      <c r="F562" s="16">
        <f t="shared" si="33"/>
        <v>-1358.7280677504386</v>
      </c>
      <c r="G562" s="23">
        <f t="shared" si="34"/>
        <v>-2.1454279362967874E-2</v>
      </c>
      <c r="H562" s="3">
        <f t="shared" si="35"/>
        <v>-0.84393047686362643</v>
      </c>
    </row>
    <row r="563" spans="1:8" x14ac:dyDescent="0.3">
      <c r="A563" s="2">
        <v>42199</v>
      </c>
      <c r="B563" s="3">
        <v>51241.02855330037</v>
      </c>
      <c r="C563" s="3">
        <v>52509.916219996157</v>
      </c>
      <c r="D563">
        <v>1307</v>
      </c>
      <c r="E563" s="3">
        <f t="shared" si="32"/>
        <v>39.205071578653687</v>
      </c>
      <c r="F563" s="16">
        <f t="shared" si="33"/>
        <v>-1268.8876666957876</v>
      </c>
      <c r="G563" s="23">
        <f t="shared" si="34"/>
        <v>-2.4763118589157598E-2</v>
      </c>
      <c r="H563" s="3">
        <f t="shared" si="35"/>
        <v>-0.9708398367986133</v>
      </c>
    </row>
    <row r="564" spans="1:8" x14ac:dyDescent="0.3">
      <c r="A564" s="2">
        <v>42200</v>
      </c>
      <c r="B564" s="3">
        <v>80326.440809250256</v>
      </c>
      <c r="C564" s="3">
        <v>81730.270702131005</v>
      </c>
      <c r="D564">
        <v>2050</v>
      </c>
      <c r="E564" s="3">
        <f t="shared" si="32"/>
        <v>39.183629663048904</v>
      </c>
      <c r="F564" s="16">
        <f t="shared" si="33"/>
        <v>-1403.829892880749</v>
      </c>
      <c r="G564" s="23">
        <f t="shared" si="34"/>
        <v>-1.7476560379594042E-2</v>
      </c>
      <c r="H564" s="3">
        <f t="shared" si="35"/>
        <v>-0.68479506969792636</v>
      </c>
    </row>
    <row r="565" spans="1:8" x14ac:dyDescent="0.3">
      <c r="A565" s="2">
        <v>42201</v>
      </c>
      <c r="B565" s="3">
        <v>71912.565728060246</v>
      </c>
      <c r="C565" s="3">
        <v>73762.629173268782</v>
      </c>
      <c r="D565">
        <v>1849</v>
      </c>
      <c r="E565" s="3">
        <f t="shared" si="32"/>
        <v>38.892680220692398</v>
      </c>
      <c r="F565" s="16">
        <f t="shared" si="33"/>
        <v>-1850.063445208536</v>
      </c>
      <c r="G565" s="23">
        <f t="shared" si="34"/>
        <v>-2.5726567067633387E-2</v>
      </c>
      <c r="H565" s="3">
        <f t="shared" si="35"/>
        <v>-1.0005751461376615</v>
      </c>
    </row>
    <row r="566" spans="1:8" x14ac:dyDescent="0.3">
      <c r="A566" s="2">
        <v>42202</v>
      </c>
      <c r="B566" s="3">
        <v>119204.3095347464</v>
      </c>
      <c r="C566" s="3">
        <v>122669.6994279253</v>
      </c>
      <c r="D566">
        <v>3070</v>
      </c>
      <c r="E566" s="3">
        <f t="shared" si="32"/>
        <v>38.828765320764298</v>
      </c>
      <c r="F566" s="16">
        <f t="shared" si="33"/>
        <v>-3465.3898931789008</v>
      </c>
      <c r="G566" s="23">
        <f t="shared" si="34"/>
        <v>-2.9071011834255773E-2</v>
      </c>
      <c r="H566" s="3">
        <f t="shared" si="35"/>
        <v>-1.1287914961494792</v>
      </c>
    </row>
    <row r="567" spans="1:8" x14ac:dyDescent="0.3">
      <c r="A567" s="2">
        <v>42203</v>
      </c>
      <c r="B567" s="3">
        <v>129441.27865673639</v>
      </c>
      <c r="C567" s="3">
        <v>132493.4315208937</v>
      </c>
      <c r="D567">
        <v>3322</v>
      </c>
      <c r="E567" s="3">
        <f t="shared" si="32"/>
        <v>38.964864135080191</v>
      </c>
      <c r="F567" s="16">
        <f t="shared" si="33"/>
        <v>-3052.1528641573095</v>
      </c>
      <c r="G567" s="23">
        <f t="shared" si="34"/>
        <v>-2.3579440004229818E-2</v>
      </c>
      <c r="H567" s="3">
        <f t="shared" si="35"/>
        <v>-0.91876967614608951</v>
      </c>
    </row>
    <row r="568" spans="1:8" x14ac:dyDescent="0.3">
      <c r="A568" s="2">
        <v>42204</v>
      </c>
      <c r="B568" s="3">
        <v>77645.749935120242</v>
      </c>
      <c r="C568" s="3">
        <v>79555.63473624234</v>
      </c>
      <c r="D568">
        <v>1982</v>
      </c>
      <c r="E568" s="3">
        <f t="shared" si="32"/>
        <v>39.17545405404654</v>
      </c>
      <c r="F568" s="16">
        <f t="shared" si="33"/>
        <v>-1909.884801122098</v>
      </c>
      <c r="G568" s="23">
        <f t="shared" si="34"/>
        <v>-2.4597415862657936E-2</v>
      </c>
      <c r="H568" s="3">
        <f t="shared" si="35"/>
        <v>-0.96361493497583151</v>
      </c>
    </row>
    <row r="569" spans="1:8" x14ac:dyDescent="0.3">
      <c r="A569" s="2">
        <v>42205</v>
      </c>
      <c r="B569" s="3">
        <v>69926.650362450004</v>
      </c>
      <c r="C569" s="3">
        <v>71362.517838136861</v>
      </c>
      <c r="D569">
        <v>1787</v>
      </c>
      <c r="E569" s="3">
        <f t="shared" si="32"/>
        <v>39.130750062926694</v>
      </c>
      <c r="F569" s="16">
        <f t="shared" si="33"/>
        <v>-1435.8674756868568</v>
      </c>
      <c r="G569" s="23">
        <f t="shared" si="34"/>
        <v>-2.0533909006714056E-2</v>
      </c>
      <c r="H569" s="3">
        <f t="shared" si="35"/>
        <v>-0.80350726115660709</v>
      </c>
    </row>
    <row r="570" spans="1:8" x14ac:dyDescent="0.3">
      <c r="A570" s="2">
        <v>42206</v>
      </c>
      <c r="B570" s="3">
        <v>71973.044300340131</v>
      </c>
      <c r="C570" s="3">
        <v>73851.78839873473</v>
      </c>
      <c r="D570">
        <v>1846</v>
      </c>
      <c r="E570" s="3">
        <f t="shared" si="32"/>
        <v>38.988648050021737</v>
      </c>
      <c r="F570" s="16">
        <f t="shared" si="33"/>
        <v>-1878.7440983945999</v>
      </c>
      <c r="G570" s="23">
        <f t="shared" si="34"/>
        <v>-2.6103440762553949E-2</v>
      </c>
      <c r="H570" s="3">
        <f t="shared" si="35"/>
        <v>-1.0177378647858071</v>
      </c>
    </row>
    <row r="571" spans="1:8" x14ac:dyDescent="0.3">
      <c r="A571" s="2">
        <v>42207</v>
      </c>
      <c r="B571" s="3">
        <v>44304.898362210253</v>
      </c>
      <c r="C571" s="3">
        <v>45468.836976009428</v>
      </c>
      <c r="D571">
        <v>1142</v>
      </c>
      <c r="E571" s="3">
        <f t="shared" si="32"/>
        <v>38.795882979168347</v>
      </c>
      <c r="F571" s="16">
        <f t="shared" si="33"/>
        <v>-1163.9386137991751</v>
      </c>
      <c r="G571" s="23">
        <f t="shared" si="34"/>
        <v>-2.6271104478866235E-2</v>
      </c>
      <c r="H571" s="3">
        <f t="shared" si="35"/>
        <v>-1.0192106950955999</v>
      </c>
    </row>
    <row r="572" spans="1:8" x14ac:dyDescent="0.3">
      <c r="A572" s="2">
        <v>42208</v>
      </c>
      <c r="B572" s="3">
        <v>66799.723730490499</v>
      </c>
      <c r="C572" s="3">
        <v>69323.647871911555</v>
      </c>
      <c r="D572">
        <v>1734</v>
      </c>
      <c r="E572" s="3">
        <f t="shared" si="32"/>
        <v>38.523485427041813</v>
      </c>
      <c r="F572" s="16">
        <f t="shared" si="33"/>
        <v>-2523.9241414210555</v>
      </c>
      <c r="G572" s="23">
        <f t="shared" si="34"/>
        <v>-3.7783451793963321E-2</v>
      </c>
      <c r="H572" s="3">
        <f t="shared" si="35"/>
        <v>-1.4555502545680827</v>
      </c>
    </row>
    <row r="573" spans="1:8" x14ac:dyDescent="0.3">
      <c r="A573" s="2">
        <v>42209</v>
      </c>
      <c r="B573" s="3">
        <v>125689.59284090641</v>
      </c>
      <c r="C573" s="3">
        <v>130428.2263951168</v>
      </c>
      <c r="D573">
        <v>3259</v>
      </c>
      <c r="E573" s="3">
        <f t="shared" si="32"/>
        <v>38.566920172109974</v>
      </c>
      <c r="F573" s="16">
        <f t="shared" si="33"/>
        <v>-4738.6335542103916</v>
      </c>
      <c r="G573" s="23">
        <f t="shared" si="34"/>
        <v>-3.7701081267789545E-2</v>
      </c>
      <c r="H573" s="3">
        <f t="shared" si="35"/>
        <v>-1.4540145916570701</v>
      </c>
    </row>
    <row r="574" spans="1:8" x14ac:dyDescent="0.3">
      <c r="A574" s="2">
        <v>42210</v>
      </c>
      <c r="B574" s="3">
        <v>138624.94500363519</v>
      </c>
      <c r="C574" s="3">
        <v>143537.39521883641</v>
      </c>
      <c r="D574">
        <v>3572</v>
      </c>
      <c r="E574" s="3">
        <f t="shared" si="32"/>
        <v>38.808775196986339</v>
      </c>
      <c r="F574" s="16">
        <f t="shared" si="33"/>
        <v>-4912.4502152012137</v>
      </c>
      <c r="G574" s="23">
        <f t="shared" si="34"/>
        <v>-3.5436985854691544E-2</v>
      </c>
      <c r="H574" s="3">
        <f t="shared" si="35"/>
        <v>-1.375266017693509</v>
      </c>
    </row>
    <row r="575" spans="1:8" x14ac:dyDescent="0.3">
      <c r="A575" s="2">
        <v>42211</v>
      </c>
      <c r="B575" s="3">
        <v>81715.045331780377</v>
      </c>
      <c r="C575" s="3">
        <v>85089.22343005694</v>
      </c>
      <c r="D575">
        <v>2109</v>
      </c>
      <c r="E575" s="3">
        <f t="shared" si="32"/>
        <v>38.74587260871521</v>
      </c>
      <c r="F575" s="16">
        <f t="shared" si="33"/>
        <v>-3374.1780982765631</v>
      </c>
      <c r="G575" s="23">
        <f t="shared" si="34"/>
        <v>-4.1292005463335252E-2</v>
      </c>
      <c r="H575" s="3">
        <f t="shared" si="35"/>
        <v>-1.5998947834407602</v>
      </c>
    </row>
    <row r="576" spans="1:8" x14ac:dyDescent="0.3">
      <c r="A576" s="2">
        <v>42212</v>
      </c>
      <c r="B576" s="3">
        <v>86842.861357880131</v>
      </c>
      <c r="C576" s="3">
        <v>90242.794097153615</v>
      </c>
      <c r="D576">
        <v>2242</v>
      </c>
      <c r="E576" s="3">
        <f t="shared" si="32"/>
        <v>38.734550115022358</v>
      </c>
      <c r="F576" s="16">
        <f t="shared" si="33"/>
        <v>-3399.9327392734849</v>
      </c>
      <c r="G576" s="23">
        <f t="shared" si="34"/>
        <v>-3.9150399769329741E-2</v>
      </c>
      <c r="H576" s="3">
        <f t="shared" si="35"/>
        <v>-1.5164731218882628</v>
      </c>
    </row>
    <row r="577" spans="1:8" x14ac:dyDescent="0.3">
      <c r="A577" s="2">
        <v>42213</v>
      </c>
      <c r="B577" s="3">
        <v>56976.785283900383</v>
      </c>
      <c r="C577" s="3">
        <v>59094.076857821427</v>
      </c>
      <c r="D577">
        <v>1474</v>
      </c>
      <c r="E577" s="3">
        <f t="shared" si="32"/>
        <v>38.654535470760095</v>
      </c>
      <c r="F577" s="16">
        <f t="shared" si="33"/>
        <v>-2117.2915739210439</v>
      </c>
      <c r="G577" s="23">
        <f t="shared" si="34"/>
        <v>-3.7160600819634439E-2</v>
      </c>
      <c r="H577" s="3">
        <f t="shared" si="35"/>
        <v>-1.436425762497316</v>
      </c>
    </row>
    <row r="578" spans="1:8" x14ac:dyDescent="0.3">
      <c r="A578" s="2">
        <v>42214</v>
      </c>
      <c r="B578" s="3">
        <v>53433.668027530373</v>
      </c>
      <c r="C578" s="3">
        <v>55516.525562079609</v>
      </c>
      <c r="D578">
        <v>1381</v>
      </c>
      <c r="E578" s="3">
        <f t="shared" ref="E578:E641" si="36">B578/D578</f>
        <v>38.692011605742486</v>
      </c>
      <c r="F578" s="16">
        <f t="shared" ref="F578:F641" si="37">B578-C578</f>
        <v>-2082.8575345492354</v>
      </c>
      <c r="G578" s="23">
        <f t="shared" ref="G578:G641" si="38">F578/B578</f>
        <v>-3.8980246190025637E-2</v>
      </c>
      <c r="H578" s="3">
        <f t="shared" ref="H578:H641" si="39">F578/D578</f>
        <v>-1.5082241379791712</v>
      </c>
    </row>
    <row r="579" spans="1:8" x14ac:dyDescent="0.3">
      <c r="A579" s="2">
        <v>42215</v>
      </c>
      <c r="B579" s="3">
        <v>55134.081818380357</v>
      </c>
      <c r="C579" s="3">
        <v>57064.750696012437</v>
      </c>
      <c r="D579">
        <v>1423</v>
      </c>
      <c r="E579" s="3">
        <f t="shared" si="36"/>
        <v>38.744962627111988</v>
      </c>
      <c r="F579" s="16">
        <f t="shared" si="37"/>
        <v>-1930.6688776320807</v>
      </c>
      <c r="G579" s="23">
        <f t="shared" si="38"/>
        <v>-3.5017702552696595E-2</v>
      </c>
      <c r="H579" s="3">
        <f t="shared" si="39"/>
        <v>-1.3567595766915534</v>
      </c>
    </row>
    <row r="580" spans="1:8" x14ac:dyDescent="0.3">
      <c r="A580" s="2">
        <v>42216</v>
      </c>
      <c r="B580" s="3">
        <v>145033.61079266519</v>
      </c>
      <c r="C580" s="3">
        <v>149876.87328204009</v>
      </c>
      <c r="D580">
        <v>3740</v>
      </c>
      <c r="E580" s="3">
        <f t="shared" si="36"/>
        <v>38.779040318894438</v>
      </c>
      <c r="F580" s="16">
        <f t="shared" si="37"/>
        <v>-4843.2624893749016</v>
      </c>
      <c r="G580" s="23">
        <f t="shared" si="38"/>
        <v>-3.3394069573973818E-2</v>
      </c>
      <c r="H580" s="3">
        <f t="shared" si="39"/>
        <v>-1.2949899704210968</v>
      </c>
    </row>
    <row r="581" spans="1:8" x14ac:dyDescent="0.3">
      <c r="A581" s="2">
        <v>42217</v>
      </c>
      <c r="B581" s="3">
        <v>173306.90648994269</v>
      </c>
      <c r="C581" s="3">
        <v>178699.97587509951</v>
      </c>
      <c r="D581">
        <v>4453</v>
      </c>
      <c r="E581" s="3">
        <f t="shared" si="36"/>
        <v>38.919134626081899</v>
      </c>
      <c r="F581" s="16">
        <f t="shared" si="37"/>
        <v>-5393.0693851568212</v>
      </c>
      <c r="G581" s="23">
        <f t="shared" si="38"/>
        <v>-3.1118606259755672E-2</v>
      </c>
      <c r="H581" s="3">
        <f t="shared" si="39"/>
        <v>-1.2111092263994658</v>
      </c>
    </row>
    <row r="582" spans="1:8" x14ac:dyDescent="0.3">
      <c r="A582" s="2">
        <v>42218</v>
      </c>
      <c r="B582" s="3">
        <v>88154.338712390003</v>
      </c>
      <c r="C582" s="3">
        <v>90828.661699823351</v>
      </c>
      <c r="D582">
        <v>2258</v>
      </c>
      <c r="E582" s="3">
        <f t="shared" si="36"/>
        <v>39.040894026744908</v>
      </c>
      <c r="F582" s="16">
        <f t="shared" si="37"/>
        <v>-2674.3229874333483</v>
      </c>
      <c r="G582" s="23">
        <f t="shared" si="38"/>
        <v>-3.0336827732989107E-2</v>
      </c>
      <c r="H582" s="3">
        <f t="shared" si="39"/>
        <v>-1.1843768766312437</v>
      </c>
    </row>
    <row r="583" spans="1:8" x14ac:dyDescent="0.3">
      <c r="A583" s="2">
        <v>42219</v>
      </c>
      <c r="B583" s="3">
        <v>81142.027847790378</v>
      </c>
      <c r="C583" s="3">
        <v>83114.57680933841</v>
      </c>
      <c r="D583">
        <v>2074</v>
      </c>
      <c r="E583" s="3">
        <f t="shared" si="36"/>
        <v>39.123446406842035</v>
      </c>
      <c r="F583" s="16">
        <f t="shared" si="37"/>
        <v>-1972.5489615480328</v>
      </c>
      <c r="G583" s="23">
        <f t="shared" si="38"/>
        <v>-2.4309830723582889E-2</v>
      </c>
      <c r="H583" s="3">
        <f t="shared" si="39"/>
        <v>-0.95108435947349701</v>
      </c>
    </row>
    <row r="584" spans="1:8" x14ac:dyDescent="0.3">
      <c r="A584" s="2">
        <v>42220</v>
      </c>
      <c r="B584" s="3">
        <v>77672.882777740495</v>
      </c>
      <c r="C584" s="3">
        <v>80417.746442173302</v>
      </c>
      <c r="D584">
        <v>2007</v>
      </c>
      <c r="E584" s="3">
        <f t="shared" si="36"/>
        <v>38.700987931111356</v>
      </c>
      <c r="F584" s="16">
        <f t="shared" si="37"/>
        <v>-2744.8636644328071</v>
      </c>
      <c r="G584" s="23">
        <f t="shared" si="38"/>
        <v>-3.5338763880918174E-2</v>
      </c>
      <c r="H584" s="3">
        <f t="shared" si="39"/>
        <v>-1.3676450744558082</v>
      </c>
    </row>
    <row r="585" spans="1:8" x14ac:dyDescent="0.3">
      <c r="A585" s="2">
        <v>42221</v>
      </c>
      <c r="B585" s="3">
        <v>75483.422554300487</v>
      </c>
      <c r="C585" s="3">
        <v>78024.284675030634</v>
      </c>
      <c r="D585">
        <v>1948</v>
      </c>
      <c r="E585" s="3">
        <f t="shared" si="36"/>
        <v>38.749190222946865</v>
      </c>
      <c r="F585" s="16">
        <f t="shared" si="37"/>
        <v>-2540.8621207301476</v>
      </c>
      <c r="G585" s="23">
        <f t="shared" si="38"/>
        <v>-3.3661193872102556E-2</v>
      </c>
      <c r="H585" s="3">
        <f t="shared" si="39"/>
        <v>-1.3043440044815953</v>
      </c>
    </row>
    <row r="586" spans="1:8" x14ac:dyDescent="0.3">
      <c r="A586" s="2">
        <v>42222</v>
      </c>
      <c r="B586" s="3">
        <v>74354.570102040496</v>
      </c>
      <c r="C586" s="3">
        <v>76978.305238407411</v>
      </c>
      <c r="D586">
        <v>1922</v>
      </c>
      <c r="E586" s="3">
        <f t="shared" si="36"/>
        <v>38.686040635817115</v>
      </c>
      <c r="F586" s="16">
        <f t="shared" si="37"/>
        <v>-2623.735136366915</v>
      </c>
      <c r="G586" s="23">
        <f t="shared" si="38"/>
        <v>-3.5286803928342693E-2</v>
      </c>
      <c r="H586" s="3">
        <f t="shared" si="39"/>
        <v>-1.3651067306799765</v>
      </c>
    </row>
    <row r="587" spans="1:8" x14ac:dyDescent="0.3">
      <c r="A587" s="2">
        <v>42223</v>
      </c>
      <c r="B587" s="3">
        <v>120326.876292698</v>
      </c>
      <c r="C587" s="3">
        <v>123707.76157316699</v>
      </c>
      <c r="D587">
        <v>3088</v>
      </c>
      <c r="E587" s="3">
        <f t="shared" si="36"/>
        <v>38.96595734867163</v>
      </c>
      <c r="F587" s="16">
        <f t="shared" si="37"/>
        <v>-3380.8852804689959</v>
      </c>
      <c r="G587" s="23">
        <f t="shared" si="38"/>
        <v>-2.8097507262175674E-2</v>
      </c>
      <c r="H587" s="3">
        <f t="shared" si="39"/>
        <v>-1.0948462695819288</v>
      </c>
    </row>
    <row r="588" spans="1:8" x14ac:dyDescent="0.3">
      <c r="A588" s="2">
        <v>42224</v>
      </c>
      <c r="B588" s="3">
        <v>131867.9935040164</v>
      </c>
      <c r="C588" s="3">
        <v>135721.426030331</v>
      </c>
      <c r="D588">
        <v>3388</v>
      </c>
      <c r="E588" s="3">
        <f t="shared" si="36"/>
        <v>38.922076004727387</v>
      </c>
      <c r="F588" s="16">
        <f t="shared" si="37"/>
        <v>-3853.432526314602</v>
      </c>
      <c r="G588" s="23">
        <f t="shared" si="38"/>
        <v>-2.9221893985952211E-2</v>
      </c>
      <c r="H588" s="3">
        <f t="shared" si="39"/>
        <v>-1.1373767787233182</v>
      </c>
    </row>
    <row r="589" spans="1:8" x14ac:dyDescent="0.3">
      <c r="A589" s="2">
        <v>42225</v>
      </c>
      <c r="B589" s="3">
        <v>75504.002742620491</v>
      </c>
      <c r="C589" s="3">
        <v>77978.694471478811</v>
      </c>
      <c r="D589">
        <v>1944</v>
      </c>
      <c r="E589" s="3">
        <f t="shared" si="36"/>
        <v>38.839507583652512</v>
      </c>
      <c r="F589" s="16">
        <f t="shared" si="37"/>
        <v>-2474.6917288583209</v>
      </c>
      <c r="G589" s="23">
        <f t="shared" si="38"/>
        <v>-3.2775636244002822E-2</v>
      </c>
      <c r="H589" s="3">
        <f t="shared" si="39"/>
        <v>-1.2729895724579841</v>
      </c>
    </row>
    <row r="590" spans="1:8" x14ac:dyDescent="0.3">
      <c r="A590" s="2">
        <v>42226</v>
      </c>
      <c r="B590" s="3">
        <v>69968.077699080488</v>
      </c>
      <c r="C590" s="3">
        <v>72665.725527117203</v>
      </c>
      <c r="D590">
        <v>1812</v>
      </c>
      <c r="E590" s="3">
        <f t="shared" si="36"/>
        <v>38.613729414503581</v>
      </c>
      <c r="F590" s="16">
        <f t="shared" si="37"/>
        <v>-2697.6478280367155</v>
      </c>
      <c r="G590" s="23">
        <f t="shared" si="38"/>
        <v>-3.8555408648480956E-2</v>
      </c>
      <c r="H590" s="3">
        <f t="shared" si="39"/>
        <v>-1.4887681170180549</v>
      </c>
    </row>
    <row r="591" spans="1:8" x14ac:dyDescent="0.3">
      <c r="A591" s="2">
        <v>42227</v>
      </c>
      <c r="B591" s="3">
        <v>60187.149047280371</v>
      </c>
      <c r="C591" s="3">
        <v>62538.493277924979</v>
      </c>
      <c r="D591">
        <v>1563</v>
      </c>
      <c r="E591" s="3">
        <f t="shared" si="36"/>
        <v>38.507453005297741</v>
      </c>
      <c r="F591" s="16">
        <f t="shared" si="37"/>
        <v>-2351.3442306446086</v>
      </c>
      <c r="G591" s="23">
        <f t="shared" si="38"/>
        <v>-3.9067213979474193E-2</v>
      </c>
      <c r="H591" s="3">
        <f t="shared" si="39"/>
        <v>-1.5043789063625135</v>
      </c>
    </row>
    <row r="592" spans="1:8" x14ac:dyDescent="0.3">
      <c r="A592" s="2">
        <v>42228</v>
      </c>
      <c r="B592" s="3">
        <v>44698.700751095254</v>
      </c>
      <c r="C592" s="3">
        <v>46849.567146474838</v>
      </c>
      <c r="D592">
        <v>1171</v>
      </c>
      <c r="E592" s="3">
        <f t="shared" si="36"/>
        <v>38.171392614086464</v>
      </c>
      <c r="F592" s="16">
        <f t="shared" si="37"/>
        <v>-2150.866395379584</v>
      </c>
      <c r="G592" s="23">
        <f t="shared" si="38"/>
        <v>-4.8119215083156107E-2</v>
      </c>
      <c r="H592" s="3">
        <f t="shared" si="39"/>
        <v>-1.8367774512208233</v>
      </c>
    </row>
    <row r="593" spans="1:8" x14ac:dyDescent="0.3">
      <c r="A593" s="2">
        <v>42229</v>
      </c>
      <c r="B593" s="3">
        <v>39463.409059930251</v>
      </c>
      <c r="C593" s="3">
        <v>41414.418370139807</v>
      </c>
      <c r="D593">
        <v>1035</v>
      </c>
      <c r="E593" s="3">
        <f t="shared" si="36"/>
        <v>38.128897642444684</v>
      </c>
      <c r="F593" s="16">
        <f t="shared" si="37"/>
        <v>-1951.0093102095561</v>
      </c>
      <c r="G593" s="23">
        <f t="shared" si="38"/>
        <v>-4.9438438206053058E-2</v>
      </c>
      <c r="H593" s="3">
        <f t="shared" si="39"/>
        <v>-1.8850331499609239</v>
      </c>
    </row>
    <row r="594" spans="1:8" x14ac:dyDescent="0.3">
      <c r="A594" s="2">
        <v>42230</v>
      </c>
      <c r="B594" s="3">
        <v>85794.096902620251</v>
      </c>
      <c r="C594" s="3">
        <v>89898.894227499957</v>
      </c>
      <c r="D594">
        <v>2247</v>
      </c>
      <c r="E594" s="3">
        <f t="shared" si="36"/>
        <v>38.181618559243546</v>
      </c>
      <c r="F594" s="16">
        <f t="shared" si="37"/>
        <v>-4104.7973248797061</v>
      </c>
      <c r="G594" s="23">
        <f t="shared" si="38"/>
        <v>-4.7844752413896449E-2</v>
      </c>
      <c r="H594" s="3">
        <f t="shared" si="39"/>
        <v>-1.8267900867288411</v>
      </c>
    </row>
    <row r="595" spans="1:8" x14ac:dyDescent="0.3">
      <c r="A595" s="2">
        <v>42231</v>
      </c>
      <c r="B595" s="3">
        <v>117288.0100538017</v>
      </c>
      <c r="C595" s="3">
        <v>122504.35720229719</v>
      </c>
      <c r="D595">
        <v>3068</v>
      </c>
      <c r="E595" s="3">
        <f t="shared" si="36"/>
        <v>38.22946872679325</v>
      </c>
      <c r="F595" s="16">
        <f t="shared" si="37"/>
        <v>-5216.3471484954935</v>
      </c>
      <c r="G595" s="23">
        <f t="shared" si="38"/>
        <v>-4.4474683696165362E-2</v>
      </c>
      <c r="H595" s="3">
        <f t="shared" si="39"/>
        <v>-1.7002435294965754</v>
      </c>
    </row>
    <row r="596" spans="1:8" x14ac:dyDescent="0.3">
      <c r="A596" s="2">
        <v>42232</v>
      </c>
      <c r="B596" s="3">
        <v>71056.061003780487</v>
      </c>
      <c r="C596" s="3">
        <v>74589.172866250257</v>
      </c>
      <c r="D596">
        <v>1866</v>
      </c>
      <c r="E596" s="3">
        <f t="shared" si="36"/>
        <v>38.07934673300133</v>
      </c>
      <c r="F596" s="16">
        <f t="shared" si="37"/>
        <v>-3533.1118624697701</v>
      </c>
      <c r="G596" s="23">
        <f t="shared" si="38"/>
        <v>-4.9722878140990585E-2</v>
      </c>
      <c r="H596" s="3">
        <f t="shared" si="39"/>
        <v>-1.8934147172935532</v>
      </c>
    </row>
    <row r="597" spans="1:8" x14ac:dyDescent="0.3">
      <c r="A597" s="2">
        <v>42233</v>
      </c>
      <c r="B597" s="3">
        <v>64394.074453330373</v>
      </c>
      <c r="C597" s="3">
        <v>67505.254139283716</v>
      </c>
      <c r="D597">
        <v>1690</v>
      </c>
      <c r="E597" s="3">
        <f t="shared" si="36"/>
        <v>38.103002635106726</v>
      </c>
      <c r="F597" s="16">
        <f t="shared" si="37"/>
        <v>-3111.1796859533424</v>
      </c>
      <c r="G597" s="23">
        <f t="shared" si="38"/>
        <v>-4.8314689082272176E-2</v>
      </c>
      <c r="H597" s="3">
        <f t="shared" si="39"/>
        <v>-1.840934725416179</v>
      </c>
    </row>
    <row r="598" spans="1:8" x14ac:dyDescent="0.3">
      <c r="A598" s="2">
        <v>42234</v>
      </c>
      <c r="B598" s="3">
        <v>35165.972082725253</v>
      </c>
      <c r="C598" s="3">
        <v>36841.967322813813</v>
      </c>
      <c r="D598">
        <v>922</v>
      </c>
      <c r="E598" s="3">
        <f t="shared" si="36"/>
        <v>38.140967551762749</v>
      </c>
      <c r="F598" s="16">
        <f t="shared" si="37"/>
        <v>-1675.9952400885595</v>
      </c>
      <c r="G598" s="23">
        <f t="shared" si="38"/>
        <v>-4.765957375345431E-2</v>
      </c>
      <c r="H598" s="3">
        <f t="shared" si="39"/>
        <v>-1.8177822560613444</v>
      </c>
    </row>
    <row r="599" spans="1:8" x14ac:dyDescent="0.3">
      <c r="A599" s="2">
        <v>42235</v>
      </c>
      <c r="B599" s="3">
        <v>23234.183195130121</v>
      </c>
      <c r="C599" s="3">
        <v>24104.085977912531</v>
      </c>
      <c r="D599">
        <v>604</v>
      </c>
      <c r="E599" s="3">
        <f t="shared" si="36"/>
        <v>38.467190720414109</v>
      </c>
      <c r="F599" s="16">
        <f t="shared" si="37"/>
        <v>-869.90278278241021</v>
      </c>
      <c r="G599" s="23">
        <f t="shared" si="38"/>
        <v>-3.7440644049184464E-2</v>
      </c>
      <c r="H599" s="3">
        <f t="shared" si="39"/>
        <v>-1.4402363953351163</v>
      </c>
    </row>
    <row r="600" spans="1:8" x14ac:dyDescent="0.3">
      <c r="A600" s="2">
        <v>42236</v>
      </c>
      <c r="B600" s="3">
        <v>24754.95718180012</v>
      </c>
      <c r="C600" s="3">
        <v>25407.174070346191</v>
      </c>
      <c r="D600">
        <v>643</v>
      </c>
      <c r="E600" s="3">
        <f t="shared" si="36"/>
        <v>38.499155803732691</v>
      </c>
      <c r="F600" s="16">
        <f t="shared" si="37"/>
        <v>-652.21688854607055</v>
      </c>
      <c r="G600" s="23">
        <f t="shared" si="38"/>
        <v>-2.634692048773089E-2</v>
      </c>
      <c r="H600" s="3">
        <f t="shared" si="39"/>
        <v>-1.0143341968057085</v>
      </c>
    </row>
    <row r="601" spans="1:8" x14ac:dyDescent="0.3">
      <c r="A601" s="2">
        <v>42237</v>
      </c>
      <c r="B601" s="3">
        <v>76691.283029055499</v>
      </c>
      <c r="C601" s="3">
        <v>78691.956315552306</v>
      </c>
      <c r="D601">
        <v>2006</v>
      </c>
      <c r="E601" s="3">
        <f t="shared" si="36"/>
        <v>38.230948668522181</v>
      </c>
      <c r="F601" s="16">
        <f t="shared" si="37"/>
        <v>-2000.6732864968071</v>
      </c>
      <c r="G601" s="23">
        <f t="shared" si="38"/>
        <v>-2.608736231129196E-2</v>
      </c>
      <c r="H601" s="3">
        <f t="shared" si="39"/>
        <v>-0.99734460942014314</v>
      </c>
    </row>
    <row r="602" spans="1:8" x14ac:dyDescent="0.3">
      <c r="A602" s="2">
        <v>42238</v>
      </c>
      <c r="B602" s="3">
        <v>102231.2117923578</v>
      </c>
      <c r="C602" s="3">
        <v>104713.0074997764</v>
      </c>
      <c r="D602">
        <v>2677</v>
      </c>
      <c r="E602" s="3">
        <f t="shared" si="36"/>
        <v>38.188723120044003</v>
      </c>
      <c r="F602" s="16">
        <f t="shared" si="37"/>
        <v>-2481.7957074185979</v>
      </c>
      <c r="G602" s="23">
        <f t="shared" si="38"/>
        <v>-2.4276301375155195E-2</v>
      </c>
      <c r="H602" s="3">
        <f t="shared" si="39"/>
        <v>-0.92708095159454529</v>
      </c>
    </row>
    <row r="603" spans="1:8" x14ac:dyDescent="0.3">
      <c r="A603" s="2">
        <v>42239</v>
      </c>
      <c r="B603" s="3">
        <v>56974.868025790369</v>
      </c>
      <c r="C603" s="3">
        <v>57548.985153409623</v>
      </c>
      <c r="D603">
        <v>1467</v>
      </c>
      <c r="E603" s="3">
        <f t="shared" si="36"/>
        <v>38.837674182542855</v>
      </c>
      <c r="F603" s="16">
        <f t="shared" si="37"/>
        <v>-574.11712761925446</v>
      </c>
      <c r="G603" s="23">
        <f t="shared" si="38"/>
        <v>-1.007667323352769E-2</v>
      </c>
      <c r="H603" s="3">
        <f t="shared" si="39"/>
        <v>-0.39135455188769902</v>
      </c>
    </row>
    <row r="604" spans="1:8" x14ac:dyDescent="0.3">
      <c r="A604" s="2">
        <v>42240</v>
      </c>
      <c r="B604" s="3">
        <v>59442.73111516537</v>
      </c>
      <c r="C604" s="3">
        <v>59785.428614563789</v>
      </c>
      <c r="D604">
        <v>1528</v>
      </c>
      <c r="E604" s="3">
        <f t="shared" si="36"/>
        <v>38.902310939244352</v>
      </c>
      <c r="F604" s="16">
        <f t="shared" si="37"/>
        <v>-342.69749939841859</v>
      </c>
      <c r="G604" s="23">
        <f t="shared" si="38"/>
        <v>-5.765170828616043E-3</v>
      </c>
      <c r="H604" s="3">
        <f t="shared" si="39"/>
        <v>-0.22427846819268232</v>
      </c>
    </row>
    <row r="605" spans="1:8" x14ac:dyDescent="0.3">
      <c r="A605" s="2">
        <v>42241</v>
      </c>
      <c r="B605" s="3">
        <v>217683.362264025</v>
      </c>
      <c r="C605" s="3">
        <v>246975.73076564309</v>
      </c>
      <c r="D605">
        <v>6360</v>
      </c>
      <c r="E605" s="3">
        <f t="shared" si="36"/>
        <v>34.226943752205187</v>
      </c>
      <c r="F605" s="16">
        <f t="shared" si="37"/>
        <v>-29292.368501618097</v>
      </c>
      <c r="G605" s="23">
        <f t="shared" si="38"/>
        <v>-0.1345641127413762</v>
      </c>
      <c r="H605" s="3">
        <f t="shared" si="39"/>
        <v>-4.6057183178644809</v>
      </c>
    </row>
    <row r="606" spans="1:8" x14ac:dyDescent="0.3">
      <c r="A606" s="2">
        <v>42242</v>
      </c>
      <c r="B606" s="3">
        <v>275458.8068961961</v>
      </c>
      <c r="C606" s="3">
        <v>307092.27437902818</v>
      </c>
      <c r="D606">
        <v>8035</v>
      </c>
      <c r="E606" s="3">
        <f t="shared" si="36"/>
        <v>34.28236551290555</v>
      </c>
      <c r="F606" s="16">
        <f t="shared" si="37"/>
        <v>-31633.467482832086</v>
      </c>
      <c r="G606" s="23">
        <f t="shared" si="38"/>
        <v>-0.11483919443081318</v>
      </c>
      <c r="H606" s="3">
        <f t="shared" si="39"/>
        <v>-3.9369592386847647</v>
      </c>
    </row>
    <row r="607" spans="1:8" x14ac:dyDescent="0.3">
      <c r="A607" s="2">
        <v>42243</v>
      </c>
      <c r="B607" s="3">
        <v>228731.86548652739</v>
      </c>
      <c r="C607" s="3">
        <v>252845.44555357669</v>
      </c>
      <c r="D607">
        <v>6675</v>
      </c>
      <c r="E607" s="3">
        <f t="shared" si="36"/>
        <v>34.26694614030373</v>
      </c>
      <c r="F607" s="16">
        <f t="shared" si="37"/>
        <v>-24113.580067049304</v>
      </c>
      <c r="G607" s="23">
        <f t="shared" si="38"/>
        <v>-0.10542291523639773</v>
      </c>
      <c r="H607" s="3">
        <f t="shared" si="39"/>
        <v>-3.6125213583594462</v>
      </c>
    </row>
    <row r="608" spans="1:8" x14ac:dyDescent="0.3">
      <c r="A608" s="2">
        <v>42244</v>
      </c>
      <c r="B608" s="3">
        <v>387639.11999952199</v>
      </c>
      <c r="C608" s="3">
        <v>426783.30221814412</v>
      </c>
      <c r="D608">
        <v>11330</v>
      </c>
      <c r="E608" s="3">
        <f t="shared" si="36"/>
        <v>34.213514563064606</v>
      </c>
      <c r="F608" s="16">
        <f t="shared" si="37"/>
        <v>-39144.182218622125</v>
      </c>
      <c r="G608" s="23">
        <f t="shared" si="38"/>
        <v>-0.10098099030528807</v>
      </c>
      <c r="H608" s="3">
        <f t="shared" si="39"/>
        <v>-3.454914582402659</v>
      </c>
    </row>
    <row r="609" spans="1:8" x14ac:dyDescent="0.3">
      <c r="A609" s="2">
        <v>42245</v>
      </c>
      <c r="B609" s="3">
        <v>461188.00485173479</v>
      </c>
      <c r="C609" s="3">
        <v>504578.18875722651</v>
      </c>
      <c r="D609">
        <v>13484</v>
      </c>
      <c r="E609" s="3">
        <f t="shared" si="36"/>
        <v>34.202610861149125</v>
      </c>
      <c r="F609" s="16">
        <f t="shared" si="37"/>
        <v>-43390.183905491722</v>
      </c>
      <c r="G609" s="23">
        <f t="shared" si="38"/>
        <v>-9.4083504880923846E-2</v>
      </c>
      <c r="H609" s="3">
        <f t="shared" si="39"/>
        <v>-3.2179015058952625</v>
      </c>
    </row>
    <row r="610" spans="1:8" x14ac:dyDescent="0.3">
      <c r="A610" s="2">
        <v>42246</v>
      </c>
      <c r="B610" s="3">
        <v>202249.67716942501</v>
      </c>
      <c r="C610" s="3">
        <v>220152.1867539582</v>
      </c>
      <c r="D610">
        <v>5913</v>
      </c>
      <c r="E610" s="3">
        <f t="shared" si="36"/>
        <v>34.204241023072044</v>
      </c>
      <c r="F610" s="16">
        <f t="shared" si="37"/>
        <v>-17902.509584533196</v>
      </c>
      <c r="G610" s="23">
        <f t="shared" si="38"/>
        <v>-8.8516875948020546E-2</v>
      </c>
      <c r="H610" s="3">
        <f t="shared" si="39"/>
        <v>-3.0276525595354635</v>
      </c>
    </row>
    <row r="611" spans="1:8" x14ac:dyDescent="0.3">
      <c r="A611" s="2">
        <v>42247</v>
      </c>
      <c r="B611" s="3">
        <v>332559.76497908588</v>
      </c>
      <c r="C611" s="3">
        <v>361970.285938652</v>
      </c>
      <c r="D611">
        <v>9721</v>
      </c>
      <c r="E611" s="3">
        <f t="shared" si="36"/>
        <v>34.210447997025604</v>
      </c>
      <c r="F611" s="16">
        <f t="shared" si="37"/>
        <v>-29410.520959566114</v>
      </c>
      <c r="G611" s="23">
        <f t="shared" si="38"/>
        <v>-8.8436798604953584E-2</v>
      </c>
      <c r="H611" s="3">
        <f t="shared" si="39"/>
        <v>-3.0254624996981909</v>
      </c>
    </row>
    <row r="612" spans="1:8" x14ac:dyDescent="0.3">
      <c r="A612" s="2">
        <v>42248</v>
      </c>
      <c r="B612" s="3">
        <v>384806.77158197842</v>
      </c>
      <c r="C612" s="3">
        <v>418101.5975483603</v>
      </c>
      <c r="D612">
        <v>11257</v>
      </c>
      <c r="E612" s="3">
        <f t="shared" si="36"/>
        <v>34.183776457491199</v>
      </c>
      <c r="F612" s="16">
        <f t="shared" si="37"/>
        <v>-33294.825966381875</v>
      </c>
      <c r="G612" s="23">
        <f t="shared" si="38"/>
        <v>-8.6523492893598453E-2</v>
      </c>
      <c r="H612" s="3">
        <f t="shared" si="39"/>
        <v>-2.957699739396098</v>
      </c>
    </row>
    <row r="613" spans="1:8" x14ac:dyDescent="0.3">
      <c r="A613" s="2">
        <v>42249</v>
      </c>
      <c r="B613" s="3">
        <v>345776.25028037588</v>
      </c>
      <c r="C613" s="3">
        <v>373816.16840063431</v>
      </c>
      <c r="D613">
        <v>10102</v>
      </c>
      <c r="E613" s="3">
        <f t="shared" si="36"/>
        <v>34.228494385307449</v>
      </c>
      <c r="F613" s="16">
        <f t="shared" si="37"/>
        <v>-28039.91812025843</v>
      </c>
      <c r="G613" s="23">
        <f t="shared" si="38"/>
        <v>-8.1092666420906581E-2</v>
      </c>
      <c r="H613" s="3">
        <f t="shared" si="39"/>
        <v>-2.7756798772776112</v>
      </c>
    </row>
    <row r="614" spans="1:8" x14ac:dyDescent="0.3">
      <c r="A614" s="2">
        <v>42250</v>
      </c>
      <c r="B614" s="3">
        <v>271551.09510075609</v>
      </c>
      <c r="C614" s="3">
        <v>293343.87397356221</v>
      </c>
      <c r="D614">
        <v>7938</v>
      </c>
      <c r="E614" s="3">
        <f t="shared" si="36"/>
        <v>34.209006689437651</v>
      </c>
      <c r="F614" s="16">
        <f t="shared" si="37"/>
        <v>-21792.778872806113</v>
      </c>
      <c r="G614" s="23">
        <f t="shared" si="38"/>
        <v>-8.0252958894237336E-2</v>
      </c>
      <c r="H614" s="3">
        <f t="shared" si="39"/>
        <v>-2.7453740076601303</v>
      </c>
    </row>
    <row r="615" spans="1:8" x14ac:dyDescent="0.3">
      <c r="A615" s="2">
        <v>42251</v>
      </c>
      <c r="B615" s="3">
        <v>340440.20546208572</v>
      </c>
      <c r="C615" s="3">
        <v>366359.65859248448</v>
      </c>
      <c r="D615">
        <v>9936</v>
      </c>
      <c r="E615" s="3">
        <f t="shared" si="36"/>
        <v>34.263305702705892</v>
      </c>
      <c r="F615" s="16">
        <f t="shared" si="37"/>
        <v>-25919.453130398761</v>
      </c>
      <c r="G615" s="23">
        <f t="shared" si="38"/>
        <v>-7.6135111877334849E-2</v>
      </c>
      <c r="H615" s="3">
        <f t="shared" si="39"/>
        <v>-2.6086406129628381</v>
      </c>
    </row>
    <row r="616" spans="1:8" x14ac:dyDescent="0.3">
      <c r="A616" s="2">
        <v>42252</v>
      </c>
      <c r="B616" s="3">
        <v>364416.73158213811</v>
      </c>
      <c r="C616" s="3">
        <v>392128.30126516859</v>
      </c>
      <c r="D616">
        <v>10643</v>
      </c>
      <c r="E616" s="3">
        <f t="shared" si="36"/>
        <v>34.24003867162812</v>
      </c>
      <c r="F616" s="16">
        <f t="shared" si="37"/>
        <v>-27711.569683030481</v>
      </c>
      <c r="G616" s="23">
        <f t="shared" si="38"/>
        <v>-7.6043626105527493E-2</v>
      </c>
      <c r="H616" s="3">
        <f t="shared" si="39"/>
        <v>-2.6037366985840911</v>
      </c>
    </row>
    <row r="617" spans="1:8" x14ac:dyDescent="0.3">
      <c r="A617" s="2">
        <v>42253</v>
      </c>
      <c r="B617" s="3">
        <v>164719.6044916152</v>
      </c>
      <c r="C617" s="3">
        <v>176647.84265184921</v>
      </c>
      <c r="D617">
        <v>4800</v>
      </c>
      <c r="E617" s="3">
        <f t="shared" si="36"/>
        <v>34.316584269086498</v>
      </c>
      <c r="F617" s="16">
        <f t="shared" si="37"/>
        <v>-11928.238160234003</v>
      </c>
      <c r="G617" s="23">
        <f t="shared" si="38"/>
        <v>-7.2415412828660541E-2</v>
      </c>
      <c r="H617" s="3">
        <f t="shared" si="39"/>
        <v>-2.4850496167154175</v>
      </c>
    </row>
    <row r="618" spans="1:8" x14ac:dyDescent="0.3">
      <c r="A618" s="2">
        <v>42254</v>
      </c>
      <c r="B618" s="3">
        <v>178921.0993487364</v>
      </c>
      <c r="C618" s="3">
        <v>192507.52873248939</v>
      </c>
      <c r="D618">
        <v>5228</v>
      </c>
      <c r="E618" s="3">
        <f t="shared" si="36"/>
        <v>34.223622675733822</v>
      </c>
      <c r="F618" s="16">
        <f t="shared" si="37"/>
        <v>-13586.429383752984</v>
      </c>
      <c r="G618" s="23">
        <f t="shared" si="38"/>
        <v>-7.5935311336711483E-2</v>
      </c>
      <c r="H618" s="3">
        <f t="shared" si="39"/>
        <v>-2.5987814429519864</v>
      </c>
    </row>
    <row r="619" spans="1:8" x14ac:dyDescent="0.3">
      <c r="A619" s="2">
        <v>42255</v>
      </c>
      <c r="B619" s="3">
        <v>70286.997810770496</v>
      </c>
      <c r="C619" s="3">
        <v>66639.698052811495</v>
      </c>
      <c r="D619">
        <v>1810</v>
      </c>
      <c r="E619" s="3">
        <f t="shared" si="36"/>
        <v>38.832595475563807</v>
      </c>
      <c r="F619" s="16">
        <f t="shared" si="37"/>
        <v>3647.299757959001</v>
      </c>
      <c r="G619" s="23">
        <f t="shared" si="38"/>
        <v>5.1891528612139748E-2</v>
      </c>
      <c r="H619" s="3">
        <f t="shared" si="39"/>
        <v>2.0150827392038679</v>
      </c>
    </row>
    <row r="620" spans="1:8" x14ac:dyDescent="0.3">
      <c r="A620" s="2">
        <v>42256</v>
      </c>
      <c r="B620" s="3">
        <v>76013.677901710485</v>
      </c>
      <c r="C620" s="3">
        <v>72211.103174650692</v>
      </c>
      <c r="D620">
        <v>1961</v>
      </c>
      <c r="E620" s="3">
        <f t="shared" si="36"/>
        <v>38.762711831570876</v>
      </c>
      <c r="F620" s="16">
        <f t="shared" si="37"/>
        <v>3802.5747270597931</v>
      </c>
      <c r="G620" s="23">
        <f t="shared" si="38"/>
        <v>5.0024874891288824E-2</v>
      </c>
      <c r="H620" s="3">
        <f t="shared" si="39"/>
        <v>1.9390998098214141</v>
      </c>
    </row>
    <row r="621" spans="1:8" x14ac:dyDescent="0.3">
      <c r="A621" s="2">
        <v>42257</v>
      </c>
      <c r="B621" s="3">
        <v>48406.787146740236</v>
      </c>
      <c r="C621" s="3">
        <v>45316.542733610833</v>
      </c>
      <c r="D621">
        <v>1232</v>
      </c>
      <c r="E621" s="3">
        <f t="shared" si="36"/>
        <v>39.291223333393049</v>
      </c>
      <c r="F621" s="16">
        <f t="shared" si="37"/>
        <v>3090.2444131294033</v>
      </c>
      <c r="G621" s="23">
        <f t="shared" si="38"/>
        <v>6.383907289202323E-2</v>
      </c>
      <c r="H621" s="3">
        <f t="shared" si="39"/>
        <v>2.5083152703972429</v>
      </c>
    </row>
    <row r="622" spans="1:8" x14ac:dyDescent="0.3">
      <c r="A622" s="2">
        <v>42258</v>
      </c>
      <c r="B622" s="3">
        <v>85940.026940790005</v>
      </c>
      <c r="C622" s="3">
        <v>81559.845623271962</v>
      </c>
      <c r="D622">
        <v>2194</v>
      </c>
      <c r="E622" s="3">
        <f t="shared" si="36"/>
        <v>39.17047718358706</v>
      </c>
      <c r="F622" s="16">
        <f t="shared" si="37"/>
        <v>4380.1813175180432</v>
      </c>
      <c r="G622" s="23">
        <f t="shared" si="38"/>
        <v>5.0967883923702412E-2</v>
      </c>
      <c r="H622" s="3">
        <f t="shared" si="39"/>
        <v>1.9964363343290989</v>
      </c>
    </row>
    <row r="623" spans="1:8" x14ac:dyDescent="0.3">
      <c r="A623" s="2">
        <v>42259</v>
      </c>
      <c r="B623" s="3">
        <v>57381.751454185367</v>
      </c>
      <c r="C623" s="3">
        <v>54340.891509322857</v>
      </c>
      <c r="D623">
        <v>1469</v>
      </c>
      <c r="E623" s="3">
        <f t="shared" si="36"/>
        <v>39.061777708771523</v>
      </c>
      <c r="F623" s="16">
        <f t="shared" si="37"/>
        <v>3040.85994486251</v>
      </c>
      <c r="G623" s="23">
        <f t="shared" si="38"/>
        <v>5.2993501728339332E-2</v>
      </c>
      <c r="H623" s="3">
        <f t="shared" si="39"/>
        <v>2.0700203845217904</v>
      </c>
    </row>
    <row r="624" spans="1:8" x14ac:dyDescent="0.3">
      <c r="A624" s="2">
        <v>42260</v>
      </c>
      <c r="B624" s="3">
        <v>32479.796394255129</v>
      </c>
      <c r="C624" s="3">
        <v>30763.688117313319</v>
      </c>
      <c r="D624">
        <v>829</v>
      </c>
      <c r="E624" s="3">
        <f t="shared" si="36"/>
        <v>39.179489015989297</v>
      </c>
      <c r="F624" s="16">
        <f t="shared" si="37"/>
        <v>1716.1082769418099</v>
      </c>
      <c r="G624" s="23">
        <f t="shared" si="38"/>
        <v>5.283617717644766E-2</v>
      </c>
      <c r="H624" s="3">
        <f t="shared" si="39"/>
        <v>2.0700944233314957</v>
      </c>
    </row>
    <row r="625" spans="1:8" x14ac:dyDescent="0.3">
      <c r="A625" s="2">
        <v>42261</v>
      </c>
      <c r="B625" s="3">
        <v>52160.18393341537</v>
      </c>
      <c r="C625" s="3">
        <v>49656.007748568787</v>
      </c>
      <c r="D625">
        <v>1329</v>
      </c>
      <c r="E625" s="3">
        <f t="shared" si="36"/>
        <v>39.247692952156036</v>
      </c>
      <c r="F625" s="16">
        <f t="shared" si="37"/>
        <v>2504.1761848465831</v>
      </c>
      <c r="G625" s="23">
        <f t="shared" si="38"/>
        <v>4.8009343449464587E-2</v>
      </c>
      <c r="H625" s="3">
        <f t="shared" si="39"/>
        <v>1.8842559705391897</v>
      </c>
    </row>
    <row r="626" spans="1:8" x14ac:dyDescent="0.3">
      <c r="A626" s="2">
        <v>42262</v>
      </c>
      <c r="B626" s="3">
        <v>51002.839569495241</v>
      </c>
      <c r="C626" s="3">
        <v>48601.967504707303</v>
      </c>
      <c r="D626">
        <v>1300</v>
      </c>
      <c r="E626" s="3">
        <f t="shared" si="36"/>
        <v>39.232953514996339</v>
      </c>
      <c r="F626" s="16">
        <f t="shared" si="37"/>
        <v>2400.8720647879381</v>
      </c>
      <c r="G626" s="23">
        <f t="shared" si="38"/>
        <v>4.7073301899525959E-2</v>
      </c>
      <c r="H626" s="3">
        <f t="shared" si="39"/>
        <v>1.8468246652214908</v>
      </c>
    </row>
    <row r="627" spans="1:8" x14ac:dyDescent="0.3">
      <c r="A627" s="2">
        <v>42263</v>
      </c>
      <c r="B627" s="3">
        <v>30194.715956215121</v>
      </c>
      <c r="C627" s="3">
        <v>28605.46079761381</v>
      </c>
      <c r="D627">
        <v>773</v>
      </c>
      <c r="E627" s="3">
        <f t="shared" si="36"/>
        <v>39.061728274534438</v>
      </c>
      <c r="F627" s="16">
        <f t="shared" si="37"/>
        <v>1589.2551586013105</v>
      </c>
      <c r="G627" s="23">
        <f t="shared" si="38"/>
        <v>5.263355220515617E-2</v>
      </c>
      <c r="H627" s="3">
        <f t="shared" si="39"/>
        <v>2.0559575143613333</v>
      </c>
    </row>
    <row r="628" spans="1:8" x14ac:dyDescent="0.3">
      <c r="A628" s="2">
        <v>42264</v>
      </c>
      <c r="B628" s="3">
        <v>29751.222605555118</v>
      </c>
      <c r="C628" s="3">
        <v>28084.235128364078</v>
      </c>
      <c r="D628">
        <v>760</v>
      </c>
      <c r="E628" s="3">
        <f t="shared" si="36"/>
        <v>39.146345533625158</v>
      </c>
      <c r="F628" s="16">
        <f t="shared" si="37"/>
        <v>1666.9874771910399</v>
      </c>
      <c r="G628" s="23">
        <f t="shared" si="38"/>
        <v>5.6030889866011145E-2</v>
      </c>
      <c r="H628" s="3">
        <f t="shared" si="39"/>
        <v>2.1934045752513684</v>
      </c>
    </row>
    <row r="629" spans="1:8" x14ac:dyDescent="0.3">
      <c r="A629" s="2">
        <v>42265</v>
      </c>
      <c r="B629" s="3">
        <v>68504.63943753537</v>
      </c>
      <c r="C629" s="3">
        <v>64881.975648256928</v>
      </c>
      <c r="D629">
        <v>1755</v>
      </c>
      <c r="E629" s="3">
        <f t="shared" si="36"/>
        <v>39.033982585490243</v>
      </c>
      <c r="F629" s="16">
        <f t="shared" si="37"/>
        <v>3622.663789278442</v>
      </c>
      <c r="G629" s="23">
        <f t="shared" si="38"/>
        <v>5.2882021115981462E-2</v>
      </c>
      <c r="H629" s="3">
        <f t="shared" si="39"/>
        <v>2.0641958913267477</v>
      </c>
    </row>
    <row r="630" spans="1:8" x14ac:dyDescent="0.3">
      <c r="A630" s="2">
        <v>42266</v>
      </c>
      <c r="B630" s="3">
        <v>68996.561757290488</v>
      </c>
      <c r="C630" s="3">
        <v>65211.57177094122</v>
      </c>
      <c r="D630">
        <v>1766</v>
      </c>
      <c r="E630" s="3">
        <f t="shared" si="36"/>
        <v>39.069400768567661</v>
      </c>
      <c r="F630" s="16">
        <f t="shared" si="37"/>
        <v>3784.9899863492683</v>
      </c>
      <c r="G630" s="23">
        <f t="shared" si="38"/>
        <v>5.4857660873939548E-2</v>
      </c>
      <c r="H630" s="3">
        <f t="shared" si="39"/>
        <v>2.1432559379101179</v>
      </c>
    </row>
    <row r="631" spans="1:8" x14ac:dyDescent="0.3">
      <c r="A631" s="2">
        <v>42267</v>
      </c>
      <c r="B631" s="3">
        <v>41855.928759400253</v>
      </c>
      <c r="C631" s="3">
        <v>39629.451872277546</v>
      </c>
      <c r="D631">
        <v>1078</v>
      </c>
      <c r="E631" s="3">
        <f t="shared" si="36"/>
        <v>38.827392170130103</v>
      </c>
      <c r="F631" s="16">
        <f t="shared" si="37"/>
        <v>2226.4768871227061</v>
      </c>
      <c r="G631" s="23">
        <f t="shared" si="38"/>
        <v>5.319382350636935E-2</v>
      </c>
      <c r="H631" s="3">
        <f t="shared" si="39"/>
        <v>2.0653774463104879</v>
      </c>
    </row>
    <row r="632" spans="1:8" x14ac:dyDescent="0.3">
      <c r="A632" s="2">
        <v>42268</v>
      </c>
      <c r="B632" s="3">
        <v>44303.466485900237</v>
      </c>
      <c r="C632" s="3">
        <v>41485.458718801397</v>
      </c>
      <c r="D632">
        <v>1124</v>
      </c>
      <c r="E632" s="3">
        <f t="shared" si="36"/>
        <v>39.415895450089181</v>
      </c>
      <c r="F632" s="16">
        <f t="shared" si="37"/>
        <v>2818.0077670988394</v>
      </c>
      <c r="G632" s="23">
        <f t="shared" si="38"/>
        <v>6.3606936220119079E-2</v>
      </c>
      <c r="H632" s="3">
        <f t="shared" si="39"/>
        <v>2.5071243479527041</v>
      </c>
    </row>
    <row r="633" spans="1:8" x14ac:dyDescent="0.3">
      <c r="A633" s="2">
        <v>42269</v>
      </c>
      <c r="B633" s="3">
        <v>46599.298130810253</v>
      </c>
      <c r="C633" s="3">
        <v>43806.73201043591</v>
      </c>
      <c r="D633">
        <v>1182</v>
      </c>
      <c r="E633" s="3">
        <f t="shared" si="36"/>
        <v>39.424110093748098</v>
      </c>
      <c r="F633" s="16">
        <f t="shared" si="37"/>
        <v>2792.5661203743439</v>
      </c>
      <c r="G633" s="23">
        <f t="shared" si="38"/>
        <v>5.9927214193983135E-2</v>
      </c>
      <c r="H633" s="3">
        <f t="shared" si="39"/>
        <v>2.3625770899952148</v>
      </c>
    </row>
    <row r="634" spans="1:8" x14ac:dyDescent="0.3">
      <c r="A634" s="2">
        <v>42270</v>
      </c>
      <c r="B634" s="3">
        <v>125182.7571653476</v>
      </c>
      <c r="C634" s="3">
        <v>138583.8378162164</v>
      </c>
      <c r="D634">
        <v>3725</v>
      </c>
      <c r="E634" s="3">
        <f t="shared" si="36"/>
        <v>33.606109306133582</v>
      </c>
      <c r="F634" s="16">
        <f t="shared" si="37"/>
        <v>-13401.080650868797</v>
      </c>
      <c r="G634" s="23">
        <f t="shared" si="38"/>
        <v>-0.10705212885803421</v>
      </c>
      <c r="H634" s="3">
        <f t="shared" si="39"/>
        <v>-3.5976055438573948</v>
      </c>
    </row>
    <row r="635" spans="1:8" x14ac:dyDescent="0.3">
      <c r="A635" s="2">
        <v>42271</v>
      </c>
      <c r="B635" s="3">
        <v>150036.8050416176</v>
      </c>
      <c r="C635" s="3">
        <v>167704.85540677371</v>
      </c>
      <c r="D635">
        <v>4492</v>
      </c>
      <c r="E635" s="3">
        <f t="shared" si="36"/>
        <v>33.400891594304895</v>
      </c>
      <c r="F635" s="16">
        <f t="shared" si="37"/>
        <v>-17668.050365156116</v>
      </c>
      <c r="G635" s="23">
        <f t="shared" si="38"/>
        <v>-0.11775810848714957</v>
      </c>
      <c r="H635" s="3">
        <f t="shared" si="39"/>
        <v>-3.9332258159296787</v>
      </c>
    </row>
    <row r="636" spans="1:8" x14ac:dyDescent="0.3">
      <c r="A636" s="2">
        <v>42272</v>
      </c>
      <c r="B636" s="3">
        <v>368037.69194465881</v>
      </c>
      <c r="C636" s="3">
        <v>413540.807164328</v>
      </c>
      <c r="D636">
        <v>11030</v>
      </c>
      <c r="E636" s="3">
        <f t="shared" si="36"/>
        <v>33.366971164520294</v>
      </c>
      <c r="F636" s="16">
        <f t="shared" si="37"/>
        <v>-45503.115219669184</v>
      </c>
      <c r="G636" s="23">
        <f t="shared" si="38"/>
        <v>-0.12363710624104068</v>
      </c>
      <c r="H636" s="3">
        <f t="shared" si="39"/>
        <v>-4.1253957588095362</v>
      </c>
    </row>
    <row r="637" spans="1:8" x14ac:dyDescent="0.3">
      <c r="A637" s="2">
        <v>42273</v>
      </c>
      <c r="B637" s="3">
        <v>351319.63806908001</v>
      </c>
      <c r="C637" s="3">
        <v>397626.58505845559</v>
      </c>
      <c r="D637">
        <v>10528</v>
      </c>
      <c r="E637" s="3">
        <f t="shared" si="36"/>
        <v>33.370026412336628</v>
      </c>
      <c r="F637" s="16">
        <f t="shared" si="37"/>
        <v>-46306.946989375574</v>
      </c>
      <c r="G637" s="23">
        <f t="shared" si="38"/>
        <v>-0.13180859243703943</v>
      </c>
      <c r="H637" s="3">
        <f t="shared" si="39"/>
        <v>-4.3984562109969199</v>
      </c>
    </row>
    <row r="638" spans="1:8" x14ac:dyDescent="0.3">
      <c r="A638" s="2">
        <v>42274</v>
      </c>
      <c r="B638" s="3">
        <v>163289.93666880389</v>
      </c>
      <c r="C638" s="3">
        <v>185404.04401051009</v>
      </c>
      <c r="D638">
        <v>4895</v>
      </c>
      <c r="E638" s="3">
        <f t="shared" si="36"/>
        <v>33.358516173402222</v>
      </c>
      <c r="F638" s="16">
        <f t="shared" si="37"/>
        <v>-22114.1073417062</v>
      </c>
      <c r="G638" s="23">
        <f t="shared" si="38"/>
        <v>-0.13542847644407863</v>
      </c>
      <c r="H638" s="3">
        <f t="shared" si="39"/>
        <v>-4.517693021799019</v>
      </c>
    </row>
    <row r="639" spans="1:8" x14ac:dyDescent="0.3">
      <c r="A639" s="2">
        <v>42275</v>
      </c>
      <c r="B639" s="3">
        <v>190892.45898757639</v>
      </c>
      <c r="C639" s="3">
        <v>216571.0595214621</v>
      </c>
      <c r="D639">
        <v>5720</v>
      </c>
      <c r="E639" s="3">
        <f t="shared" si="36"/>
        <v>33.372807515310555</v>
      </c>
      <c r="F639" s="16">
        <f t="shared" si="37"/>
        <v>-25678.600533885707</v>
      </c>
      <c r="G639" s="23">
        <f t="shared" si="38"/>
        <v>-0.13451867438910678</v>
      </c>
      <c r="H639" s="3">
        <f t="shared" si="39"/>
        <v>-4.489265827602396</v>
      </c>
    </row>
    <row r="640" spans="1:8" x14ac:dyDescent="0.3">
      <c r="A640" s="2">
        <v>42276</v>
      </c>
      <c r="B640" s="3">
        <v>143082.1332657676</v>
      </c>
      <c r="C640" s="3">
        <v>162929.01847235279</v>
      </c>
      <c r="D640">
        <v>4288</v>
      </c>
      <c r="E640" s="3">
        <f t="shared" si="36"/>
        <v>33.368034810113713</v>
      </c>
      <c r="F640" s="16">
        <f t="shared" si="37"/>
        <v>-19846.885206585197</v>
      </c>
      <c r="G640" s="23">
        <f t="shared" si="38"/>
        <v>-0.13870973792178959</v>
      </c>
      <c r="H640" s="3">
        <f t="shared" si="39"/>
        <v>-4.6284713634760255</v>
      </c>
    </row>
    <row r="641" spans="1:8" x14ac:dyDescent="0.3">
      <c r="A641" s="2">
        <v>42277</v>
      </c>
      <c r="B641" s="3">
        <v>323548.78534206882</v>
      </c>
      <c r="C641" s="3">
        <v>368434.8859088649</v>
      </c>
      <c r="D641">
        <v>9693</v>
      </c>
      <c r="E641" s="3">
        <f t="shared" si="36"/>
        <v>33.379633275773116</v>
      </c>
      <c r="F641" s="16">
        <f t="shared" si="37"/>
        <v>-44886.100566796085</v>
      </c>
      <c r="G641" s="23">
        <f t="shared" si="38"/>
        <v>-0.13873054883930622</v>
      </c>
      <c r="H641" s="3">
        <f t="shared" si="39"/>
        <v>-4.6307748444027741</v>
      </c>
    </row>
    <row r="642" spans="1:8" x14ac:dyDescent="0.3">
      <c r="A642" s="2">
        <v>42278</v>
      </c>
      <c r="B642" s="3">
        <v>402312.33315894648</v>
      </c>
      <c r="C642" s="3">
        <v>459285.80452600669</v>
      </c>
      <c r="D642">
        <v>12065</v>
      </c>
      <c r="E642" s="3">
        <f t="shared" ref="E642:E705" si="40">B642/D642</f>
        <v>33.345406809693038</v>
      </c>
      <c r="F642" s="16">
        <f t="shared" ref="F642:F705" si="41">B642-C642</f>
        <v>-56973.471367060207</v>
      </c>
      <c r="G642" s="23">
        <f t="shared" ref="G642:G705" si="42">F642/B642</f>
        <v>-0.14161502561879205</v>
      </c>
      <c r="H642" s="3">
        <f t="shared" ref="H642:H705" si="43">F642/D642</f>
        <v>-4.7222106396237225</v>
      </c>
    </row>
    <row r="643" spans="1:8" x14ac:dyDescent="0.3">
      <c r="A643" s="2">
        <v>42279</v>
      </c>
      <c r="B643" s="3">
        <v>393635.17485489399</v>
      </c>
      <c r="C643" s="3">
        <v>448390.96576197422</v>
      </c>
      <c r="D643">
        <v>11758</v>
      </c>
      <c r="E643" s="3">
        <f t="shared" si="40"/>
        <v>33.478072363913419</v>
      </c>
      <c r="F643" s="16">
        <f t="shared" si="41"/>
        <v>-54755.790907080227</v>
      </c>
      <c r="G643" s="23">
        <f t="shared" si="42"/>
        <v>-0.13910289121714006</v>
      </c>
      <c r="H643" s="3">
        <f t="shared" si="43"/>
        <v>-4.6568966581969917</v>
      </c>
    </row>
    <row r="644" spans="1:8" x14ac:dyDescent="0.3">
      <c r="A644" s="2">
        <v>42280</v>
      </c>
      <c r="B644" s="3">
        <v>451100.06007685699</v>
      </c>
      <c r="C644" s="3">
        <v>515549.38991623401</v>
      </c>
      <c r="D644">
        <v>13508</v>
      </c>
      <c r="E644" s="3">
        <f t="shared" si="40"/>
        <v>33.39502961777147</v>
      </c>
      <c r="F644" s="16">
        <f t="shared" si="41"/>
        <v>-64449.329839377024</v>
      </c>
      <c r="G644" s="23">
        <f t="shared" si="42"/>
        <v>-0.14287147252517846</v>
      </c>
      <c r="H644" s="3">
        <f t="shared" si="43"/>
        <v>-4.7711970565129569</v>
      </c>
    </row>
    <row r="645" spans="1:8" x14ac:dyDescent="0.3">
      <c r="A645" s="2">
        <v>42281</v>
      </c>
      <c r="B645" s="3">
        <v>202902.62490132521</v>
      </c>
      <c r="C645" s="3">
        <v>232360.32715548939</v>
      </c>
      <c r="D645">
        <v>6085</v>
      </c>
      <c r="E645" s="3">
        <f t="shared" si="40"/>
        <v>33.344720608270372</v>
      </c>
      <c r="F645" s="16">
        <f t="shared" si="41"/>
        <v>-29457.702254164178</v>
      </c>
      <c r="G645" s="23">
        <f t="shared" si="42"/>
        <v>-0.14518147445598562</v>
      </c>
      <c r="H645" s="3">
        <f t="shared" si="43"/>
        <v>-4.8410357032315821</v>
      </c>
    </row>
    <row r="646" spans="1:8" x14ac:dyDescent="0.3">
      <c r="A646" s="2">
        <v>42282</v>
      </c>
      <c r="B646" s="3">
        <v>294557.64636622381</v>
      </c>
      <c r="C646" s="3">
        <v>336897.92240040551</v>
      </c>
      <c r="D646">
        <v>8828</v>
      </c>
      <c r="E646" s="3">
        <f t="shared" si="40"/>
        <v>33.36629433237696</v>
      </c>
      <c r="F646" s="16">
        <f t="shared" si="41"/>
        <v>-42340.276034181705</v>
      </c>
      <c r="G646" s="23">
        <f t="shared" si="42"/>
        <v>-0.14374190097085443</v>
      </c>
      <c r="H646" s="3">
        <f t="shared" si="43"/>
        <v>-4.7961345756889111</v>
      </c>
    </row>
    <row r="647" spans="1:8" x14ac:dyDescent="0.3">
      <c r="A647" s="2">
        <v>42283</v>
      </c>
      <c r="B647" s="3">
        <v>221618.32824753021</v>
      </c>
      <c r="C647" s="3">
        <v>253291.062286083</v>
      </c>
      <c r="D647">
        <v>6636</v>
      </c>
      <c r="E647" s="3">
        <f t="shared" si="40"/>
        <v>33.396372550863504</v>
      </c>
      <c r="F647" s="16">
        <f t="shared" si="41"/>
        <v>-31672.734038552793</v>
      </c>
      <c r="G647" s="23">
        <f t="shared" si="42"/>
        <v>-0.14291567980413986</v>
      </c>
      <c r="H647" s="3">
        <f t="shared" si="43"/>
        <v>-4.7728652860989742</v>
      </c>
    </row>
    <row r="648" spans="1:8" x14ac:dyDescent="0.3">
      <c r="A648" s="2">
        <v>42284</v>
      </c>
      <c r="B648" s="3">
        <v>63968.38248018537</v>
      </c>
      <c r="C648" s="3">
        <v>61942.842677746637</v>
      </c>
      <c r="D648">
        <v>1622</v>
      </c>
      <c r="E648" s="3">
        <f t="shared" si="40"/>
        <v>39.437967003813419</v>
      </c>
      <c r="F648" s="16">
        <f t="shared" si="41"/>
        <v>2025.5398024387323</v>
      </c>
      <c r="G648" s="23">
        <f t="shared" si="42"/>
        <v>3.1664702528099047E-2</v>
      </c>
      <c r="H648" s="3">
        <f t="shared" si="43"/>
        <v>1.2487914934887376</v>
      </c>
    </row>
    <row r="649" spans="1:8" x14ac:dyDescent="0.3">
      <c r="A649" s="2">
        <v>42285</v>
      </c>
      <c r="B649" s="3">
        <v>59609.544705280372</v>
      </c>
      <c r="C649" s="3">
        <v>57736.476659462976</v>
      </c>
      <c r="D649">
        <v>1512</v>
      </c>
      <c r="E649" s="3">
        <f t="shared" si="40"/>
        <v>39.424302053756861</v>
      </c>
      <c r="F649" s="16">
        <f t="shared" si="41"/>
        <v>1873.0680458173956</v>
      </c>
      <c r="G649" s="23">
        <f t="shared" si="42"/>
        <v>3.1422284049948034E-2</v>
      </c>
      <c r="H649" s="3">
        <f t="shared" si="43"/>
        <v>1.2388016176040977</v>
      </c>
    </row>
    <row r="650" spans="1:8" x14ac:dyDescent="0.3">
      <c r="A650" s="2">
        <v>42286</v>
      </c>
      <c r="B650" s="3">
        <v>126588.25297451641</v>
      </c>
      <c r="C650" s="3">
        <v>122622.36311479039</v>
      </c>
      <c r="D650">
        <v>3211</v>
      </c>
      <c r="E650" s="3">
        <f t="shared" si="40"/>
        <v>39.423311421524886</v>
      </c>
      <c r="F650" s="16">
        <f t="shared" si="41"/>
        <v>3965.8898597260122</v>
      </c>
      <c r="G650" s="23">
        <f t="shared" si="42"/>
        <v>3.132905120765344E-2</v>
      </c>
      <c r="H650" s="3">
        <f t="shared" si="43"/>
        <v>1.2350949423002218</v>
      </c>
    </row>
    <row r="651" spans="1:8" x14ac:dyDescent="0.3">
      <c r="A651" s="2">
        <v>42287</v>
      </c>
      <c r="B651" s="3">
        <v>119755.01159048091</v>
      </c>
      <c r="C651" s="3">
        <v>116003.6869136254</v>
      </c>
      <c r="D651">
        <v>3037</v>
      </c>
      <c r="E651" s="3">
        <f t="shared" si="40"/>
        <v>39.432009084781335</v>
      </c>
      <c r="F651" s="16">
        <f t="shared" si="41"/>
        <v>3751.3246768555109</v>
      </c>
      <c r="G651" s="23">
        <f t="shared" si="42"/>
        <v>3.1324991138439305E-2</v>
      </c>
      <c r="H651" s="3">
        <f t="shared" si="43"/>
        <v>1.2352073351516335</v>
      </c>
    </row>
    <row r="652" spans="1:8" x14ac:dyDescent="0.3">
      <c r="A652" s="2">
        <v>42288</v>
      </c>
      <c r="B652" s="3">
        <v>57413.410482090367</v>
      </c>
      <c r="C652" s="3">
        <v>55617.584643929717</v>
      </c>
      <c r="D652">
        <v>1456</v>
      </c>
      <c r="E652" s="3">
        <f t="shared" si="40"/>
        <v>39.43228741901811</v>
      </c>
      <c r="F652" s="16">
        <f t="shared" si="41"/>
        <v>1795.8258381606502</v>
      </c>
      <c r="G652" s="23">
        <f t="shared" si="42"/>
        <v>3.1278856683158426E-2</v>
      </c>
      <c r="H652" s="3">
        <f t="shared" si="43"/>
        <v>1.2333968668685784</v>
      </c>
    </row>
    <row r="653" spans="1:8" x14ac:dyDescent="0.3">
      <c r="A653" s="2">
        <v>42289</v>
      </c>
      <c r="B653" s="3">
        <v>57749.13693860537</v>
      </c>
      <c r="C653" s="3">
        <v>55933.008575846157</v>
      </c>
      <c r="D653">
        <v>1465</v>
      </c>
      <c r="E653" s="3">
        <f t="shared" si="40"/>
        <v>39.419206101437112</v>
      </c>
      <c r="F653" s="16">
        <f t="shared" si="41"/>
        <v>1816.1283627592129</v>
      </c>
      <c r="G653" s="23">
        <f t="shared" si="42"/>
        <v>3.1448580169951057E-2</v>
      </c>
      <c r="H653" s="3">
        <f t="shared" si="43"/>
        <v>1.2396780633168689</v>
      </c>
    </row>
    <row r="654" spans="1:8" x14ac:dyDescent="0.3">
      <c r="A654" s="2">
        <v>42290</v>
      </c>
      <c r="B654" s="3">
        <v>40140.82003455524</v>
      </c>
      <c r="C654" s="3">
        <v>38881.088441786422</v>
      </c>
      <c r="D654">
        <v>1018</v>
      </c>
      <c r="E654" s="3">
        <f t="shared" si="40"/>
        <v>39.431060937677053</v>
      </c>
      <c r="F654" s="16">
        <f t="shared" si="41"/>
        <v>1259.7315927688178</v>
      </c>
      <c r="G654" s="23">
        <f t="shared" si="42"/>
        <v>3.13828066213988E-2</v>
      </c>
      <c r="H654" s="3">
        <f t="shared" si="43"/>
        <v>1.2374573602837109</v>
      </c>
    </row>
    <row r="655" spans="1:8" x14ac:dyDescent="0.3">
      <c r="A655" s="2">
        <v>42291</v>
      </c>
      <c r="B655" s="3">
        <v>42195.817364850249</v>
      </c>
      <c r="C655" s="3">
        <v>40869.24947226706</v>
      </c>
      <c r="D655">
        <v>1070</v>
      </c>
      <c r="E655" s="3">
        <f t="shared" si="40"/>
        <v>39.43534333163575</v>
      </c>
      <c r="F655" s="16">
        <f t="shared" si="41"/>
        <v>1326.567892583189</v>
      </c>
      <c r="G655" s="23">
        <f t="shared" si="42"/>
        <v>3.1438374119237701E-2</v>
      </c>
      <c r="H655" s="3">
        <f t="shared" si="43"/>
        <v>1.2397830771805505</v>
      </c>
    </row>
    <row r="656" spans="1:8" x14ac:dyDescent="0.3">
      <c r="A656" s="2">
        <v>42292</v>
      </c>
      <c r="B656" s="3">
        <v>53490.797465390373</v>
      </c>
      <c r="C656" s="3">
        <v>51799.165903400812</v>
      </c>
      <c r="D656">
        <v>1357</v>
      </c>
      <c r="E656" s="3">
        <f t="shared" si="40"/>
        <v>39.41842112409018</v>
      </c>
      <c r="F656" s="16">
        <f t="shared" si="41"/>
        <v>1691.6315619895613</v>
      </c>
      <c r="G656" s="23">
        <f t="shared" si="42"/>
        <v>3.1624721300595321E-2</v>
      </c>
      <c r="H656" s="3">
        <f t="shared" si="43"/>
        <v>1.2465965821588514</v>
      </c>
    </row>
    <row r="657" spans="1:8" x14ac:dyDescent="0.3">
      <c r="A657" s="2">
        <v>42293</v>
      </c>
      <c r="B657" s="3">
        <v>110809.3158055775</v>
      </c>
      <c r="C657" s="3">
        <v>107331.98051512289</v>
      </c>
      <c r="D657">
        <v>2810</v>
      </c>
      <c r="E657" s="3">
        <f t="shared" si="40"/>
        <v>39.433920215508003</v>
      </c>
      <c r="F657" s="16">
        <f t="shared" si="41"/>
        <v>3477.3352904546045</v>
      </c>
      <c r="G657" s="23">
        <f t="shared" si="42"/>
        <v>3.1381254050479174E-2</v>
      </c>
      <c r="H657" s="3">
        <f t="shared" si="43"/>
        <v>1.2374858684891832</v>
      </c>
    </row>
    <row r="658" spans="1:8" x14ac:dyDescent="0.3">
      <c r="A658" s="2">
        <v>42294</v>
      </c>
      <c r="B658" s="3">
        <v>111527.01346960261</v>
      </c>
      <c r="C658" s="3">
        <v>108023.60734392131</v>
      </c>
      <c r="D658">
        <v>2829</v>
      </c>
      <c r="E658" s="3">
        <f t="shared" si="40"/>
        <v>39.422768988901595</v>
      </c>
      <c r="F658" s="16">
        <f t="shared" si="41"/>
        <v>3503.4061256813002</v>
      </c>
      <c r="G658" s="23">
        <f t="shared" si="42"/>
        <v>3.1413072193815859E-2</v>
      </c>
      <c r="H658" s="3">
        <f t="shared" si="43"/>
        <v>1.2383902883284907</v>
      </c>
    </row>
    <row r="659" spans="1:8" x14ac:dyDescent="0.3">
      <c r="A659" s="2">
        <v>42295</v>
      </c>
      <c r="B659" s="3">
        <v>59808.138668750369</v>
      </c>
      <c r="C659" s="3">
        <v>57937.458655969502</v>
      </c>
      <c r="D659">
        <v>1517</v>
      </c>
      <c r="E659" s="3">
        <f t="shared" si="40"/>
        <v>39.425272688695038</v>
      </c>
      <c r="F659" s="16">
        <f t="shared" si="41"/>
        <v>1870.6800127808674</v>
      </c>
      <c r="G659" s="23">
        <f t="shared" si="42"/>
        <v>3.1278017581214144E-2</v>
      </c>
      <c r="H659" s="3">
        <f t="shared" si="43"/>
        <v>1.233144372301165</v>
      </c>
    </row>
    <row r="660" spans="1:8" x14ac:dyDescent="0.3">
      <c r="A660" s="2">
        <v>42296</v>
      </c>
      <c r="B660" s="3">
        <v>55166.226228085383</v>
      </c>
      <c r="C660" s="3">
        <v>53436.897092784871</v>
      </c>
      <c r="D660">
        <v>1399</v>
      </c>
      <c r="E660" s="3">
        <f t="shared" si="40"/>
        <v>39.432613458245449</v>
      </c>
      <c r="F660" s="16">
        <f t="shared" si="41"/>
        <v>1729.3291353005116</v>
      </c>
      <c r="G660" s="23">
        <f t="shared" si="42"/>
        <v>3.1347606199318055E-2</v>
      </c>
      <c r="H660" s="3">
        <f t="shared" si="43"/>
        <v>1.2361180380990076</v>
      </c>
    </row>
    <row r="661" spans="1:8" x14ac:dyDescent="0.3">
      <c r="A661" s="2">
        <v>42297</v>
      </c>
      <c r="B661" s="3">
        <v>42054.680471955253</v>
      </c>
      <c r="C661" s="3">
        <v>40736.150475592272</v>
      </c>
      <c r="D661">
        <v>1067</v>
      </c>
      <c r="E661" s="3">
        <f t="shared" si="40"/>
        <v>39.413946084306701</v>
      </c>
      <c r="F661" s="16">
        <f t="shared" si="41"/>
        <v>1318.5299963629805</v>
      </c>
      <c r="G661" s="23">
        <f t="shared" si="42"/>
        <v>3.1352752691635843E-2</v>
      </c>
      <c r="H661" s="3">
        <f t="shared" si="43"/>
        <v>1.235735704182737</v>
      </c>
    </row>
    <row r="662" spans="1:8" x14ac:dyDescent="0.3">
      <c r="A662" s="2">
        <v>42298</v>
      </c>
      <c r="B662" s="3">
        <v>53678.179109280252</v>
      </c>
      <c r="C662" s="3">
        <v>51999.860868195567</v>
      </c>
      <c r="D662">
        <v>1361</v>
      </c>
      <c r="E662" s="3">
        <f t="shared" si="40"/>
        <v>39.440249161851767</v>
      </c>
      <c r="F662" s="16">
        <f t="shared" si="41"/>
        <v>1678.3182410846857</v>
      </c>
      <c r="G662" s="23">
        <f t="shared" si="42"/>
        <v>3.1266303532165203E-2</v>
      </c>
      <c r="H662" s="3">
        <f t="shared" si="43"/>
        <v>1.2331508016786816</v>
      </c>
    </row>
    <row r="663" spans="1:8" x14ac:dyDescent="0.3">
      <c r="A663" s="2">
        <v>42299</v>
      </c>
      <c r="B663" s="3">
        <v>55930.168643105368</v>
      </c>
      <c r="C663" s="3">
        <v>54177.690061877343</v>
      </c>
      <c r="D663">
        <v>1419</v>
      </c>
      <c r="E663" s="3">
        <f t="shared" si="40"/>
        <v>39.415199889432955</v>
      </c>
      <c r="F663" s="16">
        <f t="shared" si="41"/>
        <v>1752.4785812280243</v>
      </c>
      <c r="G663" s="23">
        <f t="shared" si="42"/>
        <v>3.1333332685097422E-2</v>
      </c>
      <c r="H663" s="3">
        <f t="shared" si="43"/>
        <v>1.235009570985218</v>
      </c>
    </row>
    <row r="664" spans="1:8" x14ac:dyDescent="0.3">
      <c r="A664" s="2">
        <v>42300</v>
      </c>
      <c r="B664" s="3">
        <v>185771.00146306361</v>
      </c>
      <c r="C664" s="3">
        <v>192527.0110099228</v>
      </c>
      <c r="D664">
        <v>5042</v>
      </c>
      <c r="E664" s="3">
        <f t="shared" si="40"/>
        <v>36.844704772523528</v>
      </c>
      <c r="F664" s="16">
        <f t="shared" si="41"/>
        <v>-6756.0095468591899</v>
      </c>
      <c r="G664" s="23">
        <f t="shared" si="42"/>
        <v>-3.6367406611642075E-2</v>
      </c>
      <c r="H664" s="3">
        <f t="shared" si="43"/>
        <v>-1.3399463599482724</v>
      </c>
    </row>
    <row r="665" spans="1:8" x14ac:dyDescent="0.3">
      <c r="A665" s="2">
        <v>42301</v>
      </c>
      <c r="B665" s="3">
        <v>253116.91319854019</v>
      </c>
      <c r="C665" s="3">
        <v>262409.56942291622</v>
      </c>
      <c r="D665">
        <v>6872</v>
      </c>
      <c r="E665" s="3">
        <f t="shared" si="40"/>
        <v>36.833078172080938</v>
      </c>
      <c r="F665" s="16">
        <f t="shared" si="41"/>
        <v>-9292.6562243760272</v>
      </c>
      <c r="G665" s="23">
        <f t="shared" si="42"/>
        <v>-3.6712901192371292E-2</v>
      </c>
      <c r="H665" s="3">
        <f t="shared" si="43"/>
        <v>-1.3522491595424952</v>
      </c>
    </row>
    <row r="666" spans="1:8" x14ac:dyDescent="0.3">
      <c r="A666" s="2">
        <v>42302</v>
      </c>
      <c r="B666" s="3">
        <v>118618.4537021529</v>
      </c>
      <c r="C666" s="3">
        <v>122915.26701698839</v>
      </c>
      <c r="D666">
        <v>3218</v>
      </c>
      <c r="E666" s="3">
        <f t="shared" si="40"/>
        <v>36.860924083950557</v>
      </c>
      <c r="F666" s="16">
        <f t="shared" si="41"/>
        <v>-4296.8133148354973</v>
      </c>
      <c r="G666" s="23">
        <f t="shared" si="42"/>
        <v>-3.6223818307602094E-2</v>
      </c>
      <c r="H666" s="3">
        <f t="shared" si="43"/>
        <v>-1.335243416667339</v>
      </c>
    </row>
    <row r="667" spans="1:8" x14ac:dyDescent="0.3">
      <c r="A667" s="2">
        <v>42303</v>
      </c>
      <c r="B667" s="3">
        <v>123320.78404237361</v>
      </c>
      <c r="C667" s="3">
        <v>128133.7786088713</v>
      </c>
      <c r="D667">
        <v>3347</v>
      </c>
      <c r="E667" s="3">
        <f t="shared" si="40"/>
        <v>36.845170015647923</v>
      </c>
      <c r="F667" s="16">
        <f t="shared" si="41"/>
        <v>-4812.9945664976985</v>
      </c>
      <c r="G667" s="23">
        <f t="shared" si="42"/>
        <v>-3.9028251432815499E-2</v>
      </c>
      <c r="H667" s="3">
        <f t="shared" si="43"/>
        <v>-1.4380025594555419</v>
      </c>
    </row>
    <row r="668" spans="1:8" x14ac:dyDescent="0.3">
      <c r="A668" s="2">
        <v>42304</v>
      </c>
      <c r="B668" s="3">
        <v>117051.2772154027</v>
      </c>
      <c r="C668" s="3">
        <v>122175.0002727018</v>
      </c>
      <c r="D668">
        <v>3177</v>
      </c>
      <c r="E668" s="3">
        <f t="shared" si="40"/>
        <v>36.843335604470475</v>
      </c>
      <c r="F668" s="16">
        <f t="shared" si="41"/>
        <v>-5123.7230572990957</v>
      </c>
      <c r="G668" s="23">
        <f t="shared" si="42"/>
        <v>-4.3773320370269896E-2</v>
      </c>
      <c r="H668" s="3">
        <f t="shared" si="43"/>
        <v>-1.6127551329238576</v>
      </c>
    </row>
    <row r="669" spans="1:8" x14ac:dyDescent="0.3">
      <c r="A669" s="2">
        <v>42305</v>
      </c>
      <c r="B669" s="3">
        <v>159299.98906190021</v>
      </c>
      <c r="C669" s="3">
        <v>174699.07672381031</v>
      </c>
      <c r="D669">
        <v>4532</v>
      </c>
      <c r="E669" s="3">
        <f t="shared" si="40"/>
        <v>35.150041717100663</v>
      </c>
      <c r="F669" s="16">
        <f t="shared" si="41"/>
        <v>-15399.087661910104</v>
      </c>
      <c r="G669" s="23">
        <f t="shared" si="42"/>
        <v>-9.6667223598655636E-2</v>
      </c>
      <c r="H669" s="3">
        <f t="shared" si="43"/>
        <v>-3.3978569421690432</v>
      </c>
    </row>
    <row r="670" spans="1:8" x14ac:dyDescent="0.3">
      <c r="A670" s="2">
        <v>42306</v>
      </c>
      <c r="B670" s="3">
        <v>119047.4098679029</v>
      </c>
      <c r="C670" s="3">
        <v>124349.2654892959</v>
      </c>
      <c r="D670">
        <v>3231</v>
      </c>
      <c r="E670" s="3">
        <f t="shared" si="40"/>
        <v>36.845376003683967</v>
      </c>
      <c r="F670" s="16">
        <f t="shared" si="41"/>
        <v>-5301.8556213929987</v>
      </c>
      <c r="G670" s="23">
        <f t="shared" si="42"/>
        <v>-4.4535665473747231E-2</v>
      </c>
      <c r="H670" s="3">
        <f t="shared" si="43"/>
        <v>-1.6409333399545027</v>
      </c>
    </row>
    <row r="671" spans="1:8" x14ac:dyDescent="0.3">
      <c r="A671" s="2">
        <v>42307</v>
      </c>
      <c r="B671" s="3">
        <v>285081.97432843532</v>
      </c>
      <c r="C671" s="3">
        <v>297627.69071540632</v>
      </c>
      <c r="D671">
        <v>7731</v>
      </c>
      <c r="E671" s="3">
        <f t="shared" si="40"/>
        <v>36.875174534786616</v>
      </c>
      <c r="F671" s="16">
        <f t="shared" si="41"/>
        <v>-12545.716386971006</v>
      </c>
      <c r="G671" s="23">
        <f t="shared" si="42"/>
        <v>-4.4007399683985003E-2</v>
      </c>
      <c r="H671" s="3">
        <f t="shared" si="43"/>
        <v>-1.6227805441690604</v>
      </c>
    </row>
    <row r="672" spans="1:8" x14ac:dyDescent="0.3">
      <c r="A672" s="2">
        <v>42308</v>
      </c>
      <c r="B672" s="3">
        <v>391656.21258357138</v>
      </c>
      <c r="C672" s="3">
        <v>429832.83476080548</v>
      </c>
      <c r="D672">
        <v>11148</v>
      </c>
      <c r="E672" s="3">
        <f t="shared" si="40"/>
        <v>35.132419499782145</v>
      </c>
      <c r="F672" s="16">
        <f t="shared" si="41"/>
        <v>-38176.622177234094</v>
      </c>
      <c r="G672" s="23">
        <f t="shared" si="42"/>
        <v>-9.7474828563042362E-2</v>
      </c>
      <c r="H672" s="3">
        <f t="shared" si="43"/>
        <v>-3.4245265677461512</v>
      </c>
    </row>
    <row r="673" spans="1:8" x14ac:dyDescent="0.3">
      <c r="A673" s="2">
        <v>42309</v>
      </c>
      <c r="B673" s="3">
        <v>274814.77805485041</v>
      </c>
      <c r="C673" s="3">
        <v>287978.17491181649</v>
      </c>
      <c r="D673">
        <v>7459</v>
      </c>
      <c r="E673" s="3">
        <f t="shared" si="40"/>
        <v>36.843380889509369</v>
      </c>
      <c r="F673" s="16">
        <f t="shared" si="41"/>
        <v>-13163.396856966079</v>
      </c>
      <c r="G673" s="23">
        <f t="shared" si="42"/>
        <v>-4.7899159390688922E-2</v>
      </c>
      <c r="H673" s="3">
        <f t="shared" si="43"/>
        <v>-1.7647669737184715</v>
      </c>
    </row>
    <row r="674" spans="1:8" x14ac:dyDescent="0.3">
      <c r="A674" s="2">
        <v>42310</v>
      </c>
      <c r="B674" s="3">
        <v>269555.02312096767</v>
      </c>
      <c r="C674" s="3">
        <v>281915.19210462889</v>
      </c>
      <c r="D674">
        <v>7316</v>
      </c>
      <c r="E674" s="3">
        <f t="shared" si="40"/>
        <v>36.844590366452664</v>
      </c>
      <c r="F674" s="16">
        <f t="shared" si="41"/>
        <v>-12360.16898366122</v>
      </c>
      <c r="G674" s="23">
        <f t="shared" si="42"/>
        <v>-4.5853973858666963E-2</v>
      </c>
      <c r="H674" s="3">
        <f t="shared" si="43"/>
        <v>-1.689470883496613</v>
      </c>
    </row>
    <row r="675" spans="1:8" x14ac:dyDescent="0.3">
      <c r="A675" s="2">
        <v>42311</v>
      </c>
      <c r="B675" s="3">
        <v>192001.03461514859</v>
      </c>
      <c r="C675" s="3">
        <v>201125.7754746837</v>
      </c>
      <c r="D675">
        <v>5211</v>
      </c>
      <c r="E675" s="3">
        <f t="shared" si="40"/>
        <v>36.845333835184917</v>
      </c>
      <c r="F675" s="16">
        <f t="shared" si="41"/>
        <v>-9124.7408595351153</v>
      </c>
      <c r="G675" s="23">
        <f t="shared" si="42"/>
        <v>-4.7524435885592811E-2</v>
      </c>
      <c r="H675" s="3">
        <f t="shared" si="43"/>
        <v>-1.7510537055335089</v>
      </c>
    </row>
    <row r="676" spans="1:8" x14ac:dyDescent="0.3">
      <c r="A676" s="2">
        <v>42312</v>
      </c>
      <c r="B676" s="3">
        <v>201367.78697700129</v>
      </c>
      <c r="C676" s="3">
        <v>220579.99556067711</v>
      </c>
      <c r="D676">
        <v>5731</v>
      </c>
      <c r="E676" s="3">
        <f t="shared" si="40"/>
        <v>35.136588200488795</v>
      </c>
      <c r="F676" s="16">
        <f t="shared" si="41"/>
        <v>-19212.20858367582</v>
      </c>
      <c r="G676" s="23">
        <f t="shared" si="42"/>
        <v>-9.5408550057065944E-2</v>
      </c>
      <c r="H676" s="3">
        <f t="shared" si="43"/>
        <v>-3.352330934160848</v>
      </c>
    </row>
    <row r="677" spans="1:8" x14ac:dyDescent="0.3">
      <c r="A677" s="2">
        <v>42313</v>
      </c>
      <c r="B677" s="3">
        <v>111874.5589729527</v>
      </c>
      <c r="C677" s="3">
        <v>116637.034345283</v>
      </c>
      <c r="D677">
        <v>3036</v>
      </c>
      <c r="E677" s="3">
        <f t="shared" si="40"/>
        <v>36.849327724951479</v>
      </c>
      <c r="F677" s="16">
        <f t="shared" si="41"/>
        <v>-4762.4753723303002</v>
      </c>
      <c r="G677" s="23">
        <f t="shared" si="42"/>
        <v>-4.2569780082723704E-2</v>
      </c>
      <c r="H677" s="3">
        <f t="shared" si="43"/>
        <v>-1.568667777447398</v>
      </c>
    </row>
    <row r="678" spans="1:8" x14ac:dyDescent="0.3">
      <c r="A678" s="2">
        <v>42314</v>
      </c>
      <c r="B678" s="3">
        <v>214540.33309084759</v>
      </c>
      <c r="C678" s="3">
        <v>223738.43271863071</v>
      </c>
      <c r="D678">
        <v>5822</v>
      </c>
      <c r="E678" s="3">
        <f t="shared" si="40"/>
        <v>36.849936978847062</v>
      </c>
      <c r="F678" s="16">
        <f t="shared" si="41"/>
        <v>-9198.0996277831146</v>
      </c>
      <c r="G678" s="23">
        <f t="shared" si="42"/>
        <v>-4.2873521706933114E-2</v>
      </c>
      <c r="H678" s="3">
        <f t="shared" si="43"/>
        <v>-1.5798865729617166</v>
      </c>
    </row>
    <row r="679" spans="1:8" x14ac:dyDescent="0.3">
      <c r="A679" s="2">
        <v>42315</v>
      </c>
      <c r="B679" s="3">
        <v>280264.24446527619</v>
      </c>
      <c r="C679" s="3">
        <v>306935.16039581352</v>
      </c>
      <c r="D679">
        <v>7987</v>
      </c>
      <c r="E679" s="3">
        <f t="shared" si="40"/>
        <v>35.090051892484809</v>
      </c>
      <c r="F679" s="16">
        <f t="shared" si="41"/>
        <v>-26670.915930537332</v>
      </c>
      <c r="G679" s="23">
        <f t="shared" si="42"/>
        <v>-9.5163462543798621E-2</v>
      </c>
      <c r="H679" s="3">
        <f t="shared" si="43"/>
        <v>-3.3392908389304283</v>
      </c>
    </row>
    <row r="680" spans="1:8" x14ac:dyDescent="0.3">
      <c r="A680" s="2">
        <v>42316</v>
      </c>
      <c r="B680" s="3">
        <v>134136.72870994979</v>
      </c>
      <c r="C680" s="3">
        <v>140236.30330013481</v>
      </c>
      <c r="D680">
        <v>3640</v>
      </c>
      <c r="E680" s="3">
        <f t="shared" si="40"/>
        <v>36.850749645590604</v>
      </c>
      <c r="F680" s="16">
        <f t="shared" si="41"/>
        <v>-6099.5745901850169</v>
      </c>
      <c r="G680" s="23">
        <f t="shared" si="42"/>
        <v>-4.5472814559049043E-2</v>
      </c>
      <c r="H680" s="3">
        <f t="shared" si="43"/>
        <v>-1.6757073049958837</v>
      </c>
    </row>
    <row r="681" spans="1:8" x14ac:dyDescent="0.3">
      <c r="A681" s="2">
        <v>42317</v>
      </c>
      <c r="B681" s="3">
        <v>94243.465527933557</v>
      </c>
      <c r="C681" s="3">
        <v>89949.304171877258</v>
      </c>
      <c r="D681">
        <v>2338</v>
      </c>
      <c r="E681" s="3">
        <f t="shared" si="40"/>
        <v>40.309437779270127</v>
      </c>
      <c r="F681" s="16">
        <f t="shared" si="41"/>
        <v>4294.1613560562982</v>
      </c>
      <c r="G681" s="23">
        <f t="shared" si="42"/>
        <v>4.5564552746455593E-2</v>
      </c>
      <c r="H681" s="3">
        <f t="shared" si="43"/>
        <v>1.8366815038735236</v>
      </c>
    </row>
    <row r="682" spans="1:8" x14ac:dyDescent="0.3">
      <c r="A682" s="2">
        <v>42318</v>
      </c>
      <c r="B682" s="3">
        <v>131436.19785473641</v>
      </c>
      <c r="C682" s="3">
        <v>143823.38644063799</v>
      </c>
      <c r="D682">
        <v>3744</v>
      </c>
      <c r="E682" s="3">
        <f t="shared" si="40"/>
        <v>35.105822076585582</v>
      </c>
      <c r="F682" s="16">
        <f t="shared" si="41"/>
        <v>-12387.188585901575</v>
      </c>
      <c r="G682" s="23">
        <f t="shared" si="42"/>
        <v>-9.4244879173939006E-2</v>
      </c>
      <c r="H682" s="3">
        <f t="shared" si="43"/>
        <v>-3.3085439599096085</v>
      </c>
    </row>
    <row r="683" spans="1:8" x14ac:dyDescent="0.3">
      <c r="A683" s="2">
        <v>42319</v>
      </c>
      <c r="B683" s="3">
        <v>147893.9414709764</v>
      </c>
      <c r="C683" s="3">
        <v>161665.60055441549</v>
      </c>
      <c r="D683">
        <v>4216</v>
      </c>
      <c r="E683" s="3">
        <f t="shared" si="40"/>
        <v>35.079208128789467</v>
      </c>
      <c r="F683" s="16">
        <f t="shared" si="41"/>
        <v>-13771.659083439095</v>
      </c>
      <c r="G683" s="23">
        <f t="shared" si="42"/>
        <v>-9.3118480354665037E-2</v>
      </c>
      <c r="H683" s="3">
        <f t="shared" si="43"/>
        <v>-3.2665225529978881</v>
      </c>
    </row>
    <row r="684" spans="1:8" x14ac:dyDescent="0.3">
      <c r="A684" s="2">
        <v>42320</v>
      </c>
      <c r="B684" s="3">
        <v>140238.39051047139</v>
      </c>
      <c r="C684" s="3">
        <v>153481.4533973026</v>
      </c>
      <c r="D684">
        <v>4000</v>
      </c>
      <c r="E684" s="3">
        <f t="shared" si="40"/>
        <v>35.059597627617848</v>
      </c>
      <c r="F684" s="16">
        <f t="shared" si="41"/>
        <v>-13243.062886831205</v>
      </c>
      <c r="G684" s="23">
        <f t="shared" si="42"/>
        <v>-9.4432507665170085E-2</v>
      </c>
      <c r="H684" s="3">
        <f t="shared" si="43"/>
        <v>-3.3107657217078015</v>
      </c>
    </row>
    <row r="685" spans="1:8" x14ac:dyDescent="0.3">
      <c r="A685" s="2">
        <v>42321</v>
      </c>
      <c r="B685" s="3">
        <v>358183.77400468499</v>
      </c>
      <c r="C685" s="3">
        <v>391310.32068493689</v>
      </c>
      <c r="D685">
        <v>10204</v>
      </c>
      <c r="E685" s="3">
        <f t="shared" si="40"/>
        <v>35.102290670784498</v>
      </c>
      <c r="F685" s="16">
        <f t="shared" si="41"/>
        <v>-33126.546680251893</v>
      </c>
      <c r="G685" s="23">
        <f t="shared" si="42"/>
        <v>-9.2484777604187621E-2</v>
      </c>
      <c r="H685" s="3">
        <f t="shared" si="43"/>
        <v>-3.2464275460850542</v>
      </c>
    </row>
    <row r="686" spans="1:8" x14ac:dyDescent="0.3">
      <c r="A686" s="2">
        <v>42322</v>
      </c>
      <c r="B686" s="3">
        <v>377937.13869747258</v>
      </c>
      <c r="C686" s="3">
        <v>413010.2290451295</v>
      </c>
      <c r="D686">
        <v>10769</v>
      </c>
      <c r="E686" s="3">
        <f t="shared" si="40"/>
        <v>35.094914912942016</v>
      </c>
      <c r="F686" s="16">
        <f t="shared" si="41"/>
        <v>-35073.090347656922</v>
      </c>
      <c r="G686" s="23">
        <f t="shared" si="42"/>
        <v>-9.2801386147265852E-2</v>
      </c>
      <c r="H686" s="3">
        <f t="shared" si="43"/>
        <v>-3.2568567506413708</v>
      </c>
    </row>
    <row r="687" spans="1:8" x14ac:dyDescent="0.3">
      <c r="A687" s="2">
        <v>42323</v>
      </c>
      <c r="B687" s="3">
        <v>168729.96240320889</v>
      </c>
      <c r="C687" s="3">
        <v>184673.48850580241</v>
      </c>
      <c r="D687">
        <v>4803</v>
      </c>
      <c r="E687" s="3">
        <f t="shared" si="40"/>
        <v>35.130119176183406</v>
      </c>
      <c r="F687" s="16">
        <f t="shared" si="41"/>
        <v>-15943.526102593518</v>
      </c>
      <c r="G687" s="23">
        <f t="shared" si="42"/>
        <v>-9.449137471206065E-2</v>
      </c>
      <c r="H687" s="3">
        <f t="shared" si="43"/>
        <v>-3.3194932547560936</v>
      </c>
    </row>
    <row r="688" spans="1:8" x14ac:dyDescent="0.3">
      <c r="A688" s="2">
        <v>42324</v>
      </c>
      <c r="B688" s="3">
        <v>177192.56981712021</v>
      </c>
      <c r="C688" s="3">
        <v>193615.30370472989</v>
      </c>
      <c r="D688">
        <v>5042</v>
      </c>
      <c r="E688" s="3">
        <f t="shared" si="40"/>
        <v>35.143310158096035</v>
      </c>
      <c r="F688" s="16">
        <f t="shared" si="41"/>
        <v>-16422.733887609676</v>
      </c>
      <c r="G688" s="23">
        <f t="shared" si="42"/>
        <v>-9.268297143926249E-2</v>
      </c>
      <c r="H688" s="3">
        <f t="shared" si="43"/>
        <v>-3.2571864116639579</v>
      </c>
    </row>
    <row r="689" spans="1:8" x14ac:dyDescent="0.3">
      <c r="A689" s="2">
        <v>42325</v>
      </c>
      <c r="B689" s="3">
        <v>152368.74909244641</v>
      </c>
      <c r="C689" s="3">
        <v>166625.36501779759</v>
      </c>
      <c r="D689">
        <v>4342</v>
      </c>
      <c r="E689" s="3">
        <f t="shared" si="40"/>
        <v>35.091835350632522</v>
      </c>
      <c r="F689" s="16">
        <f t="shared" si="41"/>
        <v>-14256.615925351187</v>
      </c>
      <c r="G689" s="23">
        <f t="shared" si="42"/>
        <v>-9.3566535200084219E-2</v>
      </c>
      <c r="H689" s="3">
        <f t="shared" si="43"/>
        <v>-3.2834214475705177</v>
      </c>
    </row>
    <row r="690" spans="1:8" x14ac:dyDescent="0.3">
      <c r="A690" s="2">
        <v>42326</v>
      </c>
      <c r="B690" s="3">
        <v>147471.80491951641</v>
      </c>
      <c r="C690" s="3">
        <v>161402.91869953019</v>
      </c>
      <c r="D690">
        <v>4202</v>
      </c>
      <c r="E690" s="3">
        <f t="shared" si="40"/>
        <v>35.095622303549838</v>
      </c>
      <c r="F690" s="16">
        <f t="shared" si="41"/>
        <v>-13931.11378001378</v>
      </c>
      <c r="G690" s="23">
        <f t="shared" si="42"/>
        <v>-9.446628653942879E-2</v>
      </c>
      <c r="H690" s="3">
        <f t="shared" si="43"/>
        <v>-3.3153531128067062</v>
      </c>
    </row>
    <row r="691" spans="1:8" x14ac:dyDescent="0.3">
      <c r="A691" s="2">
        <v>42327</v>
      </c>
      <c r="B691" s="3">
        <v>145697.15198235639</v>
      </c>
      <c r="C691" s="3">
        <v>159317.60939427299</v>
      </c>
      <c r="D691">
        <v>4151</v>
      </c>
      <c r="E691" s="3">
        <f t="shared" si="40"/>
        <v>35.099289805433962</v>
      </c>
      <c r="F691" s="16">
        <f t="shared" si="41"/>
        <v>-13620.457411916606</v>
      </c>
      <c r="G691" s="23">
        <f t="shared" si="42"/>
        <v>-9.3484719684610001E-2</v>
      </c>
      <c r="H691" s="3">
        <f t="shared" si="43"/>
        <v>-3.2812472685898837</v>
      </c>
    </row>
    <row r="692" spans="1:8" x14ac:dyDescent="0.3">
      <c r="A692" s="2">
        <v>42328</v>
      </c>
      <c r="B692" s="3">
        <v>301033.98651272239</v>
      </c>
      <c r="C692" s="3">
        <v>328965.14326487982</v>
      </c>
      <c r="D692">
        <v>8567</v>
      </c>
      <c r="E692" s="3">
        <f t="shared" si="40"/>
        <v>35.138786799664103</v>
      </c>
      <c r="F692" s="16">
        <f t="shared" si="41"/>
        <v>-27931.156752157432</v>
      </c>
      <c r="G692" s="23">
        <f t="shared" si="42"/>
        <v>-9.2784064270354391E-2</v>
      </c>
      <c r="H692" s="3">
        <f t="shared" si="43"/>
        <v>-3.2603194528023152</v>
      </c>
    </row>
    <row r="693" spans="1:8" x14ac:dyDescent="0.3">
      <c r="A693" s="2">
        <v>42329</v>
      </c>
      <c r="B693" s="3">
        <v>309518.07207128493</v>
      </c>
      <c r="C693" s="3">
        <v>338720.02362598572</v>
      </c>
      <c r="D693">
        <v>8811</v>
      </c>
      <c r="E693" s="3">
        <f t="shared" si="40"/>
        <v>35.128597443114849</v>
      </c>
      <c r="F693" s="16">
        <f t="shared" si="41"/>
        <v>-29201.95155470079</v>
      </c>
      <c r="G693" s="23">
        <f t="shared" si="42"/>
        <v>-9.4346515404681461E-2</v>
      </c>
      <c r="H693" s="3">
        <f t="shared" si="43"/>
        <v>-3.3142607598116887</v>
      </c>
    </row>
    <row r="694" spans="1:8" x14ac:dyDescent="0.3">
      <c r="A694" s="2">
        <v>42330</v>
      </c>
      <c r="B694" s="3">
        <v>152504.6317273539</v>
      </c>
      <c r="C694" s="3">
        <v>167600.650935746</v>
      </c>
      <c r="D694">
        <v>4345</v>
      </c>
      <c r="E694" s="3">
        <f t="shared" si="40"/>
        <v>35.098879569011252</v>
      </c>
      <c r="F694" s="16">
        <f t="shared" si="41"/>
        <v>-15096.019208392099</v>
      </c>
      <c r="G694" s="23">
        <f t="shared" si="42"/>
        <v>-9.8987283451040325E-2</v>
      </c>
      <c r="H694" s="3">
        <f t="shared" si="43"/>
        <v>-3.4743427407116454</v>
      </c>
    </row>
    <row r="695" spans="1:8" x14ac:dyDescent="0.3">
      <c r="A695" s="2">
        <v>42331</v>
      </c>
      <c r="B695" s="3">
        <v>79711.583414100489</v>
      </c>
      <c r="C695" s="3">
        <v>74375.788707864966</v>
      </c>
      <c r="D695">
        <v>1937</v>
      </c>
      <c r="E695" s="3">
        <f t="shared" si="40"/>
        <v>41.152082299483993</v>
      </c>
      <c r="F695" s="16">
        <f t="shared" si="41"/>
        <v>5335.7947062355233</v>
      </c>
      <c r="G695" s="23">
        <f t="shared" si="42"/>
        <v>6.693876194274237E-2</v>
      </c>
      <c r="H695" s="3">
        <f t="shared" si="43"/>
        <v>2.7546694404933008</v>
      </c>
    </row>
    <row r="696" spans="1:8" x14ac:dyDescent="0.3">
      <c r="A696" s="2">
        <v>42332</v>
      </c>
      <c r="B696" s="3">
        <v>111021.3791139987</v>
      </c>
      <c r="C696" s="3">
        <v>121456.5240191974</v>
      </c>
      <c r="D696">
        <v>3160</v>
      </c>
      <c r="E696" s="3">
        <f t="shared" si="40"/>
        <v>35.133347820885668</v>
      </c>
      <c r="F696" s="16">
        <f t="shared" si="41"/>
        <v>-10435.1449051987</v>
      </c>
      <c r="G696" s="23">
        <f t="shared" si="42"/>
        <v>-9.3992211126144545E-2</v>
      </c>
      <c r="H696" s="3">
        <f t="shared" si="43"/>
        <v>-3.3022610459489559</v>
      </c>
    </row>
    <row r="697" spans="1:8" x14ac:dyDescent="0.3">
      <c r="A697" s="2">
        <v>42333</v>
      </c>
      <c r="B697" s="3">
        <v>243161.25923328879</v>
      </c>
      <c r="C697" s="3">
        <v>266054.36985679291</v>
      </c>
      <c r="D697">
        <v>6924</v>
      </c>
      <c r="E697" s="3">
        <f t="shared" si="40"/>
        <v>35.118610518961411</v>
      </c>
      <c r="F697" s="16">
        <f t="shared" si="41"/>
        <v>-22893.110623504122</v>
      </c>
      <c r="G697" s="23">
        <f t="shared" si="42"/>
        <v>-9.4147853550719127E-2</v>
      </c>
      <c r="H697" s="3">
        <f t="shared" si="43"/>
        <v>-3.3063418000439229</v>
      </c>
    </row>
    <row r="698" spans="1:8" x14ac:dyDescent="0.3">
      <c r="A698" s="2">
        <v>42334</v>
      </c>
      <c r="B698" s="3">
        <v>311443.18123189738</v>
      </c>
      <c r="C698" s="3">
        <v>355343.87184090709</v>
      </c>
      <c r="D698">
        <v>9273</v>
      </c>
      <c r="E698" s="3">
        <f t="shared" si="40"/>
        <v>33.586021916520799</v>
      </c>
      <c r="F698" s="16">
        <f t="shared" si="41"/>
        <v>-43900.690609009704</v>
      </c>
      <c r="G698" s="23">
        <f t="shared" si="42"/>
        <v>-0.14095890760992999</v>
      </c>
      <c r="H698" s="3">
        <f t="shared" si="43"/>
        <v>-4.7342489603159388</v>
      </c>
    </row>
    <row r="699" spans="1:8" x14ac:dyDescent="0.3">
      <c r="A699" s="2">
        <v>42335</v>
      </c>
      <c r="B699" s="3">
        <v>375876.01342195261</v>
      </c>
      <c r="C699" s="3">
        <v>431325.6866936764</v>
      </c>
      <c r="D699">
        <v>11257</v>
      </c>
      <c r="E699" s="3">
        <f t="shared" si="40"/>
        <v>33.390424928662398</v>
      </c>
      <c r="F699" s="16">
        <f t="shared" si="41"/>
        <v>-55449.67327172379</v>
      </c>
      <c r="G699" s="23">
        <f t="shared" si="42"/>
        <v>-0.14752118063324474</v>
      </c>
      <c r="H699" s="3">
        <f t="shared" si="43"/>
        <v>-4.9257949073220031</v>
      </c>
    </row>
    <row r="700" spans="1:8" x14ac:dyDescent="0.3">
      <c r="A700" s="2">
        <v>42336</v>
      </c>
      <c r="B700" s="3">
        <v>434639.65899526927</v>
      </c>
      <c r="C700" s="3">
        <v>498895.61864535551</v>
      </c>
      <c r="D700">
        <v>13019</v>
      </c>
      <c r="E700" s="3">
        <f t="shared" si="40"/>
        <v>33.385026422556976</v>
      </c>
      <c r="F700" s="16">
        <f t="shared" si="41"/>
        <v>-64255.959650086239</v>
      </c>
      <c r="G700" s="23">
        <f t="shared" si="42"/>
        <v>-0.14783731378453344</v>
      </c>
      <c r="H700" s="3">
        <f t="shared" si="43"/>
        <v>-4.935552626936496</v>
      </c>
    </row>
    <row r="701" spans="1:8" x14ac:dyDescent="0.3">
      <c r="A701" s="2">
        <v>42337</v>
      </c>
      <c r="B701" s="3">
        <v>238637.81635545639</v>
      </c>
      <c r="C701" s="3">
        <v>274093.57795911958</v>
      </c>
      <c r="D701">
        <v>7139</v>
      </c>
      <c r="E701" s="3">
        <f t="shared" si="40"/>
        <v>33.42734505609419</v>
      </c>
      <c r="F701" s="16">
        <f t="shared" si="41"/>
        <v>-35455.761603663181</v>
      </c>
      <c r="G701" s="23">
        <f t="shared" si="42"/>
        <v>-0.14857562034866689</v>
      </c>
      <c r="H701" s="3">
        <f t="shared" si="43"/>
        <v>-4.9664885283181368</v>
      </c>
    </row>
    <row r="702" spans="1:8" x14ac:dyDescent="0.3">
      <c r="A702" s="2">
        <v>42338</v>
      </c>
      <c r="B702" s="3">
        <v>260653.66696349639</v>
      </c>
      <c r="C702" s="3">
        <v>283981.1506886445</v>
      </c>
      <c r="D702">
        <v>7423</v>
      </c>
      <c r="E702" s="3">
        <f t="shared" si="40"/>
        <v>35.114329376733991</v>
      </c>
      <c r="F702" s="16">
        <f t="shared" si="41"/>
        <v>-23327.483725148108</v>
      </c>
      <c r="G702" s="23">
        <f t="shared" si="42"/>
        <v>-8.9496088802061766E-2</v>
      </c>
      <c r="H702" s="3">
        <f t="shared" si="43"/>
        <v>-3.1425951401250312</v>
      </c>
    </row>
    <row r="703" spans="1:8" x14ac:dyDescent="0.3">
      <c r="A703" s="2">
        <v>42339</v>
      </c>
      <c r="B703" s="3">
        <v>262394.78001827881</v>
      </c>
      <c r="C703" s="3">
        <v>285838.55681476911</v>
      </c>
      <c r="D703">
        <v>7474</v>
      </c>
      <c r="E703" s="3">
        <f t="shared" si="40"/>
        <v>35.107677283687288</v>
      </c>
      <c r="F703" s="16">
        <f t="shared" si="41"/>
        <v>-23443.776796490303</v>
      </c>
      <c r="G703" s="23">
        <f t="shared" si="42"/>
        <v>-8.9345438940733407E-2</v>
      </c>
      <c r="H703" s="3">
        <f t="shared" si="43"/>
        <v>-3.1367108371006562</v>
      </c>
    </row>
    <row r="704" spans="1:8" x14ac:dyDescent="0.3">
      <c r="A704" s="2">
        <v>42340</v>
      </c>
      <c r="B704" s="3">
        <v>248437.7113010938</v>
      </c>
      <c r="C704" s="3">
        <v>269807.62043909793</v>
      </c>
      <c r="D704">
        <v>7056</v>
      </c>
      <c r="E704" s="3">
        <f t="shared" si="40"/>
        <v>35.209426204803542</v>
      </c>
      <c r="F704" s="16">
        <f t="shared" si="41"/>
        <v>-21369.909138004121</v>
      </c>
      <c r="G704" s="23">
        <f t="shared" si="42"/>
        <v>-8.6017171169737935E-2</v>
      </c>
      <c r="H704" s="3">
        <f t="shared" si="43"/>
        <v>-3.0286152406468427</v>
      </c>
    </row>
    <row r="705" spans="1:8" x14ac:dyDescent="0.3">
      <c r="A705" s="2">
        <v>42341</v>
      </c>
      <c r="B705" s="3">
        <v>201048.83046167399</v>
      </c>
      <c r="C705" s="3">
        <v>219110.3931964541</v>
      </c>
      <c r="D705">
        <v>5732</v>
      </c>
      <c r="E705" s="3">
        <f t="shared" si="40"/>
        <v>35.074813409224355</v>
      </c>
      <c r="F705" s="16">
        <f t="shared" si="41"/>
        <v>-18061.562734780106</v>
      </c>
      <c r="G705" s="23">
        <f t="shared" si="42"/>
        <v>-8.9836696355332382E-2</v>
      </c>
      <c r="H705" s="3">
        <f t="shared" si="43"/>
        <v>-3.1510053619644287</v>
      </c>
    </row>
    <row r="706" spans="1:8" x14ac:dyDescent="0.3">
      <c r="A706" s="2">
        <v>42342</v>
      </c>
      <c r="B706" s="3">
        <v>317690.76093605132</v>
      </c>
      <c r="C706" s="3">
        <v>345449.52994686092</v>
      </c>
      <c r="D706">
        <v>9038</v>
      </c>
      <c r="E706" s="3">
        <f t="shared" ref="E706:E769" si="44">B706/D706</f>
        <v>35.150559961944161</v>
      </c>
      <c r="F706" s="16">
        <f t="shared" ref="F706:F769" si="45">B706-C706</f>
        <v>-27758.769010809599</v>
      </c>
      <c r="G706" s="23">
        <f t="shared" ref="G706:G769" si="46">F706/B706</f>
        <v>-8.7376695907115859E-2</v>
      </c>
      <c r="H706" s="3">
        <f t="shared" ref="H706:H769" si="47">F706/D706</f>
        <v>-3.0713397887596372</v>
      </c>
    </row>
    <row r="707" spans="1:8" x14ac:dyDescent="0.3">
      <c r="A707" s="2">
        <v>42343</v>
      </c>
      <c r="B707" s="3">
        <v>378527.87261716381</v>
      </c>
      <c r="C707" s="3">
        <v>410385.03700937238</v>
      </c>
      <c r="D707">
        <v>10737</v>
      </c>
      <c r="E707" s="3">
        <f t="shared" si="44"/>
        <v>35.254528510493046</v>
      </c>
      <c r="F707" s="16">
        <f t="shared" si="45"/>
        <v>-31857.164392208564</v>
      </c>
      <c r="G707" s="23">
        <f t="shared" si="46"/>
        <v>-8.4160683259455291E-2</v>
      </c>
      <c r="H707" s="3">
        <f t="shared" si="47"/>
        <v>-2.9670452074330411</v>
      </c>
    </row>
    <row r="708" spans="1:8" x14ac:dyDescent="0.3">
      <c r="A708" s="2">
        <v>42344</v>
      </c>
      <c r="B708" s="3">
        <v>195425.3910795952</v>
      </c>
      <c r="C708" s="3">
        <v>210461.38622248991</v>
      </c>
      <c r="D708">
        <v>5505</v>
      </c>
      <c r="E708" s="3">
        <f t="shared" si="44"/>
        <v>35.499616908191676</v>
      </c>
      <c r="F708" s="16">
        <f t="shared" si="45"/>
        <v>-15035.99514289471</v>
      </c>
      <c r="G708" s="23">
        <f t="shared" si="46"/>
        <v>-7.6939823734422874E-2</v>
      </c>
      <c r="H708" s="3">
        <f t="shared" si="47"/>
        <v>-2.7313342675558054</v>
      </c>
    </row>
    <row r="709" spans="1:8" x14ac:dyDescent="0.3">
      <c r="A709" s="2">
        <v>42345</v>
      </c>
      <c r="B709" s="3">
        <v>90441.603368529759</v>
      </c>
      <c r="C709" s="3">
        <v>83999.591253936887</v>
      </c>
      <c r="D709">
        <v>2198</v>
      </c>
      <c r="E709" s="3">
        <f t="shared" si="44"/>
        <v>41.147226282315629</v>
      </c>
      <c r="F709" s="16">
        <f t="shared" si="45"/>
        <v>6442.0121145928715</v>
      </c>
      <c r="G709" s="23">
        <f t="shared" si="46"/>
        <v>7.1228415625750024E-2</v>
      </c>
      <c r="H709" s="3">
        <f t="shared" si="47"/>
        <v>2.930851735483563</v>
      </c>
    </row>
    <row r="710" spans="1:8" x14ac:dyDescent="0.3">
      <c r="A710" s="2">
        <v>42346</v>
      </c>
      <c r="B710" s="3">
        <v>117649.0006330129</v>
      </c>
      <c r="C710" s="3">
        <v>121640.3797902365</v>
      </c>
      <c r="D710">
        <v>3190</v>
      </c>
      <c r="E710" s="3">
        <f t="shared" si="44"/>
        <v>36.880564461759526</v>
      </c>
      <c r="F710" s="16">
        <f t="shared" si="45"/>
        <v>-3991.3791572236078</v>
      </c>
      <c r="G710" s="23">
        <f t="shared" si="46"/>
        <v>-3.3926162872169839E-2</v>
      </c>
      <c r="H710" s="3">
        <f t="shared" si="47"/>
        <v>-1.2512160367472125</v>
      </c>
    </row>
    <row r="711" spans="1:8" x14ac:dyDescent="0.3">
      <c r="A711" s="2">
        <v>42347</v>
      </c>
      <c r="B711" s="3">
        <v>141285.39545671371</v>
      </c>
      <c r="C711" s="3">
        <v>145443.04659183419</v>
      </c>
      <c r="D711">
        <v>3814</v>
      </c>
      <c r="E711" s="3">
        <f t="shared" si="44"/>
        <v>37.04388973694644</v>
      </c>
      <c r="F711" s="16">
        <f t="shared" si="45"/>
        <v>-4157.6511351204826</v>
      </c>
      <c r="G711" s="23">
        <f t="shared" si="46"/>
        <v>-2.9427324187900811E-2</v>
      </c>
      <c r="H711" s="3">
        <f t="shared" si="47"/>
        <v>-1.0901025524699746</v>
      </c>
    </row>
    <row r="712" spans="1:8" x14ac:dyDescent="0.3">
      <c r="A712" s="2">
        <v>42348</v>
      </c>
      <c r="B712" s="3">
        <v>133183.69368019371</v>
      </c>
      <c r="C712" s="3">
        <v>137725.87611044809</v>
      </c>
      <c r="D712">
        <v>3610</v>
      </c>
      <c r="E712" s="3">
        <f t="shared" si="44"/>
        <v>36.892989939111828</v>
      </c>
      <c r="F712" s="16">
        <f t="shared" si="45"/>
        <v>-4542.1824302543828</v>
      </c>
      <c r="G712" s="23">
        <f t="shared" si="46"/>
        <v>-3.4104643779900433E-2</v>
      </c>
      <c r="H712" s="3">
        <f t="shared" si="47"/>
        <v>-1.2582222798488596</v>
      </c>
    </row>
    <row r="713" spans="1:8" x14ac:dyDescent="0.3">
      <c r="A713" s="2">
        <v>42349</v>
      </c>
      <c r="B713" s="3">
        <v>229672.25632039239</v>
      </c>
      <c r="C713" s="3">
        <v>237672.0164167957</v>
      </c>
      <c r="D713">
        <v>6227</v>
      </c>
      <c r="E713" s="3">
        <f t="shared" si="44"/>
        <v>36.883291524071367</v>
      </c>
      <c r="F713" s="16">
        <f t="shared" si="45"/>
        <v>-7999.7600964033045</v>
      </c>
      <c r="G713" s="23">
        <f t="shared" si="46"/>
        <v>-3.4831199138147764E-2</v>
      </c>
      <c r="H713" s="3">
        <f t="shared" si="47"/>
        <v>-1.2846892719452874</v>
      </c>
    </row>
    <row r="714" spans="1:8" x14ac:dyDescent="0.3">
      <c r="A714" s="2">
        <v>42350</v>
      </c>
      <c r="B714" s="3">
        <v>333488.79787881998</v>
      </c>
      <c r="C714" s="3">
        <v>359621.07489373692</v>
      </c>
      <c r="D714">
        <v>9422</v>
      </c>
      <c r="E714" s="3">
        <f t="shared" si="44"/>
        <v>35.394693045937167</v>
      </c>
      <c r="F714" s="16">
        <f t="shared" si="45"/>
        <v>-26132.277014916937</v>
      </c>
      <c r="G714" s="23">
        <f t="shared" si="46"/>
        <v>-7.8360284306798922E-2</v>
      </c>
      <c r="H714" s="3">
        <f t="shared" si="47"/>
        <v>-2.7735382100315151</v>
      </c>
    </row>
    <row r="715" spans="1:8" x14ac:dyDescent="0.3">
      <c r="A715" s="2">
        <v>42351</v>
      </c>
      <c r="B715" s="3">
        <v>185422.8856361036</v>
      </c>
      <c r="C715" s="3">
        <v>191390.40131031329</v>
      </c>
      <c r="D715">
        <v>5014</v>
      </c>
      <c r="E715" s="3">
        <f t="shared" si="44"/>
        <v>36.981030242541607</v>
      </c>
      <c r="F715" s="16">
        <f t="shared" si="45"/>
        <v>-5967.5156742096879</v>
      </c>
      <c r="G715" s="23">
        <f t="shared" si="46"/>
        <v>-3.2183274754557893E-2</v>
      </c>
      <c r="H715" s="3">
        <f t="shared" si="47"/>
        <v>-1.1901706570023309</v>
      </c>
    </row>
    <row r="716" spans="1:8" x14ac:dyDescent="0.3">
      <c r="A716" s="2">
        <v>42352</v>
      </c>
      <c r="B716" s="3">
        <v>173833.13316842369</v>
      </c>
      <c r="C716" s="3">
        <v>179871.05329942369</v>
      </c>
      <c r="D716">
        <v>4715</v>
      </c>
      <c r="E716" s="3">
        <f t="shared" si="44"/>
        <v>36.868108837417537</v>
      </c>
      <c r="F716" s="16">
        <f t="shared" si="45"/>
        <v>-6037.9201309999917</v>
      </c>
      <c r="G716" s="23">
        <f t="shared" si="46"/>
        <v>-3.4734000480506573E-2</v>
      </c>
      <c r="H716" s="3">
        <f t="shared" si="47"/>
        <v>-1.2805769100742295</v>
      </c>
    </row>
    <row r="717" spans="1:8" x14ac:dyDescent="0.3">
      <c r="A717" s="2">
        <v>42353</v>
      </c>
      <c r="B717" s="3">
        <v>220271.72138524521</v>
      </c>
      <c r="C717" s="3">
        <v>237123.3433401052</v>
      </c>
      <c r="D717">
        <v>6212</v>
      </c>
      <c r="E717" s="3">
        <f t="shared" si="44"/>
        <v>35.459066546240372</v>
      </c>
      <c r="F717" s="16">
        <f t="shared" si="45"/>
        <v>-16851.621954859991</v>
      </c>
      <c r="G717" s="23">
        <f t="shared" si="46"/>
        <v>-7.6503791993286649E-2</v>
      </c>
      <c r="H717" s="3">
        <f t="shared" si="47"/>
        <v>-2.7127530513296829</v>
      </c>
    </row>
    <row r="718" spans="1:8" x14ac:dyDescent="0.3">
      <c r="A718" s="2">
        <v>42354</v>
      </c>
      <c r="B718" s="3">
        <v>234468.07119528641</v>
      </c>
      <c r="C718" s="3">
        <v>251493.90890012981</v>
      </c>
      <c r="D718">
        <v>6585</v>
      </c>
      <c r="E718" s="3">
        <f t="shared" si="44"/>
        <v>35.606388943855187</v>
      </c>
      <c r="F718" s="16">
        <f t="shared" si="45"/>
        <v>-17025.837704843405</v>
      </c>
      <c r="G718" s="23">
        <f t="shared" si="46"/>
        <v>-7.2614738621117988E-2</v>
      </c>
      <c r="H718" s="3">
        <f t="shared" si="47"/>
        <v>-2.5855486263999095</v>
      </c>
    </row>
    <row r="719" spans="1:8" x14ac:dyDescent="0.3">
      <c r="A719" s="2">
        <v>42355</v>
      </c>
      <c r="B719" s="3">
        <v>213778.13805030519</v>
      </c>
      <c r="C719" s="3">
        <v>230994.35519885991</v>
      </c>
      <c r="D719">
        <v>6051</v>
      </c>
      <c r="E719" s="3">
        <f t="shared" si="44"/>
        <v>35.329389861230403</v>
      </c>
      <c r="F719" s="16">
        <f t="shared" si="45"/>
        <v>-17216.217148554715</v>
      </c>
      <c r="G719" s="23">
        <f t="shared" si="46"/>
        <v>-8.0533104580148798E-2</v>
      </c>
      <c r="H719" s="3">
        <f t="shared" si="47"/>
        <v>-2.8451854484473169</v>
      </c>
    </row>
    <row r="720" spans="1:8" x14ac:dyDescent="0.3">
      <c r="A720" s="2">
        <v>42356</v>
      </c>
      <c r="B720" s="3">
        <v>273563.01479629381</v>
      </c>
      <c r="C720" s="3">
        <v>295854.55231599201</v>
      </c>
      <c r="D720">
        <v>7750</v>
      </c>
      <c r="E720" s="3">
        <f t="shared" si="44"/>
        <v>35.298453522102427</v>
      </c>
      <c r="F720" s="16">
        <f t="shared" si="45"/>
        <v>-22291.537519698206</v>
      </c>
      <c r="G720" s="23">
        <f t="shared" si="46"/>
        <v>-8.148593309039745E-2</v>
      </c>
      <c r="H720" s="3">
        <f t="shared" si="47"/>
        <v>-2.8763274218965429</v>
      </c>
    </row>
    <row r="721" spans="1:8" x14ac:dyDescent="0.3">
      <c r="A721" s="2">
        <v>42357</v>
      </c>
      <c r="B721" s="3">
        <v>337506.78841922001</v>
      </c>
      <c r="C721" s="3">
        <v>362223.16087670921</v>
      </c>
      <c r="D721">
        <v>9490</v>
      </c>
      <c r="E721" s="3">
        <f t="shared" si="44"/>
        <v>35.564466640592201</v>
      </c>
      <c r="F721" s="16">
        <f t="shared" si="45"/>
        <v>-24716.372457489197</v>
      </c>
      <c r="G721" s="23">
        <f t="shared" si="46"/>
        <v>-7.3232223189504508E-2</v>
      </c>
      <c r="H721" s="3">
        <f t="shared" si="47"/>
        <v>-2.6044649586395359</v>
      </c>
    </row>
    <row r="722" spans="1:8" x14ac:dyDescent="0.3">
      <c r="A722" s="2">
        <v>42358</v>
      </c>
      <c r="B722" s="3">
        <v>155312.7838621664</v>
      </c>
      <c r="C722" s="3">
        <v>167421.97369517089</v>
      </c>
      <c r="D722">
        <v>4382</v>
      </c>
      <c r="E722" s="3">
        <f t="shared" si="44"/>
        <v>35.443355513958558</v>
      </c>
      <c r="F722" s="16">
        <f t="shared" si="45"/>
        <v>-12109.189833004493</v>
      </c>
      <c r="G722" s="23">
        <f t="shared" si="46"/>
        <v>-7.7966472120871211E-2</v>
      </c>
      <c r="H722" s="3">
        <f t="shared" si="47"/>
        <v>-2.7633933895491771</v>
      </c>
    </row>
    <row r="723" spans="1:8" x14ac:dyDescent="0.3">
      <c r="A723" s="2">
        <v>42359</v>
      </c>
      <c r="B723" s="3">
        <v>289243.38305619761</v>
      </c>
      <c r="C723" s="3">
        <v>312784.97431839362</v>
      </c>
      <c r="D723">
        <v>8196</v>
      </c>
      <c r="E723" s="3">
        <f t="shared" si="44"/>
        <v>35.29079832310854</v>
      </c>
      <c r="F723" s="16">
        <f t="shared" si="45"/>
        <v>-23541.591262196016</v>
      </c>
      <c r="G723" s="23">
        <f t="shared" si="46"/>
        <v>-8.1390250015233978E-2</v>
      </c>
      <c r="H723" s="3">
        <f t="shared" si="47"/>
        <v>-2.8723268987550044</v>
      </c>
    </row>
    <row r="724" spans="1:8" x14ac:dyDescent="0.3">
      <c r="A724" s="2">
        <v>42360</v>
      </c>
      <c r="B724" s="3">
        <v>313125.33253251761</v>
      </c>
      <c r="C724" s="3">
        <v>338299.61784548633</v>
      </c>
      <c r="D724">
        <v>8863</v>
      </c>
      <c r="E724" s="3">
        <f t="shared" si="44"/>
        <v>35.329497070124972</v>
      </c>
      <c r="F724" s="16">
        <f t="shared" si="45"/>
        <v>-25174.285312968714</v>
      </c>
      <c r="G724" s="23">
        <f t="shared" si="46"/>
        <v>-8.0396833783336258E-2</v>
      </c>
      <c r="H724" s="3">
        <f t="shared" si="47"/>
        <v>-2.8403797035957026</v>
      </c>
    </row>
    <row r="725" spans="1:8" x14ac:dyDescent="0.3">
      <c r="A725" s="2">
        <v>42361</v>
      </c>
      <c r="B725" s="3">
        <v>268330.39270501549</v>
      </c>
      <c r="C725" s="3">
        <v>249584.21516385439</v>
      </c>
      <c r="D725">
        <v>6534</v>
      </c>
      <c r="E725" s="3">
        <f t="shared" si="44"/>
        <v>41.066787986687402</v>
      </c>
      <c r="F725" s="16">
        <f t="shared" si="45"/>
        <v>18746.177541161102</v>
      </c>
      <c r="G725" s="23">
        <f t="shared" si="46"/>
        <v>6.986229682065645E-2</v>
      </c>
      <c r="H725" s="3">
        <f t="shared" si="47"/>
        <v>2.8690201317969239</v>
      </c>
    </row>
    <row r="726" spans="1:8" x14ac:dyDescent="0.3">
      <c r="A726" s="2">
        <v>42362</v>
      </c>
      <c r="B726" s="3">
        <v>392228.13795848232</v>
      </c>
      <c r="C726" s="3">
        <v>364396.19424887962</v>
      </c>
      <c r="D726">
        <v>9540</v>
      </c>
      <c r="E726" s="3">
        <f t="shared" si="44"/>
        <v>41.11406058265014</v>
      </c>
      <c r="F726" s="16">
        <f t="shared" si="45"/>
        <v>27831.943709602696</v>
      </c>
      <c r="G726" s="23">
        <f t="shared" si="46"/>
        <v>7.0958559613968158E-2</v>
      </c>
      <c r="H726" s="3">
        <f t="shared" si="47"/>
        <v>2.9173945188262782</v>
      </c>
    </row>
    <row r="727" spans="1:8" x14ac:dyDescent="0.3">
      <c r="A727" s="2">
        <v>42363</v>
      </c>
      <c r="B727" s="3">
        <v>133728.9837288514</v>
      </c>
      <c r="C727" s="3">
        <v>124363.5572766095</v>
      </c>
      <c r="D727">
        <v>3256</v>
      </c>
      <c r="E727" s="3">
        <f t="shared" si="44"/>
        <v>41.071555199278684</v>
      </c>
      <c r="F727" s="16">
        <f t="shared" si="45"/>
        <v>9365.4264522418962</v>
      </c>
      <c r="G727" s="23">
        <f t="shared" si="46"/>
        <v>7.0032884353860153E-2</v>
      </c>
      <c r="H727" s="3">
        <f t="shared" si="47"/>
        <v>2.8763594755042678</v>
      </c>
    </row>
    <row r="728" spans="1:8" x14ac:dyDescent="0.3">
      <c r="A728" s="2">
        <v>42364</v>
      </c>
      <c r="B728" s="3">
        <v>82778.444048310368</v>
      </c>
      <c r="C728" s="3">
        <v>76876.492698314294</v>
      </c>
      <c r="D728">
        <v>2013</v>
      </c>
      <c r="E728" s="3">
        <f t="shared" si="44"/>
        <v>41.121929482518809</v>
      </c>
      <c r="F728" s="16">
        <f t="shared" si="45"/>
        <v>5901.951349996074</v>
      </c>
      <c r="G728" s="23">
        <f t="shared" si="46"/>
        <v>7.1298167268662754E-2</v>
      </c>
      <c r="H728" s="3">
        <f t="shared" si="47"/>
        <v>2.9319182066547809</v>
      </c>
    </row>
    <row r="729" spans="1:8" x14ac:dyDescent="0.3">
      <c r="A729" s="2">
        <v>42365</v>
      </c>
      <c r="B729" s="3">
        <v>69522.836973940372</v>
      </c>
      <c r="C729" s="3">
        <v>64616.07664627437</v>
      </c>
      <c r="D729">
        <v>1692</v>
      </c>
      <c r="E729" s="3">
        <f t="shared" si="44"/>
        <v>41.089147147718897</v>
      </c>
      <c r="F729" s="16">
        <f t="shared" si="45"/>
        <v>4906.7603276660011</v>
      </c>
      <c r="G729" s="23">
        <f t="shared" si="46"/>
        <v>7.0577676936647862E-2</v>
      </c>
      <c r="H729" s="3">
        <f t="shared" si="47"/>
        <v>2.8999765529940906</v>
      </c>
    </row>
    <row r="730" spans="1:8" x14ac:dyDescent="0.3">
      <c r="A730" s="2">
        <v>42366</v>
      </c>
      <c r="B730" s="3">
        <v>133021.2727953626</v>
      </c>
      <c r="C730" s="3">
        <v>123500.7877896752</v>
      </c>
      <c r="D730">
        <v>3234</v>
      </c>
      <c r="E730" s="3">
        <f t="shared" si="44"/>
        <v>41.132118984342178</v>
      </c>
      <c r="F730" s="16">
        <f t="shared" si="45"/>
        <v>9520.4850056873984</v>
      </c>
      <c r="G730" s="23">
        <f t="shared" si="46"/>
        <v>7.157114652130514E-2</v>
      </c>
      <c r="H730" s="3">
        <f t="shared" si="47"/>
        <v>2.943872914560111</v>
      </c>
    </row>
    <row r="731" spans="1:8" x14ac:dyDescent="0.3">
      <c r="A731" s="2">
        <v>42367</v>
      </c>
      <c r="B731" s="3">
        <v>161267.52059183759</v>
      </c>
      <c r="C731" s="3">
        <v>175378.1459152207</v>
      </c>
      <c r="D731">
        <v>4592</v>
      </c>
      <c r="E731" s="3">
        <f t="shared" si="44"/>
        <v>35.119233578361843</v>
      </c>
      <c r="F731" s="16">
        <f t="shared" si="45"/>
        <v>-14110.625323383108</v>
      </c>
      <c r="G731" s="23">
        <f t="shared" si="46"/>
        <v>-8.7498246836054505E-2</v>
      </c>
      <c r="H731" s="3">
        <f t="shared" si="47"/>
        <v>-3.0728713683325584</v>
      </c>
    </row>
    <row r="732" spans="1:8" x14ac:dyDescent="0.3">
      <c r="A732" s="2">
        <v>42368</v>
      </c>
      <c r="B732" s="3">
        <v>208583.21799035519</v>
      </c>
      <c r="C732" s="3">
        <v>227060.26267849401</v>
      </c>
      <c r="D732">
        <v>5945</v>
      </c>
      <c r="E732" s="3">
        <f t="shared" si="44"/>
        <v>35.08548662579566</v>
      </c>
      <c r="F732" s="16">
        <f t="shared" si="45"/>
        <v>-18477.04468813882</v>
      </c>
      <c r="G732" s="23">
        <f t="shared" si="46"/>
        <v>-8.8583563271102617E-2</v>
      </c>
      <c r="H732" s="3">
        <f t="shared" si="47"/>
        <v>-3.1079974244135946</v>
      </c>
    </row>
    <row r="733" spans="1:8" x14ac:dyDescent="0.3">
      <c r="A733" s="2">
        <v>42369</v>
      </c>
      <c r="B733" s="3">
        <v>325457.52500147879</v>
      </c>
      <c r="C733" s="3">
        <v>353929.73835499171</v>
      </c>
      <c r="D733">
        <v>9266</v>
      </c>
      <c r="E733" s="3">
        <f t="shared" si="44"/>
        <v>35.123842542788559</v>
      </c>
      <c r="F733" s="16">
        <f t="shared" si="45"/>
        <v>-28472.213353512925</v>
      </c>
      <c r="G733" s="23">
        <f t="shared" si="46"/>
        <v>-8.7483653522479027E-2</v>
      </c>
      <c r="H733" s="3">
        <f t="shared" si="47"/>
        <v>-3.072762071391423</v>
      </c>
    </row>
    <row r="734" spans="1:8" x14ac:dyDescent="0.3">
      <c r="A734" s="2">
        <v>42370</v>
      </c>
      <c r="B734" s="3">
        <v>111650.2397740787</v>
      </c>
      <c r="C734" s="3">
        <v>121448.2838171389</v>
      </c>
      <c r="D734">
        <v>3179</v>
      </c>
      <c r="E734" s="3">
        <f t="shared" si="44"/>
        <v>35.12118269080802</v>
      </c>
      <c r="F734" s="16">
        <f t="shared" si="45"/>
        <v>-9798.044043060203</v>
      </c>
      <c r="G734" s="23">
        <f t="shared" si="46"/>
        <v>-8.7756587562071386E-2</v>
      </c>
      <c r="H734" s="3">
        <f t="shared" si="47"/>
        <v>-3.0821151440893999</v>
      </c>
    </row>
    <row r="735" spans="1:8" x14ac:dyDescent="0.3">
      <c r="A735" s="2">
        <v>42371</v>
      </c>
      <c r="B735" s="3">
        <v>262421.28186455759</v>
      </c>
      <c r="C735" s="3">
        <v>285675.84571316058</v>
      </c>
      <c r="D735">
        <v>7479</v>
      </c>
      <c r="E735" s="3">
        <f t="shared" si="44"/>
        <v>35.087749948463376</v>
      </c>
      <c r="F735" s="16">
        <f t="shared" si="45"/>
        <v>-23254.563848602993</v>
      </c>
      <c r="G735" s="23">
        <f t="shared" si="46"/>
        <v>-8.8615388520986174E-2</v>
      </c>
      <c r="H735" s="3">
        <f t="shared" si="47"/>
        <v>-3.1093145940102946</v>
      </c>
    </row>
    <row r="736" spans="1:8" x14ac:dyDescent="0.3">
      <c r="A736" s="2">
        <v>42372</v>
      </c>
      <c r="B736" s="3">
        <v>164527.53891335521</v>
      </c>
      <c r="C736" s="3">
        <v>179308.94953055491</v>
      </c>
      <c r="D736">
        <v>4694</v>
      </c>
      <c r="E736" s="3">
        <f t="shared" si="44"/>
        <v>35.050604796198385</v>
      </c>
      <c r="F736" s="16">
        <f t="shared" si="45"/>
        <v>-14781.410617199697</v>
      </c>
      <c r="G736" s="23">
        <f t="shared" si="46"/>
        <v>-8.9841559138522098E-2</v>
      </c>
      <c r="H736" s="3">
        <f t="shared" si="47"/>
        <v>-3.149000983638623</v>
      </c>
    </row>
    <row r="737" spans="1:8" x14ac:dyDescent="0.3">
      <c r="A737" s="2">
        <v>42373</v>
      </c>
      <c r="B737" s="3">
        <v>274990.1464991988</v>
      </c>
      <c r="C737" s="3">
        <v>299576.24136966269</v>
      </c>
      <c r="D737">
        <v>7843</v>
      </c>
      <c r="E737" s="3">
        <f t="shared" si="44"/>
        <v>35.061857261149918</v>
      </c>
      <c r="F737" s="16">
        <f t="shared" si="45"/>
        <v>-24586.094870463887</v>
      </c>
      <c r="G737" s="23">
        <f t="shared" si="46"/>
        <v>-8.9407184888115693E-2</v>
      </c>
      <c r="H737" s="3">
        <f t="shared" si="47"/>
        <v>-3.1347819546683522</v>
      </c>
    </row>
    <row r="738" spans="1:8" x14ac:dyDescent="0.3">
      <c r="A738" s="2">
        <v>42374</v>
      </c>
      <c r="B738" s="3">
        <v>215737.84279871389</v>
      </c>
      <c r="C738" s="3">
        <v>234642.0857481322</v>
      </c>
      <c r="D738">
        <v>6150</v>
      </c>
      <c r="E738" s="3">
        <f t="shared" si="44"/>
        <v>35.079324032311199</v>
      </c>
      <c r="F738" s="16">
        <f t="shared" si="45"/>
        <v>-18904.242949418316</v>
      </c>
      <c r="G738" s="23">
        <f t="shared" si="46"/>
        <v>-8.7625994142604885E-2</v>
      </c>
      <c r="H738" s="3">
        <f t="shared" si="47"/>
        <v>-3.07386064218184</v>
      </c>
    </row>
    <row r="739" spans="1:8" x14ac:dyDescent="0.3">
      <c r="A739" s="2">
        <v>42375</v>
      </c>
      <c r="B739" s="3">
        <v>98646.982697528802</v>
      </c>
      <c r="C739" s="3">
        <v>91610.560001972306</v>
      </c>
      <c r="D739">
        <v>2401</v>
      </c>
      <c r="E739" s="3">
        <f t="shared" si="44"/>
        <v>41.085790377979507</v>
      </c>
      <c r="F739" s="16">
        <f t="shared" si="45"/>
        <v>7036.4226955564955</v>
      </c>
      <c r="G739" s="23">
        <f t="shared" si="46"/>
        <v>7.1329325065436239E-2</v>
      </c>
      <c r="H739" s="3">
        <f t="shared" si="47"/>
        <v>2.9306216974412727</v>
      </c>
    </row>
    <row r="740" spans="1:8" x14ac:dyDescent="0.3">
      <c r="A740" s="2">
        <v>42376</v>
      </c>
      <c r="B740" s="3">
        <v>74401.21529302049</v>
      </c>
      <c r="C740" s="3">
        <v>68988.861259106357</v>
      </c>
      <c r="D740">
        <v>1808</v>
      </c>
      <c r="E740" s="3">
        <f t="shared" si="44"/>
        <v>41.151114653219295</v>
      </c>
      <c r="F740" s="16">
        <f t="shared" si="45"/>
        <v>5412.3540339141327</v>
      </c>
      <c r="G740" s="23">
        <f t="shared" si="46"/>
        <v>7.2745505736676597E-2</v>
      </c>
      <c r="H740" s="3">
        <f t="shared" si="47"/>
        <v>2.9935586470764011</v>
      </c>
    </row>
    <row r="741" spans="1:8" x14ac:dyDescent="0.3">
      <c r="A741" s="2">
        <v>42377</v>
      </c>
      <c r="B741" s="3">
        <v>106592.34299626789</v>
      </c>
      <c r="C741" s="3">
        <v>99021.682920692168</v>
      </c>
      <c r="D741">
        <v>2594</v>
      </c>
      <c r="E741" s="3">
        <f t="shared" si="44"/>
        <v>41.091882419532723</v>
      </c>
      <c r="F741" s="16">
        <f t="shared" si="45"/>
        <v>7570.6600755757245</v>
      </c>
      <c r="G741" s="23">
        <f t="shared" si="46"/>
        <v>7.1024426921929992E-2</v>
      </c>
      <c r="H741" s="3">
        <f t="shared" si="47"/>
        <v>2.9185273999906416</v>
      </c>
    </row>
    <row r="742" spans="1:8" x14ac:dyDescent="0.3">
      <c r="A742" s="2">
        <v>42378</v>
      </c>
      <c r="B742" s="3">
        <v>134629.65819693019</v>
      </c>
      <c r="C742" s="3">
        <v>124963.4655138471</v>
      </c>
      <c r="D742">
        <v>3274</v>
      </c>
      <c r="E742" s="3">
        <f t="shared" si="44"/>
        <v>41.120848563509526</v>
      </c>
      <c r="F742" s="16">
        <f t="shared" si="45"/>
        <v>9666.1926830830926</v>
      </c>
      <c r="G742" s="23">
        <f t="shared" si="46"/>
        <v>7.1798389838766602E-2</v>
      </c>
      <c r="H742" s="3">
        <f t="shared" si="47"/>
        <v>2.9524107156637425</v>
      </c>
    </row>
    <row r="743" spans="1:8" x14ac:dyDescent="0.3">
      <c r="A743" s="2">
        <v>42379</v>
      </c>
      <c r="B743" s="3">
        <v>90773.653057909149</v>
      </c>
      <c r="C743" s="3">
        <v>84299.288239980437</v>
      </c>
      <c r="D743">
        <v>2207</v>
      </c>
      <c r="E743" s="3">
        <f t="shared" si="44"/>
        <v>41.12988357857234</v>
      </c>
      <c r="F743" s="16">
        <f t="shared" si="45"/>
        <v>6474.364817928712</v>
      </c>
      <c r="G743" s="23">
        <f t="shared" si="46"/>
        <v>7.1324273066309049E-2</v>
      </c>
      <c r="H743" s="3">
        <f t="shared" si="47"/>
        <v>2.9335590475435942</v>
      </c>
    </row>
    <row r="744" spans="1:8" x14ac:dyDescent="0.3">
      <c r="A744" s="2">
        <v>42380</v>
      </c>
      <c r="B744" s="3">
        <v>121373.06822441641</v>
      </c>
      <c r="C744" s="3">
        <v>112550.43230873271</v>
      </c>
      <c r="D744">
        <v>2949</v>
      </c>
      <c r="E744" s="3">
        <f t="shared" si="44"/>
        <v>41.157364606448425</v>
      </c>
      <c r="F744" s="16">
        <f t="shared" si="45"/>
        <v>8822.6359156836988</v>
      </c>
      <c r="G744" s="23">
        <f t="shared" si="46"/>
        <v>7.2690227286425838E-2</v>
      </c>
      <c r="H744" s="3">
        <f t="shared" si="47"/>
        <v>2.9917381877530347</v>
      </c>
    </row>
    <row r="745" spans="1:8" x14ac:dyDescent="0.3">
      <c r="A745" s="2">
        <v>42381</v>
      </c>
      <c r="B745" s="3">
        <v>99445.557103979168</v>
      </c>
      <c r="C745" s="3">
        <v>92226.518095758031</v>
      </c>
      <c r="D745">
        <v>2417</v>
      </c>
      <c r="E745" s="3">
        <f t="shared" si="44"/>
        <v>41.144210634662464</v>
      </c>
      <c r="F745" s="16">
        <f t="shared" si="45"/>
        <v>7219.0390082211379</v>
      </c>
      <c r="G745" s="23">
        <f t="shared" si="46"/>
        <v>7.2592876126914258E-2</v>
      </c>
      <c r="H745" s="3">
        <f t="shared" si="47"/>
        <v>2.9867765859417204</v>
      </c>
    </row>
    <row r="746" spans="1:8" x14ac:dyDescent="0.3">
      <c r="A746" s="2">
        <v>42382</v>
      </c>
      <c r="B746" s="3">
        <v>67587.54693007037</v>
      </c>
      <c r="C746" s="3">
        <v>62760.356831462283</v>
      </c>
      <c r="D746">
        <v>1644</v>
      </c>
      <c r="E746" s="3">
        <f t="shared" si="44"/>
        <v>41.111646551137696</v>
      </c>
      <c r="F746" s="16">
        <f t="shared" si="45"/>
        <v>4827.1900986080873</v>
      </c>
      <c r="G746" s="23">
        <f t="shared" si="46"/>
        <v>7.1421294570766888E-2</v>
      </c>
      <c r="H746" s="3">
        <f t="shared" si="47"/>
        <v>2.936247018618058</v>
      </c>
    </row>
    <row r="747" spans="1:8" x14ac:dyDescent="0.3">
      <c r="A747" s="2">
        <v>42383</v>
      </c>
      <c r="B747" s="3">
        <v>61685.935238410369</v>
      </c>
      <c r="C747" s="3">
        <v>57191.43931779157</v>
      </c>
      <c r="D747">
        <v>1499</v>
      </c>
      <c r="E747" s="3">
        <f t="shared" si="44"/>
        <v>41.151391086331131</v>
      </c>
      <c r="F747" s="16">
        <f t="shared" si="45"/>
        <v>4494.4959206187996</v>
      </c>
      <c r="G747" s="23">
        <f t="shared" si="46"/>
        <v>7.2860951256522144E-2</v>
      </c>
      <c r="H747" s="3">
        <f t="shared" si="47"/>
        <v>2.9983295000792527</v>
      </c>
    </row>
    <row r="748" spans="1:8" x14ac:dyDescent="0.3">
      <c r="A748" s="2">
        <v>42384</v>
      </c>
      <c r="B748" s="3">
        <v>150006.9297918239</v>
      </c>
      <c r="C748" s="3">
        <v>139244.89576770909</v>
      </c>
      <c r="D748">
        <v>3648</v>
      </c>
      <c r="E748" s="3">
        <f t="shared" si="44"/>
        <v>41.120320666618397</v>
      </c>
      <c r="F748" s="16">
        <f t="shared" si="45"/>
        <v>10762.034024114808</v>
      </c>
      <c r="G748" s="23">
        <f t="shared" si="46"/>
        <v>7.1743579040315711E-2</v>
      </c>
      <c r="H748" s="3">
        <f t="shared" si="47"/>
        <v>2.9501189759086643</v>
      </c>
    </row>
    <row r="749" spans="1:8" x14ac:dyDescent="0.3">
      <c r="A749" s="2">
        <v>42385</v>
      </c>
      <c r="B749" s="3">
        <v>191287.35348550291</v>
      </c>
      <c r="C749" s="3">
        <v>177577.2872134948</v>
      </c>
      <c r="D749">
        <v>4652</v>
      </c>
      <c r="E749" s="3">
        <f t="shared" si="44"/>
        <v>41.119379511071131</v>
      </c>
      <c r="F749" s="16">
        <f t="shared" si="45"/>
        <v>13710.066272008116</v>
      </c>
      <c r="G749" s="23">
        <f t="shared" si="46"/>
        <v>7.1672622482317733E-2</v>
      </c>
      <c r="H749" s="3">
        <f t="shared" si="47"/>
        <v>2.9471337644041524</v>
      </c>
    </row>
    <row r="750" spans="1:8" x14ac:dyDescent="0.3">
      <c r="A750" s="2">
        <v>42386</v>
      </c>
      <c r="B750" s="3">
        <v>92595.46083693915</v>
      </c>
      <c r="C750" s="3">
        <v>86018.189605519379</v>
      </c>
      <c r="D750">
        <v>2252</v>
      </c>
      <c r="E750" s="3">
        <f t="shared" si="44"/>
        <v>41.116989714448998</v>
      </c>
      <c r="F750" s="16">
        <f t="shared" si="45"/>
        <v>6577.2712314197706</v>
      </c>
      <c r="G750" s="23">
        <f t="shared" si="46"/>
        <v>7.1032328928114119E-2</v>
      </c>
      <c r="H750" s="3">
        <f t="shared" si="47"/>
        <v>2.9206355379306266</v>
      </c>
    </row>
    <row r="751" spans="1:8" x14ac:dyDescent="0.3">
      <c r="A751" s="2">
        <v>42387</v>
      </c>
      <c r="B751" s="3">
        <v>96947.054288479165</v>
      </c>
      <c r="C751" s="3">
        <v>89961.359503772677</v>
      </c>
      <c r="D751">
        <v>2357</v>
      </c>
      <c r="E751" s="3">
        <f t="shared" si="44"/>
        <v>41.131546155485431</v>
      </c>
      <c r="F751" s="16">
        <f t="shared" si="45"/>
        <v>6985.6947847064876</v>
      </c>
      <c r="G751" s="23">
        <f t="shared" si="46"/>
        <v>7.2056802921722632E-2</v>
      </c>
      <c r="H751" s="3">
        <f t="shared" si="47"/>
        <v>2.9638077151915518</v>
      </c>
    </row>
    <row r="752" spans="1:8" x14ac:dyDescent="0.3">
      <c r="A752" s="2">
        <v>42388</v>
      </c>
      <c r="B752" s="3">
        <v>70512.894500490496</v>
      </c>
      <c r="C752" s="3">
        <v>65453.276391554507</v>
      </c>
      <c r="D752">
        <v>1715</v>
      </c>
      <c r="E752" s="3">
        <f t="shared" si="44"/>
        <v>41.115390379294752</v>
      </c>
      <c r="F752" s="16">
        <f t="shared" si="45"/>
        <v>5059.6181089359889</v>
      </c>
      <c r="G752" s="23">
        <f t="shared" si="46"/>
        <v>7.1754508799816652E-2</v>
      </c>
      <c r="H752" s="3">
        <f t="shared" si="47"/>
        <v>2.9502146407790022</v>
      </c>
    </row>
    <row r="753" spans="1:8" x14ac:dyDescent="0.3">
      <c r="A753" s="2">
        <v>42389</v>
      </c>
      <c r="B753" s="3">
        <v>159590.49006920139</v>
      </c>
      <c r="C753" s="3">
        <v>182351.13884524151</v>
      </c>
      <c r="D753">
        <v>4776</v>
      </c>
      <c r="E753" s="3">
        <f t="shared" si="44"/>
        <v>33.415094235594928</v>
      </c>
      <c r="F753" s="16">
        <f t="shared" si="45"/>
        <v>-22760.648776040121</v>
      </c>
      <c r="G753" s="23">
        <f t="shared" si="46"/>
        <v>-0.14261907940862067</v>
      </c>
      <c r="H753" s="3">
        <f t="shared" si="47"/>
        <v>-4.7656299782328562</v>
      </c>
    </row>
    <row r="754" spans="1:8" x14ac:dyDescent="0.3">
      <c r="A754" s="2">
        <v>42390</v>
      </c>
      <c r="B754" s="3">
        <v>67046.273415800373</v>
      </c>
      <c r="C754" s="3">
        <v>61894.262560530507</v>
      </c>
      <c r="D754">
        <v>1628</v>
      </c>
      <c r="E754" s="3">
        <f t="shared" si="44"/>
        <v>41.183214628870012</v>
      </c>
      <c r="F754" s="16">
        <f t="shared" si="45"/>
        <v>5152.0108552698657</v>
      </c>
      <c r="G754" s="23">
        <f t="shared" si="46"/>
        <v>7.6842613210113542E-2</v>
      </c>
      <c r="H754" s="3">
        <f t="shared" si="47"/>
        <v>3.1646258324753473</v>
      </c>
    </row>
    <row r="755" spans="1:8" x14ac:dyDescent="0.3">
      <c r="A755" s="2">
        <v>42391</v>
      </c>
      <c r="B755" s="3">
        <v>266949.23879314208</v>
      </c>
      <c r="C755" s="3">
        <v>294322.92718273471</v>
      </c>
      <c r="D755">
        <v>7806</v>
      </c>
      <c r="E755" s="3">
        <f t="shared" si="44"/>
        <v>34.197955264302088</v>
      </c>
      <c r="F755" s="16">
        <f t="shared" si="45"/>
        <v>-27373.688389592629</v>
      </c>
      <c r="G755" s="23">
        <f t="shared" si="46"/>
        <v>-0.10254267258204992</v>
      </c>
      <c r="H755" s="3">
        <f t="shared" si="47"/>
        <v>-3.5067497296429195</v>
      </c>
    </row>
    <row r="756" spans="1:8" x14ac:dyDescent="0.3">
      <c r="A756" s="2">
        <v>42392</v>
      </c>
      <c r="B756" s="3">
        <v>315272.22477212187</v>
      </c>
      <c r="C756" s="3">
        <v>346093.06700429099</v>
      </c>
      <c r="D756">
        <v>9210</v>
      </c>
      <c r="E756" s="3">
        <f t="shared" si="44"/>
        <v>34.23151191879716</v>
      </c>
      <c r="F756" s="16">
        <f t="shared" si="45"/>
        <v>-30820.842232169118</v>
      </c>
      <c r="G756" s="23">
        <f t="shared" si="46"/>
        <v>-9.7759459319470207E-2</v>
      </c>
      <c r="H756" s="3">
        <f t="shared" si="47"/>
        <v>-3.346454096869611</v>
      </c>
    </row>
    <row r="757" spans="1:8" x14ac:dyDescent="0.3">
      <c r="A757" s="2">
        <v>42393</v>
      </c>
      <c r="B757" s="3">
        <v>149138.92151888521</v>
      </c>
      <c r="C757" s="3">
        <v>163505.7130198981</v>
      </c>
      <c r="D757">
        <v>4351</v>
      </c>
      <c r="E757" s="3">
        <f t="shared" si="44"/>
        <v>34.276929790596462</v>
      </c>
      <c r="F757" s="16">
        <f t="shared" si="45"/>
        <v>-14366.791501012893</v>
      </c>
      <c r="G757" s="23">
        <f t="shared" si="46"/>
        <v>-9.6331603814056352E-2</v>
      </c>
      <c r="H757" s="3">
        <f t="shared" si="47"/>
        <v>-3.3019516205499637</v>
      </c>
    </row>
    <row r="758" spans="1:8" x14ac:dyDescent="0.3">
      <c r="A758" s="2">
        <v>42394</v>
      </c>
      <c r="B758" s="3">
        <v>215171.03820176999</v>
      </c>
      <c r="C758" s="3">
        <v>234621.59885970881</v>
      </c>
      <c r="D758">
        <v>6278</v>
      </c>
      <c r="E758" s="3">
        <f t="shared" si="44"/>
        <v>34.273819401365081</v>
      </c>
      <c r="F758" s="16">
        <f t="shared" si="45"/>
        <v>-19450.560657938826</v>
      </c>
      <c r="G758" s="23">
        <f t="shared" si="46"/>
        <v>-9.0395811724901673E-2</v>
      </c>
      <c r="H758" s="3">
        <f t="shared" si="47"/>
        <v>-3.0982097256990802</v>
      </c>
    </row>
    <row r="759" spans="1:8" x14ac:dyDescent="0.3">
      <c r="A759" s="2">
        <v>42395</v>
      </c>
      <c r="B759" s="3">
        <v>205197.8983571688</v>
      </c>
      <c r="C759" s="3">
        <v>221931.58005274381</v>
      </c>
      <c r="D759">
        <v>5992</v>
      </c>
      <c r="E759" s="3">
        <f t="shared" si="44"/>
        <v>34.24531013971442</v>
      </c>
      <c r="F759" s="16">
        <f t="shared" si="45"/>
        <v>-16733.681695575011</v>
      </c>
      <c r="G759" s="23">
        <f t="shared" si="46"/>
        <v>-8.1548991629769307E-2</v>
      </c>
      <c r="H759" s="3">
        <f t="shared" si="47"/>
        <v>-2.7926705099424249</v>
      </c>
    </row>
    <row r="760" spans="1:8" x14ac:dyDescent="0.3">
      <c r="A760" s="2">
        <v>42396</v>
      </c>
      <c r="B760" s="3">
        <v>214452.24842869499</v>
      </c>
      <c r="C760" s="3">
        <v>231730.23274989819</v>
      </c>
      <c r="D760">
        <v>6265</v>
      </c>
      <c r="E760" s="3">
        <f t="shared" si="44"/>
        <v>34.230207251188347</v>
      </c>
      <c r="F760" s="16">
        <f t="shared" si="45"/>
        <v>-17277.984321203199</v>
      </c>
      <c r="G760" s="23">
        <f t="shared" si="46"/>
        <v>-8.0567979341788526E-2</v>
      </c>
      <c r="H760" s="3">
        <f t="shared" si="47"/>
        <v>-2.7578586306788826</v>
      </c>
    </row>
    <row r="761" spans="1:8" x14ac:dyDescent="0.3">
      <c r="A761" s="2">
        <v>42397</v>
      </c>
      <c r="B761" s="3">
        <v>195767.9735540376</v>
      </c>
      <c r="C761" s="3">
        <v>210639.84818927519</v>
      </c>
      <c r="D761">
        <v>5723</v>
      </c>
      <c r="E761" s="3">
        <f t="shared" si="44"/>
        <v>34.207229347202095</v>
      </c>
      <c r="F761" s="16">
        <f t="shared" si="45"/>
        <v>-14871.874635237589</v>
      </c>
      <c r="G761" s="23">
        <f t="shared" si="46"/>
        <v>-7.5966841589298686E-2</v>
      </c>
      <c r="H761" s="3">
        <f t="shared" si="47"/>
        <v>-2.5986151730277109</v>
      </c>
    </row>
    <row r="762" spans="1:8" x14ac:dyDescent="0.3">
      <c r="A762" s="2">
        <v>42398</v>
      </c>
      <c r="B762" s="3">
        <v>397984.32926288783</v>
      </c>
      <c r="C762" s="3">
        <v>437198.92957971449</v>
      </c>
      <c r="D762">
        <v>11900</v>
      </c>
      <c r="E762" s="3">
        <f t="shared" si="44"/>
        <v>33.444061282595612</v>
      </c>
      <c r="F762" s="16">
        <f t="shared" si="45"/>
        <v>-39214.600316826662</v>
      </c>
      <c r="G762" s="23">
        <f t="shared" si="46"/>
        <v>-9.8533026135618346E-2</v>
      </c>
      <c r="H762" s="3">
        <f t="shared" si="47"/>
        <v>-3.2953445644392154</v>
      </c>
    </row>
    <row r="763" spans="1:8" x14ac:dyDescent="0.3">
      <c r="A763" s="2">
        <v>42399</v>
      </c>
      <c r="B763" s="3">
        <v>512603.10345302342</v>
      </c>
      <c r="C763" s="3">
        <v>561872.20603298978</v>
      </c>
      <c r="D763">
        <v>15345</v>
      </c>
      <c r="E763" s="3">
        <f t="shared" si="44"/>
        <v>33.405220166374939</v>
      </c>
      <c r="F763" s="16">
        <f t="shared" si="45"/>
        <v>-49269.102579966362</v>
      </c>
      <c r="G763" s="23">
        <f t="shared" si="46"/>
        <v>-9.6115498029717916E-2</v>
      </c>
      <c r="H763" s="3">
        <f t="shared" si="47"/>
        <v>-3.2107593730835036</v>
      </c>
    </row>
    <row r="764" spans="1:8" x14ac:dyDescent="0.3">
      <c r="A764" s="2">
        <v>42400</v>
      </c>
      <c r="B764" s="3">
        <v>218104.0669391714</v>
      </c>
      <c r="C764" s="3">
        <v>238662.19210478579</v>
      </c>
      <c r="D764">
        <v>6525</v>
      </c>
      <c r="E764" s="3">
        <f t="shared" si="44"/>
        <v>33.425910642018607</v>
      </c>
      <c r="F764" s="16">
        <f t="shared" si="45"/>
        <v>-20558.125165614387</v>
      </c>
      <c r="G764" s="23">
        <f t="shared" si="46"/>
        <v>-9.425833022796401E-2</v>
      </c>
      <c r="H764" s="3">
        <f t="shared" si="47"/>
        <v>-3.1506705234658066</v>
      </c>
    </row>
    <row r="765" spans="1:8" x14ac:dyDescent="0.3">
      <c r="A765" s="2">
        <v>42401</v>
      </c>
      <c r="B765" s="3">
        <v>339004.33688676252</v>
      </c>
      <c r="C765" s="3">
        <v>371177.18688303168</v>
      </c>
      <c r="D765">
        <v>10153</v>
      </c>
      <c r="E765" s="3">
        <f t="shared" si="44"/>
        <v>33.389573218434208</v>
      </c>
      <c r="F765" s="16">
        <f t="shared" si="45"/>
        <v>-32172.849996269157</v>
      </c>
      <c r="G765" s="23">
        <f t="shared" si="46"/>
        <v>-9.4903948107943642E-2</v>
      </c>
      <c r="H765" s="3">
        <f t="shared" si="47"/>
        <v>-3.1688023240686651</v>
      </c>
    </row>
    <row r="766" spans="1:8" x14ac:dyDescent="0.3">
      <c r="A766" s="2">
        <v>42402</v>
      </c>
      <c r="B766" s="3">
        <v>278116.36932756339</v>
      </c>
      <c r="C766" s="3">
        <v>295645.62910879822</v>
      </c>
      <c r="D766">
        <v>8116</v>
      </c>
      <c r="E766" s="3">
        <f t="shared" si="44"/>
        <v>34.267665023110325</v>
      </c>
      <c r="F766" s="16">
        <f t="shared" si="45"/>
        <v>-17529.259781234839</v>
      </c>
      <c r="G766" s="23">
        <f t="shared" si="46"/>
        <v>-6.3028507899831707E-2</v>
      </c>
      <c r="H766" s="3">
        <f t="shared" si="47"/>
        <v>-2.1598397956178954</v>
      </c>
    </row>
    <row r="767" spans="1:8" x14ac:dyDescent="0.3">
      <c r="A767" s="2">
        <v>42403</v>
      </c>
      <c r="B767" s="3">
        <v>264159.3006103735</v>
      </c>
      <c r="C767" s="3">
        <v>280392.27359994513</v>
      </c>
      <c r="D767">
        <v>7712</v>
      </c>
      <c r="E767" s="3">
        <f t="shared" si="44"/>
        <v>34.253021344706106</v>
      </c>
      <c r="F767" s="16">
        <f t="shared" si="45"/>
        <v>-16232.97298957163</v>
      </c>
      <c r="G767" s="23">
        <f t="shared" si="46"/>
        <v>-6.1451453543612859E-2</v>
      </c>
      <c r="H767" s="3">
        <f t="shared" si="47"/>
        <v>-2.1048979498925871</v>
      </c>
    </row>
    <row r="768" spans="1:8" x14ac:dyDescent="0.3">
      <c r="A768" s="2">
        <v>42404</v>
      </c>
      <c r="B768" s="3">
        <v>197778.13374055881</v>
      </c>
      <c r="C768" s="3">
        <v>209372.29223082791</v>
      </c>
      <c r="D768">
        <v>5759</v>
      </c>
      <c r="E768" s="3">
        <f t="shared" si="44"/>
        <v>34.342443782003613</v>
      </c>
      <c r="F768" s="16">
        <f t="shared" si="45"/>
        <v>-11594.158490269096</v>
      </c>
      <c r="G768" s="23">
        <f t="shared" si="46"/>
        <v>-5.8622044161252267E-2</v>
      </c>
      <c r="H768" s="3">
        <f t="shared" si="47"/>
        <v>-2.0132242559939391</v>
      </c>
    </row>
    <row r="769" spans="1:8" x14ac:dyDescent="0.3">
      <c r="A769" s="2">
        <v>42405</v>
      </c>
      <c r="B769" s="3">
        <v>325749.00890694692</v>
      </c>
      <c r="C769" s="3">
        <v>345287.81149657938</v>
      </c>
      <c r="D769">
        <v>9501</v>
      </c>
      <c r="E769" s="3">
        <f t="shared" si="44"/>
        <v>34.285760331222704</v>
      </c>
      <c r="F769" s="16">
        <f t="shared" si="45"/>
        <v>-19538.802589632454</v>
      </c>
      <c r="G769" s="23">
        <f t="shared" si="46"/>
        <v>-5.9981157441414919E-2</v>
      </c>
      <c r="H769" s="3">
        <f t="shared" si="47"/>
        <v>-2.0564995884256874</v>
      </c>
    </row>
    <row r="770" spans="1:8" x14ac:dyDescent="0.3">
      <c r="A770" s="2">
        <v>42406</v>
      </c>
      <c r="B770" s="3">
        <v>371561.97638721432</v>
      </c>
      <c r="C770" s="3">
        <v>393884.43303565029</v>
      </c>
      <c r="D770">
        <v>10840</v>
      </c>
      <c r="E770" s="3">
        <f t="shared" ref="E770:E833" si="48">B770/D770</f>
        <v>34.276935091071429</v>
      </c>
      <c r="F770" s="16">
        <f t="shared" ref="F770:F833" si="49">B770-C770</f>
        <v>-22322.456648435968</v>
      </c>
      <c r="G770" s="23">
        <f t="shared" ref="G770:G833" si="50">F770/B770</f>
        <v>-6.0077343934604219E-2</v>
      </c>
      <c r="H770" s="3">
        <f t="shared" ref="H770:H833" si="51">F770/D770</f>
        <v>-2.0592672184904028</v>
      </c>
    </row>
    <row r="771" spans="1:8" x14ac:dyDescent="0.3">
      <c r="A771" s="2">
        <v>42407</v>
      </c>
      <c r="B771" s="3">
        <v>174581.67684583139</v>
      </c>
      <c r="C771" s="3">
        <v>185040.81733893289</v>
      </c>
      <c r="D771">
        <v>5089</v>
      </c>
      <c r="E771" s="3">
        <f t="shared" si="48"/>
        <v>34.305694015687045</v>
      </c>
      <c r="F771" s="16">
        <f t="shared" si="49"/>
        <v>-10459.140493101499</v>
      </c>
      <c r="G771" s="23">
        <f t="shared" si="50"/>
        <v>-5.9909726393209628E-2</v>
      </c>
      <c r="H771" s="3">
        <f t="shared" si="51"/>
        <v>-2.0552447422089797</v>
      </c>
    </row>
    <row r="772" spans="1:8" x14ac:dyDescent="0.3">
      <c r="A772" s="2">
        <v>42408</v>
      </c>
      <c r="B772" s="3">
        <v>208489.36941933131</v>
      </c>
      <c r="C772" s="3">
        <v>221372.83694683231</v>
      </c>
      <c r="D772">
        <v>6087</v>
      </c>
      <c r="E772" s="3">
        <f t="shared" si="48"/>
        <v>34.251580321887843</v>
      </c>
      <c r="F772" s="16">
        <f t="shared" si="49"/>
        <v>-12883.467527500994</v>
      </c>
      <c r="G772" s="23">
        <f t="shared" si="50"/>
        <v>-6.1794361810307376E-2</v>
      </c>
      <c r="H772" s="3">
        <f t="shared" si="51"/>
        <v>-2.116554546985542</v>
      </c>
    </row>
    <row r="773" spans="1:8" x14ac:dyDescent="0.3">
      <c r="A773" s="2">
        <v>42409</v>
      </c>
      <c r="B773" s="3">
        <v>84495.166667640122</v>
      </c>
      <c r="C773" s="3">
        <v>74682.266818099233</v>
      </c>
      <c r="D773">
        <v>2053</v>
      </c>
      <c r="E773" s="3">
        <f t="shared" si="48"/>
        <v>41.15692482593284</v>
      </c>
      <c r="F773" s="16">
        <f t="shared" si="49"/>
        <v>9812.8998495408887</v>
      </c>
      <c r="G773" s="23">
        <f t="shared" si="50"/>
        <v>0.11613563516762697</v>
      </c>
      <c r="H773" s="3">
        <f t="shared" si="51"/>
        <v>4.7797856062059854</v>
      </c>
    </row>
    <row r="774" spans="1:8" x14ac:dyDescent="0.3">
      <c r="A774" s="2">
        <v>42410</v>
      </c>
      <c r="B774" s="3">
        <v>76661.250030179392</v>
      </c>
      <c r="C774" s="3">
        <v>66379.563604373863</v>
      </c>
      <c r="D774">
        <v>1825</v>
      </c>
      <c r="E774" s="3">
        <f t="shared" si="48"/>
        <v>42.006164400098299</v>
      </c>
      <c r="F774" s="16">
        <f t="shared" si="49"/>
        <v>10281.686425805528</v>
      </c>
      <c r="G774" s="23">
        <f t="shared" si="50"/>
        <v>0.13411842908585389</v>
      </c>
      <c r="H774" s="3">
        <f t="shared" si="51"/>
        <v>5.6338007812633029</v>
      </c>
    </row>
    <row r="775" spans="1:8" x14ac:dyDescent="0.3">
      <c r="A775" s="2">
        <v>42411</v>
      </c>
      <c r="B775" s="3">
        <v>64034.940459509773</v>
      </c>
      <c r="C775" s="3">
        <v>55491.338529373483</v>
      </c>
      <c r="D775">
        <v>1525</v>
      </c>
      <c r="E775" s="3">
        <f t="shared" si="48"/>
        <v>41.99012489148182</v>
      </c>
      <c r="F775" s="16">
        <f t="shared" si="49"/>
        <v>8543.6019301362903</v>
      </c>
      <c r="G775" s="23">
        <f t="shared" si="50"/>
        <v>0.13342093970616767</v>
      </c>
      <c r="H775" s="3">
        <f t="shared" si="51"/>
        <v>5.6023619214008464</v>
      </c>
    </row>
    <row r="776" spans="1:8" x14ac:dyDescent="0.3">
      <c r="A776" s="2">
        <v>42412</v>
      </c>
      <c r="B776" s="3">
        <v>148839.97486826521</v>
      </c>
      <c r="C776" s="3">
        <v>129583.4920673977</v>
      </c>
      <c r="D776">
        <v>3542</v>
      </c>
      <c r="E776" s="3">
        <f t="shared" si="48"/>
        <v>42.021449708714066</v>
      </c>
      <c r="F776" s="16">
        <f t="shared" si="49"/>
        <v>19256.48280086751</v>
      </c>
      <c r="G776" s="23">
        <f t="shared" si="50"/>
        <v>0.12937708984371285</v>
      </c>
      <c r="H776" s="3">
        <f t="shared" si="51"/>
        <v>5.4366128743273601</v>
      </c>
    </row>
    <row r="777" spans="1:8" x14ac:dyDescent="0.3">
      <c r="A777" s="2">
        <v>42413</v>
      </c>
      <c r="B777" s="3">
        <v>172541.50792952391</v>
      </c>
      <c r="C777" s="3">
        <v>150538.98368314141</v>
      </c>
      <c r="D777">
        <v>4105</v>
      </c>
      <c r="E777" s="3">
        <f t="shared" si="48"/>
        <v>42.032036036424827</v>
      </c>
      <c r="F777" s="16">
        <f t="shared" si="49"/>
        <v>22002.524246382498</v>
      </c>
      <c r="G777" s="23">
        <f t="shared" si="50"/>
        <v>0.12752018056646186</v>
      </c>
      <c r="H777" s="3">
        <f t="shared" si="51"/>
        <v>5.359932824940925</v>
      </c>
    </row>
    <row r="778" spans="1:8" x14ac:dyDescent="0.3">
      <c r="A778" s="2">
        <v>42414</v>
      </c>
      <c r="B778" s="3">
        <v>87991.663002118541</v>
      </c>
      <c r="C778" s="3">
        <v>76378.504638063911</v>
      </c>
      <c r="D778">
        <v>2094</v>
      </c>
      <c r="E778" s="3">
        <f t="shared" si="48"/>
        <v>42.020851481431968</v>
      </c>
      <c r="F778" s="16">
        <f t="shared" si="49"/>
        <v>11613.158364054631</v>
      </c>
      <c r="G778" s="23">
        <f t="shared" si="50"/>
        <v>0.13198021230460236</v>
      </c>
      <c r="H778" s="3">
        <f t="shared" si="51"/>
        <v>5.5459208997395564</v>
      </c>
    </row>
    <row r="779" spans="1:8" x14ac:dyDescent="0.3">
      <c r="A779" s="2">
        <v>42415</v>
      </c>
      <c r="B779" s="3">
        <v>123445.3815504276</v>
      </c>
      <c r="C779" s="3">
        <v>108669.225381257</v>
      </c>
      <c r="D779">
        <v>2940</v>
      </c>
      <c r="E779" s="3">
        <f t="shared" si="48"/>
        <v>41.988225017152246</v>
      </c>
      <c r="F779" s="16">
        <f t="shared" si="49"/>
        <v>14776.156169170601</v>
      </c>
      <c r="G779" s="23">
        <f t="shared" si="50"/>
        <v>0.11969792618879405</v>
      </c>
      <c r="H779" s="3">
        <f t="shared" si="51"/>
        <v>5.0259034589015652</v>
      </c>
    </row>
    <row r="780" spans="1:8" x14ac:dyDescent="0.3">
      <c r="A780" s="2">
        <v>42416</v>
      </c>
      <c r="B780" s="3">
        <v>77344.691873669406</v>
      </c>
      <c r="C780" s="3">
        <v>68269.248838410713</v>
      </c>
      <c r="D780">
        <v>1841</v>
      </c>
      <c r="E780" s="3">
        <f t="shared" si="48"/>
        <v>42.012325841210973</v>
      </c>
      <c r="F780" s="16">
        <f t="shared" si="49"/>
        <v>9075.4430352586933</v>
      </c>
      <c r="G780" s="23">
        <f t="shared" si="50"/>
        <v>0.11733763255637537</v>
      </c>
      <c r="H780" s="3">
        <f t="shared" si="51"/>
        <v>4.9296268523947271</v>
      </c>
    </row>
    <row r="781" spans="1:8" x14ac:dyDescent="0.3">
      <c r="A781" s="2">
        <v>42417</v>
      </c>
      <c r="B781" s="3">
        <v>158963.02488179519</v>
      </c>
      <c r="C781" s="3">
        <v>167521.52586053711</v>
      </c>
      <c r="D781">
        <v>4529</v>
      </c>
      <c r="E781" s="3">
        <f t="shared" si="48"/>
        <v>35.098923577344934</v>
      </c>
      <c r="F781" s="16">
        <f t="shared" si="49"/>
        <v>-8558.5009787419112</v>
      </c>
      <c r="G781" s="23">
        <f t="shared" si="50"/>
        <v>-5.3839570460526953E-2</v>
      </c>
      <c r="H781" s="3">
        <f t="shared" si="51"/>
        <v>-1.8897109690311131</v>
      </c>
    </row>
    <row r="782" spans="1:8" x14ac:dyDescent="0.3">
      <c r="A782" s="2">
        <v>42418</v>
      </c>
      <c r="B782" s="3">
        <v>69598.07115293965</v>
      </c>
      <c r="C782" s="3">
        <v>61492.968308179203</v>
      </c>
      <c r="D782">
        <v>1658</v>
      </c>
      <c r="E782" s="3">
        <f t="shared" si="48"/>
        <v>41.977123735186758</v>
      </c>
      <c r="F782" s="16">
        <f t="shared" si="49"/>
        <v>8105.1028447604476</v>
      </c>
      <c r="G782" s="23">
        <f t="shared" si="50"/>
        <v>0.11645585445823246</v>
      </c>
      <c r="H782" s="3">
        <f t="shared" si="51"/>
        <v>4.8884818122801255</v>
      </c>
    </row>
    <row r="783" spans="1:8" x14ac:dyDescent="0.3">
      <c r="A783" s="2">
        <v>42419</v>
      </c>
      <c r="B783" s="3">
        <v>161275.60219880519</v>
      </c>
      <c r="C783" s="3">
        <v>143446.35832758571</v>
      </c>
      <c r="D783">
        <v>3841</v>
      </c>
      <c r="E783" s="3">
        <f t="shared" si="48"/>
        <v>41.98792038500526</v>
      </c>
      <c r="F783" s="16">
        <f t="shared" si="49"/>
        <v>17829.243871219485</v>
      </c>
      <c r="G783" s="23">
        <f t="shared" si="50"/>
        <v>0.11055140162639909</v>
      </c>
      <c r="H783" s="3">
        <f t="shared" si="51"/>
        <v>4.6418234499399862</v>
      </c>
    </row>
    <row r="784" spans="1:8" x14ac:dyDescent="0.3">
      <c r="A784" s="2">
        <v>42420</v>
      </c>
      <c r="B784" s="3">
        <v>325215.07679238252</v>
      </c>
      <c r="C784" s="3">
        <v>345446.00184870971</v>
      </c>
      <c r="D784">
        <v>9260</v>
      </c>
      <c r="E784" s="3">
        <f t="shared" si="48"/>
        <v>35.120418660084503</v>
      </c>
      <c r="F784" s="16">
        <f t="shared" si="49"/>
        <v>-20230.925056327193</v>
      </c>
      <c r="G784" s="23">
        <f t="shared" si="50"/>
        <v>-6.2207832600708814E-2</v>
      </c>
      <c r="H784" s="3">
        <f t="shared" si="51"/>
        <v>-2.1847651248733468</v>
      </c>
    </row>
    <row r="785" spans="1:8" x14ac:dyDescent="0.3">
      <c r="A785" s="2">
        <v>42421</v>
      </c>
      <c r="B785" s="3">
        <v>96957.295844458073</v>
      </c>
      <c r="C785" s="3">
        <v>86455.494378043557</v>
      </c>
      <c r="D785">
        <v>2308</v>
      </c>
      <c r="E785" s="3">
        <f t="shared" si="48"/>
        <v>42.009226969002633</v>
      </c>
      <c r="F785" s="16">
        <f t="shared" si="49"/>
        <v>10501.801466414516</v>
      </c>
      <c r="G785" s="23">
        <f t="shared" si="50"/>
        <v>0.10831367949103937</v>
      </c>
      <c r="H785" s="3">
        <f t="shared" si="51"/>
        <v>4.5501739455868782</v>
      </c>
    </row>
    <row r="786" spans="1:8" x14ac:dyDescent="0.3">
      <c r="A786" s="2">
        <v>42422</v>
      </c>
      <c r="B786" s="3">
        <v>85224.477091228793</v>
      </c>
      <c r="C786" s="3">
        <v>75960.718021940367</v>
      </c>
      <c r="D786">
        <v>2028</v>
      </c>
      <c r="E786" s="3">
        <f t="shared" si="48"/>
        <v>42.02390389113846</v>
      </c>
      <c r="F786" s="16">
        <f t="shared" si="49"/>
        <v>9263.759069288426</v>
      </c>
      <c r="G786" s="23">
        <f t="shared" si="50"/>
        <v>0.10869833861663954</v>
      </c>
      <c r="H786" s="3">
        <f t="shared" si="51"/>
        <v>4.5679285351520837</v>
      </c>
    </row>
    <row r="787" spans="1:8" x14ac:dyDescent="0.3">
      <c r="A787" s="2">
        <v>42423</v>
      </c>
      <c r="B787" s="3">
        <v>54612.878841539881</v>
      </c>
      <c r="C787" s="3">
        <v>49071.802537897172</v>
      </c>
      <c r="D787">
        <v>1301</v>
      </c>
      <c r="E787" s="3">
        <f t="shared" si="48"/>
        <v>41.977616327086764</v>
      </c>
      <c r="F787" s="16">
        <f t="shared" si="49"/>
        <v>5541.0763036427088</v>
      </c>
      <c r="G787" s="23">
        <f t="shared" si="50"/>
        <v>0.10146098175341073</v>
      </c>
      <c r="H787" s="3">
        <f t="shared" si="51"/>
        <v>4.2590901642142267</v>
      </c>
    </row>
    <row r="788" spans="1:8" x14ac:dyDescent="0.3">
      <c r="A788" s="2">
        <v>42424</v>
      </c>
      <c r="B788" s="3">
        <v>81530.612382324645</v>
      </c>
      <c r="C788" s="3">
        <v>81738.0564373136</v>
      </c>
      <c r="D788">
        <v>2213</v>
      </c>
      <c r="E788" s="3">
        <f t="shared" si="48"/>
        <v>36.841668496305758</v>
      </c>
      <c r="F788" s="16">
        <f t="shared" si="49"/>
        <v>-207.44405498895503</v>
      </c>
      <c r="G788" s="23">
        <f t="shared" si="50"/>
        <v>-2.544370131996306E-3</v>
      </c>
      <c r="H788" s="3">
        <f t="shared" si="51"/>
        <v>-9.373884093490964E-2</v>
      </c>
    </row>
    <row r="789" spans="1:8" x14ac:dyDescent="0.3">
      <c r="A789" s="2">
        <v>42425</v>
      </c>
      <c r="B789" s="3">
        <v>160947.53264018759</v>
      </c>
      <c r="C789" s="3">
        <v>162597.49684526821</v>
      </c>
      <c r="D789">
        <v>4404</v>
      </c>
      <c r="E789" s="3">
        <f t="shared" si="48"/>
        <v>36.545761271613898</v>
      </c>
      <c r="F789" s="16">
        <f t="shared" si="49"/>
        <v>-1649.9642050806142</v>
      </c>
      <c r="G789" s="23">
        <f t="shared" si="50"/>
        <v>-1.0251565699793949E-2</v>
      </c>
      <c r="H789" s="3">
        <f t="shared" si="51"/>
        <v>-0.37465127272493509</v>
      </c>
    </row>
    <row r="790" spans="1:8" x14ac:dyDescent="0.3">
      <c r="A790" s="2">
        <v>42426</v>
      </c>
      <c r="B790" s="3">
        <v>188736.24741743511</v>
      </c>
      <c r="C790" s="3">
        <v>183103.23368799081</v>
      </c>
      <c r="D790">
        <v>4935</v>
      </c>
      <c r="E790" s="3">
        <f t="shared" si="48"/>
        <v>38.244427034941261</v>
      </c>
      <c r="F790" s="16">
        <f t="shared" si="49"/>
        <v>5633.0137294442975</v>
      </c>
      <c r="G790" s="23">
        <f t="shared" si="50"/>
        <v>2.9845955965128138E-2</v>
      </c>
      <c r="H790" s="3">
        <f t="shared" si="51"/>
        <v>1.141441485196413</v>
      </c>
    </row>
    <row r="791" spans="1:8" x14ac:dyDescent="0.3">
      <c r="A791" s="2">
        <v>42427</v>
      </c>
      <c r="B791" s="3">
        <v>215951.50786707399</v>
      </c>
      <c r="C791" s="3">
        <v>210032.78807855889</v>
      </c>
      <c r="D791">
        <v>5609</v>
      </c>
      <c r="E791" s="3">
        <f t="shared" si="48"/>
        <v>38.500892827076839</v>
      </c>
      <c r="F791" s="16">
        <f t="shared" si="49"/>
        <v>5918.7197885150963</v>
      </c>
      <c r="G791" s="23">
        <f t="shared" si="50"/>
        <v>2.7407633532979467E-2</v>
      </c>
      <c r="H791" s="3">
        <f t="shared" si="51"/>
        <v>1.0552183612970398</v>
      </c>
    </row>
    <row r="792" spans="1:8" x14ac:dyDescent="0.3">
      <c r="A792" s="2">
        <v>42428</v>
      </c>
      <c r="B792" s="3">
        <v>134995.85449594259</v>
      </c>
      <c r="C792" s="3">
        <v>129938.7057703585</v>
      </c>
      <c r="D792">
        <v>3452</v>
      </c>
      <c r="E792" s="3">
        <f t="shared" si="48"/>
        <v>39.106562716089975</v>
      </c>
      <c r="F792" s="16">
        <f t="shared" si="49"/>
        <v>5057.1487255840912</v>
      </c>
      <c r="G792" s="23">
        <f t="shared" si="50"/>
        <v>3.7461511277267316E-2</v>
      </c>
      <c r="H792" s="3">
        <f t="shared" si="51"/>
        <v>1.4649909402039663</v>
      </c>
    </row>
    <row r="793" spans="1:8" x14ac:dyDescent="0.3">
      <c r="A793" s="2">
        <v>42429</v>
      </c>
      <c r="B793" s="3">
        <v>163079.37804396759</v>
      </c>
      <c r="C793" s="3">
        <v>160332.58940603069</v>
      </c>
      <c r="D793">
        <v>4270</v>
      </c>
      <c r="E793" s="3">
        <f t="shared" si="48"/>
        <v>38.191891813575545</v>
      </c>
      <c r="F793" s="16">
        <f t="shared" si="49"/>
        <v>2746.7886379369011</v>
      </c>
      <c r="G793" s="23">
        <f t="shared" si="50"/>
        <v>1.6843261673443122E-2</v>
      </c>
      <c r="H793" s="3">
        <f t="shared" si="51"/>
        <v>0.64327602761988312</v>
      </c>
    </row>
    <row r="794" spans="1:8" x14ac:dyDescent="0.3">
      <c r="A794" s="2">
        <v>42430</v>
      </c>
      <c r="B794" s="3">
        <v>180828.6740918264</v>
      </c>
      <c r="C794" s="3">
        <v>182962.33699647631</v>
      </c>
      <c r="D794">
        <v>4719</v>
      </c>
      <c r="E794" s="3">
        <f t="shared" si="48"/>
        <v>38.319278256373465</v>
      </c>
      <c r="F794" s="16">
        <f t="shared" si="49"/>
        <v>-2133.6629046499147</v>
      </c>
      <c r="G794" s="23">
        <f t="shared" si="50"/>
        <v>-1.1799361552396396E-2</v>
      </c>
      <c r="H794" s="3">
        <f t="shared" si="51"/>
        <v>-0.45214301857383232</v>
      </c>
    </row>
    <row r="795" spans="1:8" x14ac:dyDescent="0.3">
      <c r="A795" s="2">
        <v>42431</v>
      </c>
      <c r="B795" s="3">
        <v>171196.1751944664</v>
      </c>
      <c r="C795" s="3">
        <v>174428.680891675</v>
      </c>
      <c r="D795">
        <v>4451</v>
      </c>
      <c r="E795" s="3">
        <f t="shared" si="48"/>
        <v>38.462407367887309</v>
      </c>
      <c r="F795" s="16">
        <f t="shared" si="49"/>
        <v>-3232.5056972086022</v>
      </c>
      <c r="G795" s="23">
        <f t="shared" si="50"/>
        <v>-1.8881880354725863E-2</v>
      </c>
      <c r="H795" s="3">
        <f t="shared" si="51"/>
        <v>-0.72624257407517456</v>
      </c>
    </row>
    <row r="796" spans="1:8" x14ac:dyDescent="0.3">
      <c r="A796" s="2">
        <v>42432</v>
      </c>
      <c r="B796" s="3">
        <v>129719.0505263338</v>
      </c>
      <c r="C796" s="3">
        <v>131961.93250828909</v>
      </c>
      <c r="D796">
        <v>3364</v>
      </c>
      <c r="E796" s="3">
        <f t="shared" si="48"/>
        <v>38.560954377625983</v>
      </c>
      <c r="F796" s="16">
        <f t="shared" si="49"/>
        <v>-2242.8819819552882</v>
      </c>
      <c r="G796" s="23">
        <f t="shared" si="50"/>
        <v>-1.7290305262448468E-2</v>
      </c>
      <c r="H796" s="3">
        <f t="shared" si="51"/>
        <v>-0.66673067240050188</v>
      </c>
    </row>
    <row r="797" spans="1:8" x14ac:dyDescent="0.3">
      <c r="A797" s="2">
        <v>42433</v>
      </c>
      <c r="B797" s="3">
        <v>142127.64209061259</v>
      </c>
      <c r="C797" s="3">
        <v>144039.41368270031</v>
      </c>
      <c r="D797">
        <v>3665</v>
      </c>
      <c r="E797" s="3">
        <f t="shared" si="48"/>
        <v>38.779711348052544</v>
      </c>
      <c r="F797" s="16">
        <f t="shared" si="49"/>
        <v>-1911.7715920877235</v>
      </c>
      <c r="G797" s="23">
        <f t="shared" si="50"/>
        <v>-1.345108920380798E-2</v>
      </c>
      <c r="H797" s="3">
        <f t="shared" si="51"/>
        <v>-0.52162935664057941</v>
      </c>
    </row>
    <row r="798" spans="1:8" x14ac:dyDescent="0.3">
      <c r="A798" s="2">
        <v>42434</v>
      </c>
      <c r="B798" s="3">
        <v>152124.4078943276</v>
      </c>
      <c r="C798" s="3">
        <v>153377.51203867729</v>
      </c>
      <c r="D798">
        <v>3889</v>
      </c>
      <c r="E798" s="3">
        <f t="shared" si="48"/>
        <v>39.11658727033366</v>
      </c>
      <c r="F798" s="16">
        <f t="shared" si="49"/>
        <v>-1253.1041443496943</v>
      </c>
      <c r="G798" s="23">
        <f t="shared" si="50"/>
        <v>-8.23736415276736E-3</v>
      </c>
      <c r="H798" s="3">
        <f t="shared" si="51"/>
        <v>-0.32221757375924254</v>
      </c>
    </row>
    <row r="799" spans="1:8" x14ac:dyDescent="0.3">
      <c r="A799" s="2">
        <v>42435</v>
      </c>
      <c r="B799" s="3">
        <v>74132.787023074285</v>
      </c>
      <c r="C799" s="3">
        <v>74332.279484224229</v>
      </c>
      <c r="D799">
        <v>1882</v>
      </c>
      <c r="E799" s="3">
        <f t="shared" si="48"/>
        <v>39.390428811410352</v>
      </c>
      <c r="F799" s="16">
        <f t="shared" si="49"/>
        <v>-199.49246114994457</v>
      </c>
      <c r="G799" s="23">
        <f t="shared" si="50"/>
        <v>-2.6910152600609946E-3</v>
      </c>
      <c r="H799" s="3">
        <f t="shared" si="51"/>
        <v>-0.10600024503185153</v>
      </c>
    </row>
    <row r="800" spans="1:8" x14ac:dyDescent="0.3">
      <c r="A800" s="2">
        <v>42436</v>
      </c>
      <c r="B800" s="3">
        <v>91143.028607709275</v>
      </c>
      <c r="C800" s="3">
        <v>95167.528732048944</v>
      </c>
      <c r="D800">
        <v>2405</v>
      </c>
      <c r="E800" s="3">
        <f t="shared" si="48"/>
        <v>37.897309192394708</v>
      </c>
      <c r="F800" s="16">
        <f t="shared" si="49"/>
        <v>-4024.5001243396691</v>
      </c>
      <c r="G800" s="23">
        <f t="shared" si="50"/>
        <v>-4.4155874407702744E-2</v>
      </c>
      <c r="H800" s="3">
        <f t="shared" si="51"/>
        <v>-1.6733888250892595</v>
      </c>
    </row>
    <row r="801" spans="1:8" x14ac:dyDescent="0.3">
      <c r="A801" s="2">
        <v>42437</v>
      </c>
      <c r="B801" s="3">
        <v>60528.093358145001</v>
      </c>
      <c r="C801" s="3">
        <v>62342.881166359934</v>
      </c>
      <c r="D801">
        <v>1577</v>
      </c>
      <c r="E801" s="3">
        <f t="shared" si="48"/>
        <v>38.381796676058975</v>
      </c>
      <c r="F801" s="16">
        <f t="shared" si="49"/>
        <v>-1814.7878082149327</v>
      </c>
      <c r="G801" s="23">
        <f t="shared" si="50"/>
        <v>-2.9982570200531928E-2</v>
      </c>
      <c r="H801" s="3">
        <f t="shared" si="51"/>
        <v>-1.1507849132624812</v>
      </c>
    </row>
    <row r="802" spans="1:8" x14ac:dyDescent="0.3">
      <c r="A802" s="2">
        <v>42438</v>
      </c>
      <c r="B802" s="3">
        <v>38340.599611080237</v>
      </c>
      <c r="C802" s="3">
        <v>35918.335153329201</v>
      </c>
      <c r="D802">
        <v>913</v>
      </c>
      <c r="E802" s="3">
        <f t="shared" si="48"/>
        <v>41.994085006659624</v>
      </c>
      <c r="F802" s="16">
        <f t="shared" si="49"/>
        <v>2422.2644577510364</v>
      </c>
      <c r="G802" s="23">
        <f t="shared" si="50"/>
        <v>6.3177531971905163E-2</v>
      </c>
      <c r="H802" s="3">
        <f t="shared" si="51"/>
        <v>2.6530826481391419</v>
      </c>
    </row>
    <row r="803" spans="1:8" x14ac:dyDescent="0.3">
      <c r="A803" s="2">
        <v>42439</v>
      </c>
      <c r="B803" s="3">
        <v>37453.006182510253</v>
      </c>
      <c r="C803" s="3">
        <v>35108.200106536773</v>
      </c>
      <c r="D803">
        <v>892</v>
      </c>
      <c r="E803" s="3">
        <f t="shared" si="48"/>
        <v>41.987675092500282</v>
      </c>
      <c r="F803" s="16">
        <f t="shared" si="49"/>
        <v>2344.8060759734799</v>
      </c>
      <c r="G803" s="23">
        <f t="shared" si="50"/>
        <v>6.2606618666259523E-2</v>
      </c>
      <c r="H803" s="3">
        <f t="shared" si="51"/>
        <v>2.6287063631989684</v>
      </c>
    </row>
    <row r="804" spans="1:8" x14ac:dyDescent="0.3">
      <c r="A804" s="2">
        <v>42440</v>
      </c>
      <c r="B804" s="3">
        <v>77997.045012869392</v>
      </c>
      <c r="C804" s="3">
        <v>73051.675542545359</v>
      </c>
      <c r="D804">
        <v>1855</v>
      </c>
      <c r="E804" s="3">
        <f t="shared" si="48"/>
        <v>42.046924535239562</v>
      </c>
      <c r="F804" s="16">
        <f t="shared" si="49"/>
        <v>4945.3694703240326</v>
      </c>
      <c r="G804" s="23">
        <f t="shared" si="50"/>
        <v>6.3404574743928493E-2</v>
      </c>
      <c r="H804" s="3">
        <f t="shared" si="51"/>
        <v>2.6659673694469177</v>
      </c>
    </row>
    <row r="805" spans="1:8" x14ac:dyDescent="0.3">
      <c r="A805" s="2">
        <v>42441</v>
      </c>
      <c r="B805" s="3">
        <v>79752.282678029282</v>
      </c>
      <c r="C805" s="3">
        <v>74962.816397036033</v>
      </c>
      <c r="D805">
        <v>1897</v>
      </c>
      <c r="E805" s="3">
        <f t="shared" si="48"/>
        <v>42.04126656722682</v>
      </c>
      <c r="F805" s="16">
        <f t="shared" si="49"/>
        <v>4789.4662809932488</v>
      </c>
      <c r="G805" s="23">
        <f t="shared" si="50"/>
        <v>6.0054284594322771E-2</v>
      </c>
      <c r="H805" s="3">
        <f t="shared" si="51"/>
        <v>2.5247581871340268</v>
      </c>
    </row>
    <row r="806" spans="1:8" x14ac:dyDescent="0.3">
      <c r="A806" s="2">
        <v>42442</v>
      </c>
      <c r="B806" s="3">
        <v>37155.588484560249</v>
      </c>
      <c r="C806" s="3">
        <v>34962.830504184181</v>
      </c>
      <c r="D806">
        <v>883</v>
      </c>
      <c r="E806" s="3">
        <f t="shared" si="48"/>
        <v>42.078809155787368</v>
      </c>
      <c r="F806" s="16">
        <f t="shared" si="49"/>
        <v>2192.7579803760673</v>
      </c>
      <c r="G806" s="23">
        <f t="shared" si="50"/>
        <v>5.9015563198178196E-2</v>
      </c>
      <c r="H806" s="3">
        <f t="shared" si="51"/>
        <v>2.483304621037449</v>
      </c>
    </row>
    <row r="807" spans="1:8" x14ac:dyDescent="0.3">
      <c r="A807" s="2">
        <v>42443</v>
      </c>
      <c r="B807" s="3">
        <v>45046.513214430241</v>
      </c>
      <c r="C807" s="3">
        <v>42368.045353504087</v>
      </c>
      <c r="D807">
        <v>1071</v>
      </c>
      <c r="E807" s="3">
        <f t="shared" si="48"/>
        <v>42.060236428039438</v>
      </c>
      <c r="F807" s="16">
        <f t="shared" si="49"/>
        <v>2678.4678609261537</v>
      </c>
      <c r="G807" s="23">
        <f t="shared" si="50"/>
        <v>5.9460048509773024E-2</v>
      </c>
      <c r="H807" s="3">
        <f t="shared" si="51"/>
        <v>2.5009036983437474</v>
      </c>
    </row>
    <row r="808" spans="1:8" x14ac:dyDescent="0.3">
      <c r="A808" s="2">
        <v>42444</v>
      </c>
      <c r="B808" s="3">
        <v>55489.332757800243</v>
      </c>
      <c r="C808" s="3">
        <v>52263.056988226643</v>
      </c>
      <c r="D808">
        <v>1320</v>
      </c>
      <c r="E808" s="3">
        <f t="shared" si="48"/>
        <v>42.037373301363822</v>
      </c>
      <c r="F808" s="16">
        <f t="shared" si="49"/>
        <v>3226.2757695736</v>
      </c>
      <c r="G808" s="23">
        <f t="shared" si="50"/>
        <v>5.8142270040543537E-2</v>
      </c>
      <c r="H808" s="3">
        <f t="shared" si="51"/>
        <v>2.4441483102830301</v>
      </c>
    </row>
    <row r="809" spans="1:8" x14ac:dyDescent="0.3">
      <c r="A809" s="2">
        <v>42445</v>
      </c>
      <c r="B809" s="3">
        <v>41893.303158000243</v>
      </c>
      <c r="C809" s="3">
        <v>39495.455901503272</v>
      </c>
      <c r="D809">
        <v>997</v>
      </c>
      <c r="E809" s="3">
        <f t="shared" si="48"/>
        <v>42.01936124172542</v>
      </c>
      <c r="F809" s="16">
        <f t="shared" si="49"/>
        <v>2397.8472564969707</v>
      </c>
      <c r="G809" s="23">
        <f t="shared" si="50"/>
        <v>5.7237006293189861E-2</v>
      </c>
      <c r="H809" s="3">
        <f t="shared" si="51"/>
        <v>2.4050624438284562</v>
      </c>
    </row>
    <row r="810" spans="1:8" x14ac:dyDescent="0.3">
      <c r="A810" s="2">
        <v>42446</v>
      </c>
      <c r="B810" s="3">
        <v>34348.504189710133</v>
      </c>
      <c r="C810" s="3">
        <v>32292.837602068419</v>
      </c>
      <c r="D810">
        <v>817</v>
      </c>
      <c r="E810" s="3">
        <f t="shared" si="48"/>
        <v>42.042232790342879</v>
      </c>
      <c r="F810" s="16">
        <f t="shared" si="49"/>
        <v>2055.6665876417137</v>
      </c>
      <c r="G810" s="23">
        <f t="shared" si="50"/>
        <v>5.9847339385961817E-2</v>
      </c>
      <c r="H810" s="3">
        <f t="shared" si="51"/>
        <v>2.5161157743472629</v>
      </c>
    </row>
    <row r="811" spans="1:8" x14ac:dyDescent="0.3">
      <c r="A811" s="2">
        <v>42447</v>
      </c>
      <c r="B811" s="3">
        <v>78276.831216934515</v>
      </c>
      <c r="C811" s="3">
        <v>73746.758711538583</v>
      </c>
      <c r="D811">
        <v>1866</v>
      </c>
      <c r="E811" s="3">
        <f t="shared" si="48"/>
        <v>41.948998508539397</v>
      </c>
      <c r="F811" s="16">
        <f t="shared" si="49"/>
        <v>4530.0725053959322</v>
      </c>
      <c r="G811" s="23">
        <f t="shared" si="50"/>
        <v>5.787245644680479E-2</v>
      </c>
      <c r="H811" s="3">
        <f t="shared" si="51"/>
        <v>2.4276915891725253</v>
      </c>
    </row>
    <row r="812" spans="1:8" x14ac:dyDescent="0.3">
      <c r="A812" s="2">
        <v>42448</v>
      </c>
      <c r="B812" s="3">
        <v>92851.402660078791</v>
      </c>
      <c r="C812" s="3">
        <v>87451.566175781234</v>
      </c>
      <c r="D812">
        <v>2211</v>
      </c>
      <c r="E812" s="3">
        <f t="shared" si="48"/>
        <v>41.995206992346809</v>
      </c>
      <c r="F812" s="16">
        <f t="shared" si="49"/>
        <v>5399.836484297557</v>
      </c>
      <c r="G812" s="23">
        <f t="shared" si="50"/>
        <v>5.8155680254674304E-2</v>
      </c>
      <c r="H812" s="3">
        <f t="shared" si="51"/>
        <v>2.4422598300757832</v>
      </c>
    </row>
    <row r="813" spans="1:8" x14ac:dyDescent="0.3">
      <c r="A813" s="2">
        <v>42449</v>
      </c>
      <c r="B813" s="3">
        <v>54845.789298270247</v>
      </c>
      <c r="C813" s="3">
        <v>51625.511717785288</v>
      </c>
      <c r="D813">
        <v>1304</v>
      </c>
      <c r="E813" s="3">
        <f t="shared" si="48"/>
        <v>42.059654369839144</v>
      </c>
      <c r="F813" s="16">
        <f t="shared" si="49"/>
        <v>3220.2775804849589</v>
      </c>
      <c r="G813" s="23">
        <f t="shared" si="50"/>
        <v>5.8715128758052564E-2</v>
      </c>
      <c r="H813" s="3">
        <f t="shared" si="51"/>
        <v>2.4695380218442935</v>
      </c>
    </row>
    <row r="814" spans="1:8" x14ac:dyDescent="0.3">
      <c r="A814" s="2">
        <v>42450</v>
      </c>
      <c r="B814" s="3">
        <v>48037.799902380248</v>
      </c>
      <c r="C814" s="3">
        <v>45187.641575720692</v>
      </c>
      <c r="D814">
        <v>1143</v>
      </c>
      <c r="E814" s="3">
        <f t="shared" si="48"/>
        <v>42.027821436903103</v>
      </c>
      <c r="F814" s="16">
        <f t="shared" si="49"/>
        <v>2850.1583266595553</v>
      </c>
      <c r="G814" s="23">
        <f t="shared" si="50"/>
        <v>5.9331574977444616E-2</v>
      </c>
      <c r="H814" s="3">
        <f t="shared" si="51"/>
        <v>2.4935768387222708</v>
      </c>
    </row>
    <row r="815" spans="1:8" x14ac:dyDescent="0.3">
      <c r="A815" s="2">
        <v>42451</v>
      </c>
      <c r="B815" s="3">
        <v>65905.723262160012</v>
      </c>
      <c r="C815" s="3">
        <v>62023.881297700063</v>
      </c>
      <c r="D815">
        <v>1573</v>
      </c>
      <c r="E815" s="3">
        <f t="shared" si="48"/>
        <v>41.898107604678962</v>
      </c>
      <c r="F815" s="16">
        <f t="shared" si="49"/>
        <v>3881.8419644599489</v>
      </c>
      <c r="G815" s="23">
        <f t="shared" si="50"/>
        <v>5.8899922075336987E-2</v>
      </c>
      <c r="H815" s="3">
        <f t="shared" si="51"/>
        <v>2.4677952730196751</v>
      </c>
    </row>
    <row r="816" spans="1:8" x14ac:dyDescent="0.3">
      <c r="A816" s="2">
        <v>42452</v>
      </c>
      <c r="B816" s="3">
        <v>84870.05130086976</v>
      </c>
      <c r="C816" s="3">
        <v>81472.827175989325</v>
      </c>
      <c r="D816">
        <v>2065</v>
      </c>
      <c r="E816" s="3">
        <f t="shared" si="48"/>
        <v>41.099298450784389</v>
      </c>
      <c r="F816" s="16">
        <f t="shared" si="49"/>
        <v>3397.2241248804348</v>
      </c>
      <c r="G816" s="23">
        <f t="shared" si="50"/>
        <v>4.0028538604708251E-2</v>
      </c>
      <c r="H816" s="3">
        <f t="shared" si="51"/>
        <v>1.6451448546636489</v>
      </c>
    </row>
    <row r="817" spans="1:8" x14ac:dyDescent="0.3">
      <c r="A817" s="2">
        <v>42453</v>
      </c>
      <c r="B817" s="3">
        <v>262459.50568130391</v>
      </c>
      <c r="C817" s="3">
        <v>259298.45661843679</v>
      </c>
      <c r="D817">
        <v>6588</v>
      </c>
      <c r="E817" s="3">
        <f t="shared" si="48"/>
        <v>39.839026363282315</v>
      </c>
      <c r="F817" s="16">
        <f t="shared" si="49"/>
        <v>3161.049062867125</v>
      </c>
      <c r="G817" s="23">
        <f t="shared" si="50"/>
        <v>1.2043949616766728E-2</v>
      </c>
      <c r="H817" s="3">
        <f t="shared" si="51"/>
        <v>0.47981922630041363</v>
      </c>
    </row>
    <row r="818" spans="1:8" x14ac:dyDescent="0.3">
      <c r="A818" s="2">
        <v>42454</v>
      </c>
      <c r="B818" s="3">
        <v>228124.3980292739</v>
      </c>
      <c r="C818" s="3">
        <v>222208.35038080389</v>
      </c>
      <c r="D818">
        <v>5652</v>
      </c>
      <c r="E818" s="3">
        <f t="shared" si="48"/>
        <v>40.36171231940444</v>
      </c>
      <c r="F818" s="16">
        <f t="shared" si="49"/>
        <v>5916.0476484700048</v>
      </c>
      <c r="G818" s="23">
        <f t="shared" si="50"/>
        <v>2.593342798743882E-2</v>
      </c>
      <c r="H818" s="3">
        <f t="shared" si="51"/>
        <v>1.0467175598849974</v>
      </c>
    </row>
    <row r="819" spans="1:8" x14ac:dyDescent="0.3">
      <c r="A819" s="2">
        <v>42455</v>
      </c>
      <c r="B819" s="3">
        <v>162929.49214412639</v>
      </c>
      <c r="C819" s="3">
        <v>161434.81509850451</v>
      </c>
      <c r="D819">
        <v>4103</v>
      </c>
      <c r="E819" s="3">
        <f t="shared" si="48"/>
        <v>39.70984453914852</v>
      </c>
      <c r="F819" s="16">
        <f t="shared" si="49"/>
        <v>1494.6770456218801</v>
      </c>
      <c r="G819" s="23">
        <f t="shared" si="50"/>
        <v>9.1737660625597385E-3</v>
      </c>
      <c r="H819" s="3">
        <f t="shared" si="51"/>
        <v>0.36428882418276387</v>
      </c>
    </row>
    <row r="820" spans="1:8" x14ac:dyDescent="0.3">
      <c r="A820" s="2">
        <v>42456</v>
      </c>
      <c r="B820" s="3">
        <v>58359.83218482013</v>
      </c>
      <c r="C820" s="3">
        <v>57681.569884933917</v>
      </c>
      <c r="D820">
        <v>1466</v>
      </c>
      <c r="E820" s="3">
        <f t="shared" si="48"/>
        <v>39.808889621296132</v>
      </c>
      <c r="F820" s="16">
        <f t="shared" si="49"/>
        <v>678.26229988621344</v>
      </c>
      <c r="G820" s="23">
        <f t="shared" si="50"/>
        <v>1.1622074198880837E-2</v>
      </c>
      <c r="H820" s="3">
        <f t="shared" si="51"/>
        <v>0.46266186895376088</v>
      </c>
    </row>
    <row r="821" spans="1:8" x14ac:dyDescent="0.3">
      <c r="A821" s="2">
        <v>42457</v>
      </c>
      <c r="B821" s="3">
        <v>85605.331920599157</v>
      </c>
      <c r="C821" s="3">
        <v>85022.380920180585</v>
      </c>
      <c r="D821">
        <v>2162</v>
      </c>
      <c r="E821" s="3">
        <f t="shared" si="48"/>
        <v>39.595435670952433</v>
      </c>
      <c r="F821" s="16">
        <f t="shared" si="49"/>
        <v>582.95100041857222</v>
      </c>
      <c r="G821" s="23">
        <f t="shared" si="50"/>
        <v>6.8097510673666003E-3</v>
      </c>
      <c r="H821" s="3">
        <f t="shared" si="51"/>
        <v>0.26963506032311391</v>
      </c>
    </row>
    <row r="822" spans="1:8" x14ac:dyDescent="0.3">
      <c r="A822" s="2">
        <v>42458</v>
      </c>
      <c r="B822" s="3">
        <v>84836.414342129283</v>
      </c>
      <c r="C822" s="3">
        <v>84595.217934805929</v>
      </c>
      <c r="D822">
        <v>2155</v>
      </c>
      <c r="E822" s="3">
        <f t="shared" si="48"/>
        <v>39.367245634398742</v>
      </c>
      <c r="F822" s="16">
        <f t="shared" si="49"/>
        <v>241.19640732335392</v>
      </c>
      <c r="G822" s="23">
        <f t="shared" si="50"/>
        <v>2.8430763981921047E-3</v>
      </c>
      <c r="H822" s="3">
        <f t="shared" si="51"/>
        <v>0.11192408692499022</v>
      </c>
    </row>
    <row r="823" spans="1:8" x14ac:dyDescent="0.3">
      <c r="A823" s="2">
        <v>42459</v>
      </c>
      <c r="B823" s="3">
        <v>64308.91421652049</v>
      </c>
      <c r="C823" s="3">
        <v>68427.59466606575</v>
      </c>
      <c r="D823">
        <v>1746</v>
      </c>
      <c r="E823" s="3">
        <f t="shared" si="48"/>
        <v>36.832138726529493</v>
      </c>
      <c r="F823" s="16">
        <f t="shared" si="49"/>
        <v>-4118.6804495452598</v>
      </c>
      <c r="G823" s="23">
        <f t="shared" si="50"/>
        <v>-6.4045249398522741E-2</v>
      </c>
      <c r="H823" s="3">
        <f t="shared" si="51"/>
        <v>-2.3589235106215694</v>
      </c>
    </row>
    <row r="824" spans="1:8" x14ac:dyDescent="0.3">
      <c r="A824" s="2">
        <v>42460</v>
      </c>
      <c r="B824" s="3">
        <v>131168.48552294759</v>
      </c>
      <c r="C824" s="3">
        <v>138589.10006426301</v>
      </c>
      <c r="D824">
        <v>3554</v>
      </c>
      <c r="E824" s="3">
        <f t="shared" si="48"/>
        <v>36.907283489855821</v>
      </c>
      <c r="F824" s="16">
        <f t="shared" si="49"/>
        <v>-7420.6145413154154</v>
      </c>
      <c r="G824" s="23">
        <f t="shared" si="50"/>
        <v>-5.6573151025801835E-2</v>
      </c>
      <c r="H824" s="3">
        <f t="shared" si="51"/>
        <v>-2.0879613228236957</v>
      </c>
    </row>
    <row r="825" spans="1:8" x14ac:dyDescent="0.3">
      <c r="A825" s="2">
        <v>42461</v>
      </c>
      <c r="B825" s="3">
        <v>232410.19797781549</v>
      </c>
      <c r="C825" s="3">
        <v>245358.62998053379</v>
      </c>
      <c r="D825">
        <v>6282</v>
      </c>
      <c r="E825" s="3">
        <f t="shared" si="48"/>
        <v>36.996211075742679</v>
      </c>
      <c r="F825" s="16">
        <f t="shared" si="49"/>
        <v>-12948.432002718298</v>
      </c>
      <c r="G825" s="23">
        <f t="shared" si="50"/>
        <v>-5.5713699809137804E-2</v>
      </c>
      <c r="H825" s="3">
        <f t="shared" si="51"/>
        <v>-2.0611957979494266</v>
      </c>
    </row>
    <row r="826" spans="1:8" x14ac:dyDescent="0.3">
      <c r="A826" s="2">
        <v>42462</v>
      </c>
      <c r="B826" s="3">
        <v>195831.0974571179</v>
      </c>
      <c r="C826" s="3">
        <v>205442.82809681169</v>
      </c>
      <c r="D826">
        <v>5259</v>
      </c>
      <c r="E826" s="3">
        <f t="shared" si="48"/>
        <v>37.237326004395875</v>
      </c>
      <c r="F826" s="16">
        <f t="shared" si="49"/>
        <v>-9611.7306396937929</v>
      </c>
      <c r="G826" s="23">
        <f t="shared" si="50"/>
        <v>-4.9081738112602476E-2</v>
      </c>
      <c r="H826" s="3">
        <f t="shared" si="51"/>
        <v>-1.8276726829613601</v>
      </c>
    </row>
    <row r="827" spans="1:8" x14ac:dyDescent="0.3">
      <c r="A827" s="2">
        <v>42463</v>
      </c>
      <c r="B827" s="3">
        <v>90716.547889139882</v>
      </c>
      <c r="C827" s="3">
        <v>95543.133646196758</v>
      </c>
      <c r="D827">
        <v>2446</v>
      </c>
      <c r="E827" s="3">
        <f t="shared" si="48"/>
        <v>37.087713773156125</v>
      </c>
      <c r="F827" s="16">
        <f t="shared" si="49"/>
        <v>-4826.5857570568769</v>
      </c>
      <c r="G827" s="23">
        <f t="shared" si="50"/>
        <v>-5.3205130368884891E-2</v>
      </c>
      <c r="H827" s="3">
        <f t="shared" si="51"/>
        <v>-1.9732566463846595</v>
      </c>
    </row>
    <row r="828" spans="1:8" x14ac:dyDescent="0.3">
      <c r="A828" s="2">
        <v>42464</v>
      </c>
      <c r="B828" s="3">
        <v>131638.01960717639</v>
      </c>
      <c r="C828" s="3">
        <v>130700.1889420074</v>
      </c>
      <c r="D828">
        <v>3345</v>
      </c>
      <c r="E828" s="3">
        <f t="shared" si="48"/>
        <v>39.353668043998923</v>
      </c>
      <c r="F828" s="16">
        <f t="shared" si="49"/>
        <v>937.83066516899271</v>
      </c>
      <c r="G828" s="23">
        <f t="shared" si="50"/>
        <v>7.1243146012648292E-3</v>
      </c>
      <c r="H828" s="3">
        <f t="shared" si="51"/>
        <v>0.28036791185919063</v>
      </c>
    </row>
    <row r="829" spans="1:8" x14ac:dyDescent="0.3">
      <c r="A829" s="2">
        <v>42465</v>
      </c>
      <c r="B829" s="3">
        <v>81910.872618989408</v>
      </c>
      <c r="C829" s="3">
        <v>79969.510545293015</v>
      </c>
      <c r="D829">
        <v>2048</v>
      </c>
      <c r="E829" s="3">
        <f t="shared" si="48"/>
        <v>39.995543270990922</v>
      </c>
      <c r="F829" s="16">
        <f t="shared" si="49"/>
        <v>1941.3620736963931</v>
      </c>
      <c r="G829" s="23">
        <f t="shared" si="50"/>
        <v>2.3700908214306177E-2</v>
      </c>
      <c r="H829" s="3">
        <f t="shared" si="51"/>
        <v>0.94793070004706692</v>
      </c>
    </row>
    <row r="830" spans="1:8" x14ac:dyDescent="0.3">
      <c r="A830" s="2">
        <v>42466</v>
      </c>
      <c r="B830" s="3">
        <v>54821.908513709888</v>
      </c>
      <c r="C830" s="3">
        <v>50800.008514759313</v>
      </c>
      <c r="D830">
        <v>1303</v>
      </c>
      <c r="E830" s="3">
        <f t="shared" si="48"/>
        <v>42.073605919961544</v>
      </c>
      <c r="F830" s="16">
        <f t="shared" si="49"/>
        <v>4021.8999989505755</v>
      </c>
      <c r="G830" s="23">
        <f t="shared" si="50"/>
        <v>7.3363005922071775E-2</v>
      </c>
      <c r="H830" s="3">
        <f t="shared" si="51"/>
        <v>3.0866462002690525</v>
      </c>
    </row>
    <row r="831" spans="1:8" x14ac:dyDescent="0.3">
      <c r="A831" s="2">
        <v>42467</v>
      </c>
      <c r="B831" s="3">
        <v>155615.41941446639</v>
      </c>
      <c r="C831" s="3">
        <v>171592.12587915739</v>
      </c>
      <c r="D831">
        <v>4413</v>
      </c>
      <c r="E831" s="3">
        <f t="shared" si="48"/>
        <v>35.262954773275865</v>
      </c>
      <c r="F831" s="16">
        <f t="shared" si="49"/>
        <v>-15976.706464691</v>
      </c>
      <c r="G831" s="23">
        <f t="shared" si="50"/>
        <v>-0.10266788808465446</v>
      </c>
      <c r="H831" s="3">
        <f t="shared" si="51"/>
        <v>-3.6203730941969181</v>
      </c>
    </row>
    <row r="832" spans="1:8" x14ac:dyDescent="0.3">
      <c r="A832" s="2">
        <v>42468</v>
      </c>
      <c r="B832" s="3">
        <v>264086.89378034999</v>
      </c>
      <c r="C832" s="3">
        <v>291378.57980277447</v>
      </c>
      <c r="D832">
        <v>7494</v>
      </c>
      <c r="E832" s="3">
        <f t="shared" si="48"/>
        <v>35.239777659507602</v>
      </c>
      <c r="F832" s="16">
        <f t="shared" si="49"/>
        <v>-27291.686022424488</v>
      </c>
      <c r="G832" s="23">
        <f t="shared" si="50"/>
        <v>-0.10334358374150861</v>
      </c>
      <c r="H832" s="3">
        <f t="shared" si="51"/>
        <v>-3.6418049135874684</v>
      </c>
    </row>
    <row r="833" spans="1:8" x14ac:dyDescent="0.3">
      <c r="A833" s="2">
        <v>42469</v>
      </c>
      <c r="B833" s="3">
        <v>272761.29754268879</v>
      </c>
      <c r="C833" s="3">
        <v>298164.41609707451</v>
      </c>
      <c r="D833">
        <v>7738</v>
      </c>
      <c r="E833" s="3">
        <f t="shared" si="48"/>
        <v>35.249586138884567</v>
      </c>
      <c r="F833" s="16">
        <f t="shared" si="49"/>
        <v>-25403.118554385728</v>
      </c>
      <c r="G833" s="23">
        <f t="shared" si="50"/>
        <v>-9.3133148959338663E-2</v>
      </c>
      <c r="H833" s="3">
        <f t="shared" si="51"/>
        <v>-3.2829049566277755</v>
      </c>
    </row>
    <row r="834" spans="1:8" x14ac:dyDescent="0.3">
      <c r="A834" s="2">
        <v>42470</v>
      </c>
      <c r="B834" s="3">
        <v>104689.4279184585</v>
      </c>
      <c r="C834" s="3">
        <v>113609.3042530743</v>
      </c>
      <c r="D834">
        <v>2958</v>
      </c>
      <c r="E834" s="3">
        <f t="shared" ref="E834:E897" si="52">B834/D834</f>
        <v>35.391963461277385</v>
      </c>
      <c r="F834" s="16">
        <f t="shared" ref="F834:F897" si="53">B834-C834</f>
        <v>-8919.8763346157939</v>
      </c>
      <c r="G834" s="23">
        <f t="shared" ref="G834:G897" si="54">F834/B834</f>
        <v>-8.5203219770800462E-2</v>
      </c>
      <c r="H834" s="3">
        <f t="shared" ref="H834:H897" si="55">F834/D834</f>
        <v>-3.0155092409113569</v>
      </c>
    </row>
    <row r="835" spans="1:8" x14ac:dyDescent="0.3">
      <c r="A835" s="2">
        <v>42471</v>
      </c>
      <c r="B835" s="3">
        <v>131170.5969337764</v>
      </c>
      <c r="C835" s="3">
        <v>142022.81259344591</v>
      </c>
      <c r="D835">
        <v>3713</v>
      </c>
      <c r="E835" s="3">
        <f t="shared" si="52"/>
        <v>35.327389424663721</v>
      </c>
      <c r="F835" s="16">
        <f t="shared" si="53"/>
        <v>-10852.215659669513</v>
      </c>
      <c r="G835" s="23">
        <f t="shared" si="54"/>
        <v>-8.2733599704119892E-2</v>
      </c>
      <c r="H835" s="3">
        <f t="shared" si="55"/>
        <v>-2.9227620952516866</v>
      </c>
    </row>
    <row r="836" spans="1:8" x14ac:dyDescent="0.3">
      <c r="A836" s="2">
        <v>42472</v>
      </c>
      <c r="B836" s="3">
        <v>123179.4894003888</v>
      </c>
      <c r="C836" s="3">
        <v>132714.96020410041</v>
      </c>
      <c r="D836">
        <v>3504</v>
      </c>
      <c r="E836" s="3">
        <f t="shared" si="52"/>
        <v>35.153963869973971</v>
      </c>
      <c r="F836" s="16">
        <f t="shared" si="53"/>
        <v>-9535.470803711607</v>
      </c>
      <c r="G836" s="23">
        <f t="shared" si="54"/>
        <v>-7.7411189558653171E-2</v>
      </c>
      <c r="H836" s="3">
        <f t="shared" si="55"/>
        <v>-2.7213101608766004</v>
      </c>
    </row>
    <row r="837" spans="1:8" x14ac:dyDescent="0.3">
      <c r="A837" s="2">
        <v>42473</v>
      </c>
      <c r="B837" s="3">
        <v>124431.0463716888</v>
      </c>
      <c r="C837" s="3">
        <v>132889.05689693731</v>
      </c>
      <c r="D837">
        <v>3534</v>
      </c>
      <c r="E837" s="3">
        <f t="shared" si="52"/>
        <v>35.209690540941935</v>
      </c>
      <c r="F837" s="16">
        <f t="shared" si="53"/>
        <v>-8458.0105252485082</v>
      </c>
      <c r="G837" s="23">
        <f t="shared" si="54"/>
        <v>-6.7973474240371881E-2</v>
      </c>
      <c r="H837" s="3">
        <f t="shared" si="55"/>
        <v>-2.3933249929961824</v>
      </c>
    </row>
    <row r="838" spans="1:8" x14ac:dyDescent="0.3">
      <c r="A838" s="2">
        <v>42474</v>
      </c>
      <c r="B838" s="3">
        <v>162166.83599087509</v>
      </c>
      <c r="C838" s="3">
        <v>172225.65270563861</v>
      </c>
      <c r="D838">
        <v>4601</v>
      </c>
      <c r="E838" s="3">
        <f t="shared" si="52"/>
        <v>35.2459978245762</v>
      </c>
      <c r="F838" s="16">
        <f t="shared" si="53"/>
        <v>-10058.816714763525</v>
      </c>
      <c r="G838" s="23">
        <f t="shared" si="54"/>
        <v>-6.2027581985564059E-2</v>
      </c>
      <c r="H838" s="3">
        <f t="shared" si="55"/>
        <v>-2.1862240197269127</v>
      </c>
    </row>
    <row r="839" spans="1:8" x14ac:dyDescent="0.3">
      <c r="A839" s="2">
        <v>42475</v>
      </c>
      <c r="B839" s="3">
        <v>354042.02323982882</v>
      </c>
      <c r="C839" s="3">
        <v>373200.30598406307</v>
      </c>
      <c r="D839">
        <v>10045</v>
      </c>
      <c r="E839" s="3">
        <f t="shared" si="52"/>
        <v>35.245597136866984</v>
      </c>
      <c r="F839" s="16">
        <f t="shared" si="53"/>
        <v>-19158.282744234253</v>
      </c>
      <c r="G839" s="23">
        <f t="shared" si="54"/>
        <v>-5.4113019039144943E-2</v>
      </c>
      <c r="H839" s="3">
        <f t="shared" si="55"/>
        <v>-1.9072456689133155</v>
      </c>
    </row>
    <row r="840" spans="1:8" x14ac:dyDescent="0.3">
      <c r="A840" s="2">
        <v>42476</v>
      </c>
      <c r="B840" s="3">
        <v>327352.26139595878</v>
      </c>
      <c r="C840" s="3">
        <v>345338.62806920632</v>
      </c>
      <c r="D840">
        <v>9301</v>
      </c>
      <c r="E840" s="3">
        <f t="shared" si="52"/>
        <v>35.195383442206079</v>
      </c>
      <c r="F840" s="16">
        <f t="shared" si="53"/>
        <v>-17986.366673247539</v>
      </c>
      <c r="G840" s="23">
        <f t="shared" si="54"/>
        <v>-5.4944989830058293E-2</v>
      </c>
      <c r="H840" s="3">
        <f t="shared" si="55"/>
        <v>-1.9338099852970154</v>
      </c>
    </row>
    <row r="841" spans="1:8" x14ac:dyDescent="0.3">
      <c r="A841" s="2">
        <v>42477</v>
      </c>
      <c r="B841" s="3">
        <v>164809.3030482539</v>
      </c>
      <c r="C841" s="3">
        <v>175167.42875982969</v>
      </c>
      <c r="D841">
        <v>4678</v>
      </c>
      <c r="E841" s="3">
        <f t="shared" si="52"/>
        <v>35.230718907279588</v>
      </c>
      <c r="F841" s="16">
        <f t="shared" si="53"/>
        <v>-10358.125711575791</v>
      </c>
      <c r="G841" s="23">
        <f t="shared" si="54"/>
        <v>-6.2849156691980393E-2</v>
      </c>
      <c r="H841" s="3">
        <f t="shared" si="55"/>
        <v>-2.2142209729747306</v>
      </c>
    </row>
    <row r="842" spans="1:8" x14ac:dyDescent="0.3">
      <c r="A842" s="2">
        <v>42478</v>
      </c>
      <c r="B842" s="3">
        <v>151157.79430871521</v>
      </c>
      <c r="C842" s="3">
        <v>159828.76503430531</v>
      </c>
      <c r="D842">
        <v>4294</v>
      </c>
      <c r="E842" s="3">
        <f t="shared" si="52"/>
        <v>35.202094622430181</v>
      </c>
      <c r="F842" s="16">
        <f t="shared" si="53"/>
        <v>-8670.9707255901012</v>
      </c>
      <c r="G842" s="23">
        <f t="shared" si="54"/>
        <v>-5.7363702382961831E-2</v>
      </c>
      <c r="H842" s="3">
        <f t="shared" si="55"/>
        <v>-2.0193224791779461</v>
      </c>
    </row>
    <row r="843" spans="1:8" x14ac:dyDescent="0.3">
      <c r="A843" s="2">
        <v>42479</v>
      </c>
      <c r="B843" s="3">
        <v>126895.93649753759</v>
      </c>
      <c r="C843" s="3">
        <v>133726.28056152479</v>
      </c>
      <c r="D843">
        <v>3606</v>
      </c>
      <c r="E843" s="3">
        <f t="shared" si="52"/>
        <v>35.1902208811807</v>
      </c>
      <c r="F843" s="16">
        <f t="shared" si="53"/>
        <v>-6830.3440639871988</v>
      </c>
      <c r="G843" s="23">
        <f t="shared" si="54"/>
        <v>-5.3826341902758576E-2</v>
      </c>
      <c r="H843" s="3">
        <f t="shared" si="55"/>
        <v>-1.8941608607840263</v>
      </c>
    </row>
    <row r="844" spans="1:8" x14ac:dyDescent="0.3">
      <c r="A844" s="2">
        <v>42480</v>
      </c>
      <c r="B844" s="3">
        <v>166395.44582884011</v>
      </c>
      <c r="C844" s="3">
        <v>179020.54245850781</v>
      </c>
      <c r="D844">
        <v>4838</v>
      </c>
      <c r="E844" s="3">
        <f t="shared" si="52"/>
        <v>34.393436508648222</v>
      </c>
      <c r="F844" s="16">
        <f t="shared" si="53"/>
        <v>-12625.096629667707</v>
      </c>
      <c r="G844" s="23">
        <f t="shared" si="54"/>
        <v>-7.5874051520943078E-2</v>
      </c>
      <c r="H844" s="3">
        <f t="shared" si="55"/>
        <v>-2.6095693736394598</v>
      </c>
    </row>
    <row r="845" spans="1:8" x14ac:dyDescent="0.3">
      <c r="A845" s="2">
        <v>42481</v>
      </c>
      <c r="B845" s="3">
        <v>167796.35478000139</v>
      </c>
      <c r="C845" s="3">
        <v>182485.09893705399</v>
      </c>
      <c r="D845">
        <v>4914</v>
      </c>
      <c r="E845" s="3">
        <f t="shared" si="52"/>
        <v>34.146592344322627</v>
      </c>
      <c r="F845" s="16">
        <f t="shared" si="53"/>
        <v>-14688.744157052599</v>
      </c>
      <c r="G845" s="23">
        <f t="shared" si="54"/>
        <v>-8.7539113566031168E-2</v>
      </c>
      <c r="H845" s="3">
        <f t="shared" si="55"/>
        <v>-2.989162425122629</v>
      </c>
    </row>
    <row r="846" spans="1:8" x14ac:dyDescent="0.3">
      <c r="A846" s="2">
        <v>42482</v>
      </c>
      <c r="B846" s="3">
        <v>351146.01699924428</v>
      </c>
      <c r="C846" s="3">
        <v>380098.15640387451</v>
      </c>
      <c r="D846">
        <v>10269</v>
      </c>
      <c r="E846" s="3">
        <f t="shared" si="52"/>
        <v>34.194762586351573</v>
      </c>
      <c r="F846" s="16">
        <f t="shared" si="53"/>
        <v>-28952.13940463023</v>
      </c>
      <c r="G846" s="23">
        <f t="shared" si="54"/>
        <v>-8.2450428035732326E-2</v>
      </c>
      <c r="H846" s="3">
        <f t="shared" si="55"/>
        <v>-2.8193728118249322</v>
      </c>
    </row>
    <row r="847" spans="1:8" x14ac:dyDescent="0.3">
      <c r="A847" s="2">
        <v>42483</v>
      </c>
      <c r="B847" s="3">
        <v>420738.8217596446</v>
      </c>
      <c r="C847" s="3">
        <v>455415.34932802978</v>
      </c>
      <c r="D847">
        <v>12317</v>
      </c>
      <c r="E847" s="3">
        <f t="shared" si="52"/>
        <v>34.159196375711993</v>
      </c>
      <c r="F847" s="16">
        <f t="shared" si="53"/>
        <v>-34676.52756838518</v>
      </c>
      <c r="G847" s="23">
        <f t="shared" si="54"/>
        <v>-8.2418179105409092E-2</v>
      </c>
      <c r="H847" s="3">
        <f t="shared" si="55"/>
        <v>-2.8153387649902721</v>
      </c>
    </row>
    <row r="848" spans="1:8" x14ac:dyDescent="0.3">
      <c r="A848" s="2">
        <v>42484</v>
      </c>
      <c r="B848" s="3">
        <v>186166.15078643881</v>
      </c>
      <c r="C848" s="3">
        <v>202391.17869529041</v>
      </c>
      <c r="D848">
        <v>5453</v>
      </c>
      <c r="E848" s="3">
        <f t="shared" si="52"/>
        <v>34.140134015484833</v>
      </c>
      <c r="F848" s="16">
        <f t="shared" si="53"/>
        <v>-16225.027908851596</v>
      </c>
      <c r="G848" s="23">
        <f t="shared" si="54"/>
        <v>-8.7153480051613663E-2</v>
      </c>
      <c r="H848" s="3">
        <f t="shared" si="55"/>
        <v>-2.9754314888779749</v>
      </c>
    </row>
    <row r="849" spans="1:8" x14ac:dyDescent="0.3">
      <c r="A849" s="2">
        <v>42485</v>
      </c>
      <c r="B849" s="3">
        <v>251449.52963919111</v>
      </c>
      <c r="C849" s="3">
        <v>273255.0985307931</v>
      </c>
      <c r="D849">
        <v>7372</v>
      </c>
      <c r="E849" s="3">
        <f t="shared" si="52"/>
        <v>34.108726212586966</v>
      </c>
      <c r="F849" s="16">
        <f t="shared" si="53"/>
        <v>-21805.568891601986</v>
      </c>
      <c r="G849" s="23">
        <f t="shared" si="54"/>
        <v>-8.6719465822390443E-2</v>
      </c>
      <c r="H849" s="3">
        <f t="shared" si="55"/>
        <v>-2.9578905170377086</v>
      </c>
    </row>
    <row r="850" spans="1:8" x14ac:dyDescent="0.3">
      <c r="A850" s="2">
        <v>42486</v>
      </c>
      <c r="B850" s="3">
        <v>280321.81074676593</v>
      </c>
      <c r="C850" s="3">
        <v>302469.83197523467</v>
      </c>
      <c r="D850">
        <v>8211</v>
      </c>
      <c r="E850" s="3">
        <f t="shared" si="52"/>
        <v>34.13978939797417</v>
      </c>
      <c r="F850" s="16">
        <f t="shared" si="53"/>
        <v>-22148.021228468744</v>
      </c>
      <c r="G850" s="23">
        <f t="shared" si="54"/>
        <v>-7.9009268559828844E-2</v>
      </c>
      <c r="H850" s="3">
        <f t="shared" si="55"/>
        <v>-2.6973597891205388</v>
      </c>
    </row>
    <row r="851" spans="1:8" x14ac:dyDescent="0.3">
      <c r="A851" s="2">
        <v>42487</v>
      </c>
      <c r="B851" s="3">
        <v>313434.93331366457</v>
      </c>
      <c r="C851" s="3">
        <v>337931.11696619709</v>
      </c>
      <c r="D851">
        <v>9182</v>
      </c>
      <c r="E851" s="3">
        <f t="shared" si="52"/>
        <v>34.135801929172793</v>
      </c>
      <c r="F851" s="16">
        <f t="shared" si="53"/>
        <v>-24496.18365253252</v>
      </c>
      <c r="G851" s="23">
        <f t="shared" si="54"/>
        <v>-7.8153967694527496E-2</v>
      </c>
      <c r="H851" s="3">
        <f t="shared" si="55"/>
        <v>-2.6678483611993595</v>
      </c>
    </row>
    <row r="852" spans="1:8" x14ac:dyDescent="0.3">
      <c r="A852" s="2">
        <v>42488</v>
      </c>
      <c r="B852" s="3">
        <v>257324.60308093971</v>
      </c>
      <c r="C852" s="3">
        <v>276852.17994257738</v>
      </c>
      <c r="D852">
        <v>7520</v>
      </c>
      <c r="E852" s="3">
        <f t="shared" si="52"/>
        <v>34.218697218210067</v>
      </c>
      <c r="F852" s="16">
        <f t="shared" si="53"/>
        <v>-19527.576861637674</v>
      </c>
      <c r="G852" s="23">
        <f t="shared" si="54"/>
        <v>-7.5886940571692665E-2</v>
      </c>
      <c r="H852" s="3">
        <f t="shared" si="55"/>
        <v>-2.5967522422390523</v>
      </c>
    </row>
    <row r="853" spans="1:8" x14ac:dyDescent="0.3">
      <c r="A853" s="2">
        <v>42489</v>
      </c>
      <c r="B853" s="3">
        <v>455554.33604822948</v>
      </c>
      <c r="C853" s="3">
        <v>489215.06753789558</v>
      </c>
      <c r="D853">
        <v>13321</v>
      </c>
      <c r="E853" s="3">
        <f t="shared" si="52"/>
        <v>34.198208546522743</v>
      </c>
      <c r="F853" s="16">
        <f t="shared" si="53"/>
        <v>-33660.731489666097</v>
      </c>
      <c r="G853" s="23">
        <f t="shared" si="54"/>
        <v>-7.388960838713747E-2</v>
      </c>
      <c r="H853" s="3">
        <f t="shared" si="55"/>
        <v>-2.5268922370442231</v>
      </c>
    </row>
    <row r="854" spans="1:8" x14ac:dyDescent="0.3">
      <c r="A854" s="2">
        <v>42490</v>
      </c>
      <c r="B854" s="3">
        <v>556865.20327505236</v>
      </c>
      <c r="C854" s="3">
        <v>598925.66788870073</v>
      </c>
      <c r="D854">
        <v>16276</v>
      </c>
      <c r="E854" s="3">
        <f t="shared" si="52"/>
        <v>34.213885676766552</v>
      </c>
      <c r="F854" s="16">
        <f t="shared" si="53"/>
        <v>-42060.464613648364</v>
      </c>
      <c r="G854" s="23">
        <f t="shared" si="54"/>
        <v>-7.5530782613603964E-2</v>
      </c>
      <c r="H854" s="3">
        <f t="shared" si="55"/>
        <v>-2.5842015614185527</v>
      </c>
    </row>
    <row r="855" spans="1:8" x14ac:dyDescent="0.3">
      <c r="A855" s="2">
        <v>42491</v>
      </c>
      <c r="B855" s="3">
        <v>354856.04492208688</v>
      </c>
      <c r="C855" s="3">
        <v>380511.15915810911</v>
      </c>
      <c r="D855">
        <v>10388</v>
      </c>
      <c r="E855" s="3">
        <f t="shared" si="52"/>
        <v>34.160189153069588</v>
      </c>
      <c r="F855" s="16">
        <f t="shared" si="53"/>
        <v>-25655.114236022229</v>
      </c>
      <c r="G855" s="23">
        <f t="shared" si="54"/>
        <v>-7.2297244483055467E-2</v>
      </c>
      <c r="H855" s="3">
        <f t="shared" si="55"/>
        <v>-2.4696875467868917</v>
      </c>
    </row>
    <row r="856" spans="1:8" x14ac:dyDescent="0.3">
      <c r="A856" s="2">
        <v>42492</v>
      </c>
      <c r="B856" s="3">
        <v>283284.5812539708</v>
      </c>
      <c r="C856" s="3">
        <v>304997.85181689629</v>
      </c>
      <c r="D856">
        <v>8298</v>
      </c>
      <c r="E856" s="3">
        <f t="shared" si="52"/>
        <v>34.138898680883443</v>
      </c>
      <c r="F856" s="16">
        <f t="shared" si="53"/>
        <v>-21713.270562925492</v>
      </c>
      <c r="G856" s="23">
        <f t="shared" si="54"/>
        <v>-7.6648261147185676E-2</v>
      </c>
      <c r="H856" s="3">
        <f t="shared" si="55"/>
        <v>-2.6166872213696664</v>
      </c>
    </row>
    <row r="857" spans="1:8" x14ac:dyDescent="0.3">
      <c r="A857" s="2">
        <v>42493</v>
      </c>
      <c r="B857" s="3">
        <v>297500.67396872578</v>
      </c>
      <c r="C857" s="3">
        <v>319786.35946856107</v>
      </c>
      <c r="D857">
        <v>8717</v>
      </c>
      <c r="E857" s="3">
        <f t="shared" si="52"/>
        <v>34.128791323703773</v>
      </c>
      <c r="F857" s="16">
        <f t="shared" si="53"/>
        <v>-22285.685499835294</v>
      </c>
      <c r="G857" s="23">
        <f t="shared" si="54"/>
        <v>-7.4909697522829929E-2</v>
      </c>
      <c r="H857" s="3">
        <f t="shared" si="55"/>
        <v>-2.5565774348784323</v>
      </c>
    </row>
    <row r="858" spans="1:8" x14ac:dyDescent="0.3">
      <c r="A858" s="2">
        <v>42494</v>
      </c>
      <c r="B858" s="3">
        <v>285968.48778251972</v>
      </c>
      <c r="C858" s="3">
        <v>305506.9982349475</v>
      </c>
      <c r="D858">
        <v>8364</v>
      </c>
      <c r="E858" s="3">
        <f t="shared" si="52"/>
        <v>34.190397869741716</v>
      </c>
      <c r="F858" s="16">
        <f t="shared" si="53"/>
        <v>-19538.510452427785</v>
      </c>
      <c r="G858" s="23">
        <f t="shared" si="54"/>
        <v>-6.8323998227689017E-2</v>
      </c>
      <c r="H858" s="3">
        <f t="shared" si="55"/>
        <v>-2.3360246834562153</v>
      </c>
    </row>
    <row r="859" spans="1:8" x14ac:dyDescent="0.3">
      <c r="A859" s="2">
        <v>42495</v>
      </c>
      <c r="B859" s="3">
        <v>237946.63267226369</v>
      </c>
      <c r="C859" s="3">
        <v>254527.41550552609</v>
      </c>
      <c r="D859">
        <v>6968</v>
      </c>
      <c r="E859" s="3">
        <f t="shared" si="52"/>
        <v>34.14848344894714</v>
      </c>
      <c r="F859" s="16">
        <f t="shared" si="53"/>
        <v>-16580.782833262405</v>
      </c>
      <c r="G859" s="23">
        <f t="shared" si="54"/>
        <v>-6.9682779903424738E-2</v>
      </c>
      <c r="H859" s="3">
        <f t="shared" si="55"/>
        <v>-2.3795612562087265</v>
      </c>
    </row>
    <row r="860" spans="1:8" x14ac:dyDescent="0.3">
      <c r="A860" s="2">
        <v>42496</v>
      </c>
      <c r="B860" s="3">
        <v>340851.5058648595</v>
      </c>
      <c r="C860" s="3">
        <v>364361.03286413848</v>
      </c>
      <c r="D860">
        <v>9973</v>
      </c>
      <c r="E860" s="3">
        <f t="shared" si="52"/>
        <v>34.177429646531586</v>
      </c>
      <c r="F860" s="16">
        <f t="shared" si="53"/>
        <v>-23509.526999278984</v>
      </c>
      <c r="G860" s="23">
        <f t="shared" si="54"/>
        <v>-6.8972929838250499E-2</v>
      </c>
      <c r="H860" s="3">
        <f t="shared" si="55"/>
        <v>-2.3573174570619657</v>
      </c>
    </row>
    <row r="861" spans="1:8" x14ac:dyDescent="0.3">
      <c r="A861" s="2">
        <v>42497</v>
      </c>
      <c r="B861" s="3">
        <v>388187.60143352812</v>
      </c>
      <c r="C861" s="3">
        <v>414644.62349081138</v>
      </c>
      <c r="D861">
        <v>11363</v>
      </c>
      <c r="E861" s="3">
        <f t="shared" si="52"/>
        <v>34.162422021783698</v>
      </c>
      <c r="F861" s="16">
        <f t="shared" si="53"/>
        <v>-26457.022057283262</v>
      </c>
      <c r="G861" s="23">
        <f t="shared" si="54"/>
        <v>-6.8155247513266265E-2</v>
      </c>
      <c r="H861" s="3">
        <f t="shared" si="55"/>
        <v>-2.3283483285473259</v>
      </c>
    </row>
    <row r="862" spans="1:8" x14ac:dyDescent="0.3">
      <c r="A862" s="2">
        <v>42498</v>
      </c>
      <c r="B862" s="3">
        <v>139178.98405924521</v>
      </c>
      <c r="C862" s="3">
        <v>148731.0905273041</v>
      </c>
      <c r="D862">
        <v>4074</v>
      </c>
      <c r="E862" s="3">
        <f t="shared" si="52"/>
        <v>34.162735409731276</v>
      </c>
      <c r="F862" s="16">
        <f t="shared" si="53"/>
        <v>-9552.1064680588897</v>
      </c>
      <c r="G862" s="23">
        <f t="shared" si="54"/>
        <v>-6.8631816309226573E-2</v>
      </c>
      <c r="H862" s="3">
        <f t="shared" si="55"/>
        <v>-2.3446505812613867</v>
      </c>
    </row>
    <row r="863" spans="1:8" x14ac:dyDescent="0.3">
      <c r="A863" s="2">
        <v>42499</v>
      </c>
      <c r="B863" s="3">
        <v>66400.30304726951</v>
      </c>
      <c r="C863" s="3">
        <v>57741.738907512547</v>
      </c>
      <c r="D863">
        <v>1579</v>
      </c>
      <c r="E863" s="3">
        <f t="shared" si="52"/>
        <v>42.05212352581983</v>
      </c>
      <c r="F863" s="16">
        <f t="shared" si="53"/>
        <v>8658.5641397569634</v>
      </c>
      <c r="G863" s="23">
        <f t="shared" si="54"/>
        <v>0.13039946720714579</v>
      </c>
      <c r="H863" s="3">
        <f t="shared" si="55"/>
        <v>5.483574502695987</v>
      </c>
    </row>
    <row r="864" spans="1:8" x14ac:dyDescent="0.3">
      <c r="A864" s="2">
        <v>42500</v>
      </c>
      <c r="B864" s="3">
        <v>42723.524457810243</v>
      </c>
      <c r="C864" s="3">
        <v>37112.985056990263</v>
      </c>
      <c r="D864">
        <v>1016</v>
      </c>
      <c r="E864" s="3">
        <f t="shared" si="52"/>
        <v>42.050713049025831</v>
      </c>
      <c r="F864" s="16">
        <f t="shared" si="53"/>
        <v>5610.5394008199801</v>
      </c>
      <c r="G864" s="23">
        <f t="shared" si="54"/>
        <v>0.13132201689868597</v>
      </c>
      <c r="H864" s="3">
        <f t="shared" si="55"/>
        <v>5.5221844496259642</v>
      </c>
    </row>
    <row r="865" spans="1:8" x14ac:dyDescent="0.3">
      <c r="A865" s="2">
        <v>42501</v>
      </c>
      <c r="B865" s="3">
        <v>35014.399481130247</v>
      </c>
      <c r="C865" s="3">
        <v>30393.74011981647</v>
      </c>
      <c r="D865">
        <v>832</v>
      </c>
      <c r="E865" s="3">
        <f t="shared" si="52"/>
        <v>42.084614760973857</v>
      </c>
      <c r="F865" s="16">
        <f t="shared" si="53"/>
        <v>4620.6593613137775</v>
      </c>
      <c r="G865" s="23">
        <f t="shared" si="54"/>
        <v>0.13196454686603767</v>
      </c>
      <c r="H865" s="3">
        <f t="shared" si="55"/>
        <v>5.5536771169636747</v>
      </c>
    </row>
    <row r="866" spans="1:8" x14ac:dyDescent="0.3">
      <c r="A866" s="2">
        <v>42502</v>
      </c>
      <c r="B866" s="3">
        <v>27210.406631640119</v>
      </c>
      <c r="C866" s="3">
        <v>23570.159155417459</v>
      </c>
      <c r="D866">
        <v>647</v>
      </c>
      <c r="E866" s="3">
        <f t="shared" si="52"/>
        <v>42.056269909799255</v>
      </c>
      <c r="F866" s="16">
        <f t="shared" si="53"/>
        <v>3640.2474762226593</v>
      </c>
      <c r="G866" s="23">
        <f t="shared" si="54"/>
        <v>0.13378144345662951</v>
      </c>
      <c r="H866" s="3">
        <f t="shared" si="55"/>
        <v>5.6263484949345584</v>
      </c>
    </row>
    <row r="867" spans="1:8" x14ac:dyDescent="0.3">
      <c r="A867" s="2">
        <v>42503</v>
      </c>
      <c r="B867" s="3">
        <v>79840.0882456494</v>
      </c>
      <c r="C867" s="3">
        <v>69078.714144542624</v>
      </c>
      <c r="D867">
        <v>1898</v>
      </c>
      <c r="E867" s="3">
        <f t="shared" si="52"/>
        <v>42.065378422365335</v>
      </c>
      <c r="F867" s="16">
        <f t="shared" si="53"/>
        <v>10761.374101106776</v>
      </c>
      <c r="G867" s="23">
        <f t="shared" si="54"/>
        <v>0.13478660078626828</v>
      </c>
      <c r="H867" s="3">
        <f t="shared" si="55"/>
        <v>5.6698493683386593</v>
      </c>
    </row>
    <row r="868" spans="1:8" x14ac:dyDescent="0.3">
      <c r="A868" s="2">
        <v>42504</v>
      </c>
      <c r="B868" s="3">
        <v>82484.448292049157</v>
      </c>
      <c r="C868" s="3">
        <v>71426.011644710306</v>
      </c>
      <c r="D868">
        <v>1961</v>
      </c>
      <c r="E868" s="3">
        <f t="shared" si="52"/>
        <v>42.062441760351433</v>
      </c>
      <c r="F868" s="16">
        <f t="shared" si="53"/>
        <v>11058.436647338851</v>
      </c>
      <c r="G868" s="23">
        <f t="shared" si="54"/>
        <v>0.13406692869163309</v>
      </c>
      <c r="H868" s="3">
        <f t="shared" si="55"/>
        <v>5.6391823800810048</v>
      </c>
    </row>
    <row r="869" spans="1:8" x14ac:dyDescent="0.3">
      <c r="A869" s="2">
        <v>42505</v>
      </c>
      <c r="B869" s="3">
        <v>51497.237336430007</v>
      </c>
      <c r="C869" s="3">
        <v>44611.939679509756</v>
      </c>
      <c r="D869">
        <v>1224</v>
      </c>
      <c r="E869" s="3">
        <f t="shared" si="52"/>
        <v>42.072906320612752</v>
      </c>
      <c r="F869" s="16">
        <f t="shared" si="53"/>
        <v>6885.297656920251</v>
      </c>
      <c r="G869" s="23">
        <f t="shared" si="54"/>
        <v>0.13370227245276858</v>
      </c>
      <c r="H869" s="3">
        <f t="shared" si="55"/>
        <v>5.625243183758375</v>
      </c>
    </row>
    <row r="870" spans="1:8" x14ac:dyDescent="0.3">
      <c r="A870" s="2">
        <v>42506</v>
      </c>
      <c r="B870" s="3">
        <v>42871.832866800367</v>
      </c>
      <c r="C870" s="3">
        <v>37139.308256889854</v>
      </c>
      <c r="D870">
        <v>1019</v>
      </c>
      <c r="E870" s="3">
        <f t="shared" si="52"/>
        <v>42.072456199019008</v>
      </c>
      <c r="F870" s="16">
        <f t="shared" si="53"/>
        <v>5732.5246099105134</v>
      </c>
      <c r="G870" s="23">
        <f t="shared" si="54"/>
        <v>0.13371307514938879</v>
      </c>
      <c r="H870" s="3">
        <f t="shared" si="55"/>
        <v>5.6256374974587962</v>
      </c>
    </row>
    <row r="871" spans="1:8" x14ac:dyDescent="0.3">
      <c r="A871" s="2">
        <v>42507</v>
      </c>
      <c r="B871" s="3">
        <v>39104.639102460249</v>
      </c>
      <c r="C871" s="3">
        <v>33890.360432496309</v>
      </c>
      <c r="D871">
        <v>930</v>
      </c>
      <c r="E871" s="3">
        <f t="shared" si="52"/>
        <v>42.047999034903491</v>
      </c>
      <c r="F871" s="16">
        <f t="shared" si="53"/>
        <v>5214.27866996394</v>
      </c>
      <c r="G871" s="23">
        <f t="shared" si="54"/>
        <v>0.13334169013302277</v>
      </c>
      <c r="H871" s="3">
        <f t="shared" si="55"/>
        <v>5.6067512580257421</v>
      </c>
    </row>
    <row r="872" spans="1:8" x14ac:dyDescent="0.3">
      <c r="A872" s="2">
        <v>42508</v>
      </c>
      <c r="B872" s="3">
        <v>34406.750005710237</v>
      </c>
      <c r="C872" s="3">
        <v>29884.33058936759</v>
      </c>
      <c r="D872">
        <v>818</v>
      </c>
      <c r="E872" s="3">
        <f t="shared" si="52"/>
        <v>42.062041571772909</v>
      </c>
      <c r="F872" s="16">
        <f t="shared" si="53"/>
        <v>4522.4194163426473</v>
      </c>
      <c r="G872" s="23">
        <f t="shared" si="54"/>
        <v>0.1314398894284434</v>
      </c>
      <c r="H872" s="3">
        <f t="shared" si="55"/>
        <v>5.5286300933284194</v>
      </c>
    </row>
    <row r="873" spans="1:8" x14ac:dyDescent="0.3">
      <c r="A873" s="2">
        <v>42509</v>
      </c>
      <c r="B873" s="3">
        <v>39403.658560350254</v>
      </c>
      <c r="C873" s="3">
        <v>34229.631915798513</v>
      </c>
      <c r="D873">
        <v>937</v>
      </c>
      <c r="E873" s="3">
        <f t="shared" si="52"/>
        <v>42.052997396318304</v>
      </c>
      <c r="F873" s="16">
        <f t="shared" si="53"/>
        <v>5174.0266445517409</v>
      </c>
      <c r="G873" s="23">
        <f t="shared" si="54"/>
        <v>0.1313082803371482</v>
      </c>
      <c r="H873" s="3">
        <f t="shared" si="55"/>
        <v>5.5219067711331276</v>
      </c>
    </row>
    <row r="874" spans="1:8" x14ac:dyDescent="0.3">
      <c r="A874" s="2">
        <v>42510</v>
      </c>
      <c r="B874" s="3">
        <v>96830.902423738444</v>
      </c>
      <c r="C874" s="3">
        <v>83926.003498834732</v>
      </c>
      <c r="D874">
        <v>2302</v>
      </c>
      <c r="E874" s="3">
        <f t="shared" si="52"/>
        <v>42.063815127601409</v>
      </c>
      <c r="F874" s="16">
        <f t="shared" si="53"/>
        <v>12904.898924903711</v>
      </c>
      <c r="G874" s="23">
        <f t="shared" si="54"/>
        <v>0.13327252562855418</v>
      </c>
      <c r="H874" s="3">
        <f t="shared" si="55"/>
        <v>5.6059508796280237</v>
      </c>
    </row>
    <row r="875" spans="1:8" x14ac:dyDescent="0.3">
      <c r="A875" s="2">
        <v>42511</v>
      </c>
      <c r="B875" s="3">
        <v>99380.394597328297</v>
      </c>
      <c r="C875" s="3">
        <v>86179.513387184299</v>
      </c>
      <c r="D875">
        <v>2363</v>
      </c>
      <c r="E875" s="3">
        <f t="shared" si="52"/>
        <v>42.056874565098731</v>
      </c>
      <c r="F875" s="16">
        <f t="shared" si="53"/>
        <v>13200.881210143998</v>
      </c>
      <c r="G875" s="23">
        <f t="shared" si="54"/>
        <v>0.13283184539195708</v>
      </c>
      <c r="H875" s="3">
        <f t="shared" si="55"/>
        <v>5.5864922599001261</v>
      </c>
    </row>
    <row r="876" spans="1:8" x14ac:dyDescent="0.3">
      <c r="A876" s="2">
        <v>42512</v>
      </c>
      <c r="B876" s="3">
        <v>61656.181334069763</v>
      </c>
      <c r="C876" s="3">
        <v>53463.734557835058</v>
      </c>
      <c r="D876">
        <v>1466</v>
      </c>
      <c r="E876" s="3">
        <f t="shared" si="52"/>
        <v>42.057422465259044</v>
      </c>
      <c r="F876" s="16">
        <f t="shared" si="53"/>
        <v>8192.4467762347049</v>
      </c>
      <c r="G876" s="23">
        <f t="shared" si="54"/>
        <v>0.13287308099484504</v>
      </c>
      <c r="H876" s="3">
        <f t="shared" si="55"/>
        <v>5.5882993016607809</v>
      </c>
    </row>
    <row r="877" spans="1:8" x14ac:dyDescent="0.3">
      <c r="A877" s="2">
        <v>42513</v>
      </c>
      <c r="B877" s="3">
        <v>69163.557365579516</v>
      </c>
      <c r="C877" s="3">
        <v>59948.438707535541</v>
      </c>
      <c r="D877">
        <v>1644</v>
      </c>
      <c r="E877" s="3">
        <f t="shared" si="52"/>
        <v>42.070290368357369</v>
      </c>
      <c r="F877" s="16">
        <f t="shared" si="53"/>
        <v>9215.1186580439753</v>
      </c>
      <c r="G877" s="23">
        <f t="shared" si="54"/>
        <v>0.13323662068646058</v>
      </c>
      <c r="H877" s="3">
        <f t="shared" si="55"/>
        <v>5.6053033199780868</v>
      </c>
    </row>
    <row r="878" spans="1:8" x14ac:dyDescent="0.3">
      <c r="A878" s="2">
        <v>42514</v>
      </c>
      <c r="B878" s="3">
        <v>113112.8650211096</v>
      </c>
      <c r="C878" s="3">
        <v>117414.6989296848</v>
      </c>
      <c r="D878">
        <v>3224</v>
      </c>
      <c r="E878" s="3">
        <f t="shared" si="52"/>
        <v>35.084635552453349</v>
      </c>
      <c r="F878" s="16">
        <f t="shared" si="53"/>
        <v>-4301.8339085752086</v>
      </c>
      <c r="G878" s="23">
        <f t="shared" si="54"/>
        <v>-3.8031340712414832E-2</v>
      </c>
      <c r="H878" s="3">
        <f t="shared" si="55"/>
        <v>-1.3343157284662557</v>
      </c>
    </row>
    <row r="879" spans="1:8" x14ac:dyDescent="0.3">
      <c r="A879" s="2">
        <v>42515</v>
      </c>
      <c r="B879" s="3">
        <v>253686.3024535861</v>
      </c>
      <c r="C879" s="3">
        <v>268974.57069396519</v>
      </c>
      <c r="D879">
        <v>7392</v>
      </c>
      <c r="E879" s="3">
        <f t="shared" si="52"/>
        <v>34.319034422833617</v>
      </c>
      <c r="F879" s="16">
        <f t="shared" si="53"/>
        <v>-15288.268240379082</v>
      </c>
      <c r="G879" s="23">
        <f t="shared" si="54"/>
        <v>-6.0264460842051927E-2</v>
      </c>
      <c r="H879" s="3">
        <f t="shared" si="55"/>
        <v>-2.0682181061118889</v>
      </c>
    </row>
    <row r="880" spans="1:8" x14ac:dyDescent="0.3">
      <c r="A880" s="2">
        <v>42516</v>
      </c>
      <c r="B880" s="3">
        <v>210305.2919440362</v>
      </c>
      <c r="C880" s="3">
        <v>223289.08457385481</v>
      </c>
      <c r="D880">
        <v>6138</v>
      </c>
      <c r="E880" s="3">
        <f t="shared" si="52"/>
        <v>34.262836745525611</v>
      </c>
      <c r="F880" s="16">
        <f t="shared" si="53"/>
        <v>-12983.792629818607</v>
      </c>
      <c r="G880" s="23">
        <f t="shared" si="54"/>
        <v>-6.1737831272803585E-2</v>
      </c>
      <c r="H880" s="3">
        <f t="shared" si="55"/>
        <v>-2.1153132339228748</v>
      </c>
    </row>
    <row r="881" spans="1:8" x14ac:dyDescent="0.3">
      <c r="A881" s="2">
        <v>42517</v>
      </c>
      <c r="B881" s="3">
        <v>364087.42429993051</v>
      </c>
      <c r="C881" s="3">
        <v>386499.89642918651</v>
      </c>
      <c r="D881">
        <v>10624</v>
      </c>
      <c r="E881" s="3">
        <f t="shared" si="52"/>
        <v>34.270277136665143</v>
      </c>
      <c r="F881" s="16">
        <f t="shared" si="53"/>
        <v>-22412.472129255999</v>
      </c>
      <c r="G881" s="23">
        <f t="shared" si="54"/>
        <v>-6.1557940849923158E-2</v>
      </c>
      <c r="H881" s="3">
        <f t="shared" si="55"/>
        <v>-2.1096076928893073</v>
      </c>
    </row>
    <row r="882" spans="1:8" x14ac:dyDescent="0.3">
      <c r="A882" s="2">
        <v>42518</v>
      </c>
      <c r="B882" s="3">
        <v>397480.36947452551</v>
      </c>
      <c r="C882" s="3">
        <v>421674.1018697652</v>
      </c>
      <c r="D882">
        <v>11590</v>
      </c>
      <c r="E882" s="3">
        <f t="shared" si="52"/>
        <v>34.295113845946979</v>
      </c>
      <c r="F882" s="16">
        <f t="shared" si="53"/>
        <v>-24193.732395239698</v>
      </c>
      <c r="G882" s="23">
        <f t="shared" si="54"/>
        <v>-6.0867741537083062E-2</v>
      </c>
      <c r="H882" s="3">
        <f t="shared" si="55"/>
        <v>-2.0874661255599394</v>
      </c>
    </row>
    <row r="883" spans="1:8" x14ac:dyDescent="0.3">
      <c r="A883" s="2">
        <v>42519</v>
      </c>
      <c r="B883" s="3">
        <v>204028.1767573524</v>
      </c>
      <c r="C883" s="3">
        <v>216777.31572566379</v>
      </c>
      <c r="D883">
        <v>5959</v>
      </c>
      <c r="E883" s="3">
        <f t="shared" si="52"/>
        <v>34.238660304976072</v>
      </c>
      <c r="F883" s="16">
        <f t="shared" si="53"/>
        <v>-12749.138968311396</v>
      </c>
      <c r="G883" s="23">
        <f t="shared" si="54"/>
        <v>-6.2487148446529285E-2</v>
      </c>
      <c r="H883" s="3">
        <f t="shared" si="55"/>
        <v>-2.1394762490873296</v>
      </c>
    </row>
    <row r="884" spans="1:8" x14ac:dyDescent="0.3">
      <c r="A884" s="2">
        <v>42520</v>
      </c>
      <c r="B884" s="3">
        <v>172797.93513446639</v>
      </c>
      <c r="C884" s="3">
        <v>183715.80719950749</v>
      </c>
      <c r="D884">
        <v>5048</v>
      </c>
      <c r="E884" s="3">
        <f t="shared" si="52"/>
        <v>34.230969717604275</v>
      </c>
      <c r="F884" s="16">
        <f t="shared" si="53"/>
        <v>-10917.872065041098</v>
      </c>
      <c r="G884" s="23">
        <f t="shared" si="54"/>
        <v>-6.3182885006959857E-2</v>
      </c>
      <c r="H884" s="3">
        <f t="shared" si="55"/>
        <v>-2.1628114233441162</v>
      </c>
    </row>
    <row r="885" spans="1:8" x14ac:dyDescent="0.3">
      <c r="A885" s="2">
        <v>42521</v>
      </c>
      <c r="B885" s="3">
        <v>258970.6541101849</v>
      </c>
      <c r="C885" s="3">
        <v>274386.0154347705</v>
      </c>
      <c r="D885">
        <v>7542</v>
      </c>
      <c r="E885" s="3">
        <f t="shared" si="52"/>
        <v>34.337132605434221</v>
      </c>
      <c r="F885" s="16">
        <f t="shared" si="53"/>
        <v>-15415.361324585596</v>
      </c>
      <c r="G885" s="23">
        <f t="shared" si="54"/>
        <v>-5.9525514107196031E-2</v>
      </c>
      <c r="H885" s="3">
        <f t="shared" si="55"/>
        <v>-2.0439354713054358</v>
      </c>
    </row>
    <row r="886" spans="1:8" x14ac:dyDescent="0.3">
      <c r="A886" s="2">
        <v>42522</v>
      </c>
      <c r="B886" s="3">
        <v>368789.57262197061</v>
      </c>
      <c r="C886" s="3">
        <v>391923.65961429192</v>
      </c>
      <c r="D886">
        <v>10761</v>
      </c>
      <c r="E886" s="3">
        <f t="shared" si="52"/>
        <v>34.270938818136848</v>
      </c>
      <c r="F886" s="16">
        <f t="shared" si="53"/>
        <v>-23134.086992321303</v>
      </c>
      <c r="G886" s="23">
        <f t="shared" si="54"/>
        <v>-6.2729775215296019E-2</v>
      </c>
      <c r="H886" s="3">
        <f t="shared" si="55"/>
        <v>-2.1498082884788872</v>
      </c>
    </row>
    <row r="887" spans="1:8" x14ac:dyDescent="0.3">
      <c r="A887" s="2">
        <v>42523</v>
      </c>
      <c r="B887" s="3">
        <v>278071.38656924601</v>
      </c>
      <c r="C887" s="3">
        <v>295548.24164090329</v>
      </c>
      <c r="D887">
        <v>8120</v>
      </c>
      <c r="E887" s="3">
        <f t="shared" si="52"/>
        <v>34.245244651384979</v>
      </c>
      <c r="F887" s="16">
        <f t="shared" si="53"/>
        <v>-17476.855071657279</v>
      </c>
      <c r="G887" s="23">
        <f t="shared" si="54"/>
        <v>-6.2850246072711807E-2</v>
      </c>
      <c r="H887" s="3">
        <f t="shared" si="55"/>
        <v>-2.1523220531597635</v>
      </c>
    </row>
    <row r="888" spans="1:8" x14ac:dyDescent="0.3">
      <c r="A888" s="2">
        <v>42524</v>
      </c>
      <c r="B888" s="3">
        <v>373959.36203922692</v>
      </c>
      <c r="C888" s="3">
        <v>396324.1786662704</v>
      </c>
      <c r="D888">
        <v>10896</v>
      </c>
      <c r="E888" s="3">
        <f t="shared" si="52"/>
        <v>34.320793138695571</v>
      </c>
      <c r="F888" s="16">
        <f t="shared" si="53"/>
        <v>-22364.816627043474</v>
      </c>
      <c r="G888" s="23">
        <f t="shared" si="54"/>
        <v>-5.9805473260748289E-2</v>
      </c>
      <c r="H888" s="3">
        <f t="shared" si="55"/>
        <v>-2.0525712763439312</v>
      </c>
    </row>
    <row r="889" spans="1:8" x14ac:dyDescent="0.3">
      <c r="A889" s="2">
        <v>42525</v>
      </c>
      <c r="B889" s="3">
        <v>402057.2528885355</v>
      </c>
      <c r="C889" s="3">
        <v>426466.13217659132</v>
      </c>
      <c r="D889">
        <v>11726</v>
      </c>
      <c r="E889" s="3">
        <f t="shared" si="52"/>
        <v>34.28767293949646</v>
      </c>
      <c r="F889" s="16">
        <f t="shared" si="53"/>
        <v>-24408.879288055818</v>
      </c>
      <c r="G889" s="23">
        <f t="shared" si="54"/>
        <v>-6.0709958874495977E-2</v>
      </c>
      <c r="H889" s="3">
        <f t="shared" si="55"/>
        <v>-2.0816032140589984</v>
      </c>
    </row>
    <row r="890" spans="1:8" x14ac:dyDescent="0.3">
      <c r="A890" s="2">
        <v>42526</v>
      </c>
      <c r="B890" s="3">
        <v>205719.45323581621</v>
      </c>
      <c r="C890" s="3">
        <v>218408.1820732757</v>
      </c>
      <c r="D890">
        <v>6007</v>
      </c>
      <c r="E890" s="3">
        <f t="shared" si="52"/>
        <v>34.24662114796341</v>
      </c>
      <c r="F890" s="16">
        <f t="shared" si="53"/>
        <v>-12688.728837459494</v>
      </c>
      <c r="G890" s="23">
        <f t="shared" si="54"/>
        <v>-6.1679771348188465E-2</v>
      </c>
      <c r="H890" s="3">
        <f t="shared" si="55"/>
        <v>-2.1123237618544186</v>
      </c>
    </row>
    <row r="891" spans="1:8" x14ac:dyDescent="0.3">
      <c r="A891" s="2">
        <v>42527</v>
      </c>
      <c r="B891" s="3">
        <v>177626.95012448641</v>
      </c>
      <c r="C891" s="3">
        <v>188629.754225902</v>
      </c>
      <c r="D891">
        <v>5185</v>
      </c>
      <c r="E891" s="3">
        <f t="shared" si="52"/>
        <v>34.257849590064879</v>
      </c>
      <c r="F891" s="16">
        <f t="shared" si="53"/>
        <v>-11002.80410141559</v>
      </c>
      <c r="G891" s="23">
        <f t="shared" si="54"/>
        <v>-6.1943326132124027E-2</v>
      </c>
      <c r="H891" s="3">
        <f t="shared" si="55"/>
        <v>-2.1220451497426405</v>
      </c>
    </row>
    <row r="892" spans="1:8" x14ac:dyDescent="0.3">
      <c r="A892" s="2">
        <v>42528</v>
      </c>
      <c r="B892" s="3">
        <v>70441.907412239394</v>
      </c>
      <c r="C892" s="3">
        <v>60910.748400180237</v>
      </c>
      <c r="D892">
        <v>1675</v>
      </c>
      <c r="E892" s="3">
        <f t="shared" si="52"/>
        <v>42.054870096859339</v>
      </c>
      <c r="F892" s="16">
        <f t="shared" si="53"/>
        <v>9531.1590120591572</v>
      </c>
      <c r="G892" s="23">
        <f t="shared" si="54"/>
        <v>0.13530523749564316</v>
      </c>
      <c r="H892" s="3">
        <f t="shared" si="55"/>
        <v>5.6902441863039748</v>
      </c>
    </row>
    <row r="893" spans="1:8" x14ac:dyDescent="0.3">
      <c r="A893" s="2">
        <v>42529</v>
      </c>
      <c r="B893" s="3">
        <v>162923.84958070019</v>
      </c>
      <c r="C893" s="3">
        <v>173292.68113445409</v>
      </c>
      <c r="D893">
        <v>4765</v>
      </c>
      <c r="E893" s="3">
        <f t="shared" si="52"/>
        <v>34.191783752507909</v>
      </c>
      <c r="F893" s="16">
        <f t="shared" si="53"/>
        <v>-10368.831553753902</v>
      </c>
      <c r="G893" s="23">
        <f t="shared" si="54"/>
        <v>-6.3642195912010813E-2</v>
      </c>
      <c r="H893" s="3">
        <f t="shared" si="55"/>
        <v>-2.1760402001582166</v>
      </c>
    </row>
    <row r="894" spans="1:8" x14ac:dyDescent="0.3">
      <c r="A894" s="2">
        <v>42530</v>
      </c>
      <c r="B894" s="3">
        <v>138752.5276097676</v>
      </c>
      <c r="C894" s="3">
        <v>143791.47808201631</v>
      </c>
      <c r="D894">
        <v>3953</v>
      </c>
      <c r="E894" s="3">
        <f t="shared" si="52"/>
        <v>35.1005635238471</v>
      </c>
      <c r="F894" s="16">
        <f t="shared" si="53"/>
        <v>-5038.9504722487181</v>
      </c>
      <c r="G894" s="23">
        <f t="shared" si="54"/>
        <v>-3.6316098589716767E-2</v>
      </c>
      <c r="H894" s="3">
        <f t="shared" si="55"/>
        <v>-1.2747155254866476</v>
      </c>
    </row>
    <row r="895" spans="1:8" x14ac:dyDescent="0.3">
      <c r="A895" s="2">
        <v>42531</v>
      </c>
      <c r="B895" s="3">
        <v>252458.26223048879</v>
      </c>
      <c r="C895" s="3">
        <v>261502.38177856401</v>
      </c>
      <c r="D895">
        <v>7190</v>
      </c>
      <c r="E895" s="3">
        <f t="shared" si="52"/>
        <v>35.112414774755045</v>
      </c>
      <c r="F895" s="16">
        <f t="shared" si="53"/>
        <v>-9044.1195480752212</v>
      </c>
      <c r="G895" s="23">
        <f t="shared" si="54"/>
        <v>-3.5824216914787051E-2</v>
      </c>
      <c r="H895" s="3">
        <f t="shared" si="55"/>
        <v>-1.2578747632927985</v>
      </c>
    </row>
    <row r="896" spans="1:8" x14ac:dyDescent="0.3">
      <c r="A896" s="2">
        <v>42532</v>
      </c>
      <c r="B896" s="3">
        <v>293917.85248111701</v>
      </c>
      <c r="C896" s="3">
        <v>311853.52053473581</v>
      </c>
      <c r="D896">
        <v>8577</v>
      </c>
      <c r="E896" s="3">
        <f t="shared" si="52"/>
        <v>34.268141830607092</v>
      </c>
      <c r="F896" s="16">
        <f t="shared" si="53"/>
        <v>-17935.668053618807</v>
      </c>
      <c r="G896" s="23">
        <f t="shared" si="54"/>
        <v>-6.1022724214314608E-2</v>
      </c>
      <c r="H896" s="3">
        <f t="shared" si="55"/>
        <v>-2.0911353682661544</v>
      </c>
    </row>
    <row r="897" spans="1:8" x14ac:dyDescent="0.3">
      <c r="A897" s="2">
        <v>42533</v>
      </c>
      <c r="B897" s="3">
        <v>138350.12182847521</v>
      </c>
      <c r="C897" s="3">
        <v>143346.67460602429</v>
      </c>
      <c r="D897">
        <v>3943</v>
      </c>
      <c r="E897" s="3">
        <f t="shared" si="52"/>
        <v>35.087527727231858</v>
      </c>
      <c r="F897" s="16">
        <f t="shared" si="53"/>
        <v>-4996.5527775490773</v>
      </c>
      <c r="G897" s="23">
        <f t="shared" si="54"/>
        <v>-3.6115275588580562E-2</v>
      </c>
      <c r="H897" s="3">
        <f t="shared" si="55"/>
        <v>-1.2671957335909403</v>
      </c>
    </row>
    <row r="898" spans="1:8" x14ac:dyDescent="0.3">
      <c r="A898" s="2">
        <v>42534</v>
      </c>
      <c r="B898" s="3">
        <v>130067.2755641964</v>
      </c>
      <c r="C898" s="3">
        <v>134950.56648943009</v>
      </c>
      <c r="D898">
        <v>3707</v>
      </c>
      <c r="E898" s="3">
        <f t="shared" ref="E898:E961" si="56">B898/D898</f>
        <v>35.086937028377776</v>
      </c>
      <c r="F898" s="16">
        <f t="shared" ref="F898:F961" si="57">B898-C898</f>
        <v>-4883.2909252336831</v>
      </c>
      <c r="G898" s="23">
        <f t="shared" ref="G898:G961" si="58">F898/B898</f>
        <v>-3.7544346985445017E-2</v>
      </c>
      <c r="H898" s="3">
        <f t="shared" ref="H898:H961" si="59">F898/D898</f>
        <v>-1.3173161384498739</v>
      </c>
    </row>
    <row r="899" spans="1:8" x14ac:dyDescent="0.3">
      <c r="A899" s="2">
        <v>42535</v>
      </c>
      <c r="B899" s="3">
        <v>107168.6610764994</v>
      </c>
      <c r="C899" s="3">
        <v>111173.15847846519</v>
      </c>
      <c r="D899">
        <v>3054</v>
      </c>
      <c r="E899" s="3">
        <f t="shared" si="56"/>
        <v>35.091244622298426</v>
      </c>
      <c r="F899" s="16">
        <f t="shared" si="57"/>
        <v>-4004.4974019657966</v>
      </c>
      <c r="G899" s="23">
        <f t="shared" si="58"/>
        <v>-3.736630990572231E-2</v>
      </c>
      <c r="H899" s="3">
        <f t="shared" si="59"/>
        <v>-1.3112303215343146</v>
      </c>
    </row>
    <row r="900" spans="1:8" x14ac:dyDescent="0.3">
      <c r="A900" s="2">
        <v>42536</v>
      </c>
      <c r="B900" s="3">
        <v>224030.55444808619</v>
      </c>
      <c r="C900" s="3">
        <v>237934.73415063301</v>
      </c>
      <c r="D900">
        <v>6541</v>
      </c>
      <c r="E900" s="3">
        <f t="shared" si="56"/>
        <v>34.250199426400577</v>
      </c>
      <c r="F900" s="16">
        <f t="shared" si="57"/>
        <v>-13904.179702546826</v>
      </c>
      <c r="G900" s="23">
        <f t="shared" si="58"/>
        <v>-6.2063765082404382E-2</v>
      </c>
      <c r="H900" s="3">
        <f t="shared" si="59"/>
        <v>-2.125696331225627</v>
      </c>
    </row>
    <row r="901" spans="1:8" x14ac:dyDescent="0.3">
      <c r="A901" s="2">
        <v>42537</v>
      </c>
      <c r="B901" s="3">
        <v>201918.22207274401</v>
      </c>
      <c r="C901" s="3">
        <v>209095.56974137691</v>
      </c>
      <c r="D901">
        <v>5749</v>
      </c>
      <c r="E901" s="3">
        <f t="shared" si="56"/>
        <v>35.122320764088364</v>
      </c>
      <c r="F901" s="16">
        <f t="shared" si="57"/>
        <v>-7177.3476686328941</v>
      </c>
      <c r="G901" s="23">
        <f t="shared" si="58"/>
        <v>-3.5545814513200047E-2</v>
      </c>
      <c r="H901" s="3">
        <f t="shared" si="59"/>
        <v>-1.2484514991533995</v>
      </c>
    </row>
    <row r="902" spans="1:8" x14ac:dyDescent="0.3">
      <c r="A902" s="2">
        <v>42538</v>
      </c>
      <c r="B902" s="3">
        <v>329344.26830316131</v>
      </c>
      <c r="C902" s="3">
        <v>341253.32963499142</v>
      </c>
      <c r="D902">
        <v>9385</v>
      </c>
      <c r="E902" s="3">
        <f t="shared" si="56"/>
        <v>35.092623154305947</v>
      </c>
      <c r="F902" s="16">
        <f t="shared" si="57"/>
        <v>-11909.061331830104</v>
      </c>
      <c r="G902" s="23">
        <f t="shared" si="58"/>
        <v>-3.6159916773981372E-2</v>
      </c>
      <c r="H902" s="3">
        <f t="shared" si="59"/>
        <v>-1.2689463326403947</v>
      </c>
    </row>
    <row r="903" spans="1:8" x14ac:dyDescent="0.3">
      <c r="A903" s="2">
        <v>42539</v>
      </c>
      <c r="B903" s="3">
        <v>308642.97722408187</v>
      </c>
      <c r="C903" s="3">
        <v>327672.04148404137</v>
      </c>
      <c r="D903">
        <v>9012</v>
      </c>
      <c r="E903" s="3">
        <f t="shared" si="56"/>
        <v>34.248000135827994</v>
      </c>
      <c r="F903" s="16">
        <f t="shared" si="57"/>
        <v>-19029.064259959501</v>
      </c>
      <c r="G903" s="23">
        <f t="shared" si="58"/>
        <v>-6.1653968060786185E-2</v>
      </c>
      <c r="H903" s="3">
        <f t="shared" si="59"/>
        <v>-2.1115251065201401</v>
      </c>
    </row>
    <row r="904" spans="1:8" x14ac:dyDescent="0.3">
      <c r="A904" s="2">
        <v>42540</v>
      </c>
      <c r="B904" s="3">
        <v>134472.4066282764</v>
      </c>
      <c r="C904" s="3">
        <v>139385.87617680739</v>
      </c>
      <c r="D904">
        <v>3831</v>
      </c>
      <c r="E904" s="3">
        <f t="shared" si="56"/>
        <v>35.10112415251276</v>
      </c>
      <c r="F904" s="16">
        <f t="shared" si="57"/>
        <v>-4913.4695485309931</v>
      </c>
      <c r="G904" s="23">
        <f t="shared" si="58"/>
        <v>-3.6538868246132852E-2</v>
      </c>
      <c r="H904" s="3">
        <f t="shared" si="59"/>
        <v>-1.2825553506998155</v>
      </c>
    </row>
    <row r="905" spans="1:8" x14ac:dyDescent="0.3">
      <c r="A905" s="2">
        <v>42541</v>
      </c>
      <c r="B905" s="3">
        <v>143809.72058396641</v>
      </c>
      <c r="C905" s="3">
        <v>148953.91085321491</v>
      </c>
      <c r="D905">
        <v>4097</v>
      </c>
      <c r="E905" s="3">
        <f t="shared" si="56"/>
        <v>35.101225429330341</v>
      </c>
      <c r="F905" s="16">
        <f t="shared" si="57"/>
        <v>-5144.1902692485019</v>
      </c>
      <c r="G905" s="23">
        <f t="shared" si="58"/>
        <v>-3.5770810542983811E-2</v>
      </c>
      <c r="H905" s="3">
        <f t="shared" si="59"/>
        <v>-1.2555992846591413</v>
      </c>
    </row>
    <row r="906" spans="1:8" x14ac:dyDescent="0.3">
      <c r="A906" s="2">
        <v>42542</v>
      </c>
      <c r="B906" s="3">
        <v>123252.1510558476</v>
      </c>
      <c r="C906" s="3">
        <v>127533.0092765032</v>
      </c>
      <c r="D906">
        <v>3509</v>
      </c>
      <c r="E906" s="3">
        <f t="shared" si="56"/>
        <v>35.124579953219609</v>
      </c>
      <c r="F906" s="16">
        <f t="shared" si="57"/>
        <v>-4280.8582206556021</v>
      </c>
      <c r="G906" s="23">
        <f t="shared" si="58"/>
        <v>-3.4732523400065239E-2</v>
      </c>
      <c r="H906" s="3">
        <f t="shared" si="59"/>
        <v>-1.2199652951426623</v>
      </c>
    </row>
    <row r="907" spans="1:8" x14ac:dyDescent="0.3">
      <c r="A907" s="2">
        <v>42543</v>
      </c>
      <c r="B907" s="3">
        <v>40067.15121186024</v>
      </c>
      <c r="C907" s="3">
        <v>34559.084522627527</v>
      </c>
      <c r="D907">
        <v>953</v>
      </c>
      <c r="E907" s="3">
        <f t="shared" si="56"/>
        <v>42.043180704995002</v>
      </c>
      <c r="F907" s="16">
        <f t="shared" si="57"/>
        <v>5508.0666892327135</v>
      </c>
      <c r="G907" s="23">
        <f t="shared" si="58"/>
        <v>0.13747088381971803</v>
      </c>
      <c r="H907" s="3">
        <f t="shared" si="59"/>
        <v>5.7797132101077793</v>
      </c>
    </row>
    <row r="908" spans="1:8" x14ac:dyDescent="0.3">
      <c r="A908" s="2">
        <v>42544</v>
      </c>
      <c r="B908" s="3">
        <v>143752.73676064881</v>
      </c>
      <c r="C908" s="3">
        <v>155659.53374373459</v>
      </c>
      <c r="D908">
        <v>4305</v>
      </c>
      <c r="E908" s="3">
        <f t="shared" si="56"/>
        <v>33.392041059384162</v>
      </c>
      <c r="F908" s="16">
        <f t="shared" si="57"/>
        <v>-11906.796983085776</v>
      </c>
      <c r="G908" s="23">
        <f t="shared" si="58"/>
        <v>-8.2828315143041981E-2</v>
      </c>
      <c r="H908" s="3">
        <f t="shared" si="59"/>
        <v>-2.765806500136069</v>
      </c>
    </row>
    <row r="909" spans="1:8" x14ac:dyDescent="0.3">
      <c r="A909" s="2">
        <v>42545</v>
      </c>
      <c r="B909" s="3">
        <v>389904.00855466258</v>
      </c>
      <c r="C909" s="3">
        <v>422372.58158070029</v>
      </c>
      <c r="D909">
        <v>11667</v>
      </c>
      <c r="E909" s="3">
        <f t="shared" si="56"/>
        <v>33.419388750721055</v>
      </c>
      <c r="F909" s="16">
        <f t="shared" si="57"/>
        <v>-32468.573026037717</v>
      </c>
      <c r="G909" s="23">
        <f t="shared" si="58"/>
        <v>-8.3273247552380025E-2</v>
      </c>
      <c r="H909" s="3">
        <f t="shared" si="59"/>
        <v>-2.7829410324880191</v>
      </c>
    </row>
    <row r="910" spans="1:8" x14ac:dyDescent="0.3">
      <c r="A910" s="2">
        <v>42546</v>
      </c>
      <c r="B910" s="3">
        <v>461280.78558277438</v>
      </c>
      <c r="C910" s="3">
        <v>498910.32902054378</v>
      </c>
      <c r="D910">
        <v>13793</v>
      </c>
      <c r="E910" s="3">
        <f t="shared" si="56"/>
        <v>33.443107778059478</v>
      </c>
      <c r="F910" s="16">
        <f t="shared" si="57"/>
        <v>-37629.543437769404</v>
      </c>
      <c r="G910" s="23">
        <f t="shared" si="58"/>
        <v>-8.1576221281857361E-2</v>
      </c>
      <c r="H910" s="3">
        <f t="shared" si="59"/>
        <v>-2.7281623604559853</v>
      </c>
    </row>
    <row r="911" spans="1:8" x14ac:dyDescent="0.3">
      <c r="A911" s="2">
        <v>42547</v>
      </c>
      <c r="B911" s="3">
        <v>221578.69682356139</v>
      </c>
      <c r="C911" s="3">
        <v>240449.62229152219</v>
      </c>
      <c r="D911">
        <v>6641</v>
      </c>
      <c r="E911" s="3">
        <f t="shared" si="56"/>
        <v>33.365260777527688</v>
      </c>
      <c r="F911" s="16">
        <f t="shared" si="57"/>
        <v>-18870.925467960798</v>
      </c>
      <c r="G911" s="23">
        <f t="shared" si="58"/>
        <v>-8.5165793185377078E-2</v>
      </c>
      <c r="H911" s="3">
        <f t="shared" si="59"/>
        <v>-2.8415788989550967</v>
      </c>
    </row>
    <row r="912" spans="1:8" x14ac:dyDescent="0.3">
      <c r="A912" s="2">
        <v>42548</v>
      </c>
      <c r="B912" s="3">
        <v>253702.2229766188</v>
      </c>
      <c r="C912" s="3">
        <v>274426.08027789328</v>
      </c>
      <c r="D912">
        <v>7593</v>
      </c>
      <c r="E912" s="3">
        <f t="shared" si="56"/>
        <v>33.412646250048567</v>
      </c>
      <c r="F912" s="16">
        <f t="shared" si="57"/>
        <v>-20723.857301274489</v>
      </c>
      <c r="G912" s="23">
        <f t="shared" si="58"/>
        <v>-8.1685753708135231E-2</v>
      </c>
      <c r="H912" s="3">
        <f t="shared" si="59"/>
        <v>-2.7293371923185155</v>
      </c>
    </row>
    <row r="913" spans="1:8" x14ac:dyDescent="0.3">
      <c r="A913" s="2">
        <v>42549</v>
      </c>
      <c r="B913" s="3">
        <v>200616.07618333891</v>
      </c>
      <c r="C913" s="3">
        <v>217104.57971570609</v>
      </c>
      <c r="D913">
        <v>6007</v>
      </c>
      <c r="E913" s="3">
        <f t="shared" si="56"/>
        <v>33.397049472838177</v>
      </c>
      <c r="F913" s="16">
        <f t="shared" si="57"/>
        <v>-16488.503532367176</v>
      </c>
      <c r="G913" s="23">
        <f t="shared" si="58"/>
        <v>-8.2189343177556079E-2</v>
      </c>
      <c r="H913" s="3">
        <f t="shared" si="59"/>
        <v>-2.7448815602409149</v>
      </c>
    </row>
    <row r="914" spans="1:8" x14ac:dyDescent="0.3">
      <c r="A914" s="2">
        <v>42550</v>
      </c>
      <c r="B914" s="3">
        <v>211700.81315721021</v>
      </c>
      <c r="C914" s="3">
        <v>229023.81073969579</v>
      </c>
      <c r="D914">
        <v>6345</v>
      </c>
      <c r="E914" s="3">
        <f t="shared" si="56"/>
        <v>33.364982373082775</v>
      </c>
      <c r="F914" s="16">
        <f t="shared" si="57"/>
        <v>-17322.997582485579</v>
      </c>
      <c r="G914" s="23">
        <f t="shared" si="58"/>
        <v>-8.182773284683334E-2</v>
      </c>
      <c r="H914" s="3">
        <f t="shared" si="59"/>
        <v>-2.7301808640639211</v>
      </c>
    </row>
    <row r="915" spans="1:8" x14ac:dyDescent="0.3">
      <c r="A915" s="2">
        <v>42551</v>
      </c>
      <c r="B915" s="3">
        <v>282757.71144459757</v>
      </c>
      <c r="C915" s="3">
        <v>305894.18009482371</v>
      </c>
      <c r="D915">
        <v>8482</v>
      </c>
      <c r="E915" s="3">
        <f t="shared" si="56"/>
        <v>33.336207432751422</v>
      </c>
      <c r="F915" s="16">
        <f t="shared" si="57"/>
        <v>-23136.468650226132</v>
      </c>
      <c r="G915" s="23">
        <f t="shared" si="58"/>
        <v>-8.1824359562194998E-2</v>
      </c>
      <c r="H915" s="3">
        <f t="shared" si="59"/>
        <v>-2.7277138234173699</v>
      </c>
    </row>
    <row r="916" spans="1:8" x14ac:dyDescent="0.3">
      <c r="A916" s="2">
        <v>42552</v>
      </c>
      <c r="B916" s="3">
        <v>479010.15670774202</v>
      </c>
      <c r="C916" s="3">
        <v>517742.19259753643</v>
      </c>
      <c r="D916">
        <v>14344</v>
      </c>
      <c r="E916" s="3">
        <f t="shared" si="56"/>
        <v>33.394461566351225</v>
      </c>
      <c r="F916" s="16">
        <f t="shared" si="57"/>
        <v>-38732.03588979441</v>
      </c>
      <c r="G916" s="23">
        <f t="shared" si="58"/>
        <v>-8.0858485665526184E-2</v>
      </c>
      <c r="H916" s="3">
        <f t="shared" si="59"/>
        <v>-2.700225591870776</v>
      </c>
    </row>
    <row r="917" spans="1:8" x14ac:dyDescent="0.3">
      <c r="A917" s="2">
        <v>42553</v>
      </c>
      <c r="B917" s="3">
        <v>454543.2857587894</v>
      </c>
      <c r="C917" s="3">
        <v>490487.0246492626</v>
      </c>
      <c r="D917">
        <v>13609</v>
      </c>
      <c r="E917" s="3">
        <f t="shared" si="56"/>
        <v>33.400197351663557</v>
      </c>
      <c r="F917" s="16">
        <f t="shared" si="57"/>
        <v>-35943.738890473207</v>
      </c>
      <c r="G917" s="23">
        <f t="shared" si="58"/>
        <v>-7.9076602859661033E-2</v>
      </c>
      <c r="H917" s="3">
        <f t="shared" si="59"/>
        <v>-2.6411741414118017</v>
      </c>
    </row>
    <row r="918" spans="1:8" x14ac:dyDescent="0.3">
      <c r="A918" s="2">
        <v>42554</v>
      </c>
      <c r="B918" s="3">
        <v>242185.18070257761</v>
      </c>
      <c r="C918" s="3">
        <v>261534.91203924711</v>
      </c>
      <c r="D918">
        <v>7259</v>
      </c>
      <c r="E918" s="3">
        <f t="shared" si="56"/>
        <v>33.363435831736822</v>
      </c>
      <c r="F918" s="16">
        <f t="shared" si="57"/>
        <v>-19349.731336669502</v>
      </c>
      <c r="G918" s="23">
        <f t="shared" si="58"/>
        <v>-7.9896429998466703E-2</v>
      </c>
      <c r="H918" s="3">
        <f t="shared" si="59"/>
        <v>-2.6656194154386972</v>
      </c>
    </row>
    <row r="919" spans="1:8" x14ac:dyDescent="0.3">
      <c r="A919" s="2">
        <v>42555</v>
      </c>
      <c r="B919" s="3">
        <v>281531.68555597891</v>
      </c>
      <c r="C919" s="3">
        <v>304052.47699526697</v>
      </c>
      <c r="D919">
        <v>8431</v>
      </c>
      <c r="E919" s="3">
        <f t="shared" si="56"/>
        <v>33.392442836671677</v>
      </c>
      <c r="F919" s="16">
        <f t="shared" si="57"/>
        <v>-22520.791439288063</v>
      </c>
      <c r="G919" s="23">
        <f t="shared" si="58"/>
        <v>-7.9993807428152153E-2</v>
      </c>
      <c r="H919" s="3">
        <f t="shared" si="59"/>
        <v>-2.671188641832293</v>
      </c>
    </row>
    <row r="920" spans="1:8" x14ac:dyDescent="0.3">
      <c r="A920" s="2">
        <v>42556</v>
      </c>
      <c r="B920" s="3">
        <v>219363.2201356389</v>
      </c>
      <c r="C920" s="3">
        <v>237026.35054084621</v>
      </c>
      <c r="D920">
        <v>6577</v>
      </c>
      <c r="E920" s="3">
        <f t="shared" si="56"/>
        <v>33.353081972881085</v>
      </c>
      <c r="F920" s="16">
        <f t="shared" si="57"/>
        <v>-17663.13040520731</v>
      </c>
      <c r="G920" s="23">
        <f t="shared" si="58"/>
        <v>-8.0520017869384231E-2</v>
      </c>
      <c r="H920" s="3">
        <f t="shared" si="59"/>
        <v>-2.6855907564554218</v>
      </c>
    </row>
    <row r="921" spans="1:8" x14ac:dyDescent="0.3">
      <c r="A921" s="2">
        <v>42557</v>
      </c>
      <c r="B921" s="3">
        <v>204005.58223455391</v>
      </c>
      <c r="C921" s="3">
        <v>219722.89495004769</v>
      </c>
      <c r="D921">
        <v>6098</v>
      </c>
      <c r="E921" s="3">
        <f t="shared" si="56"/>
        <v>33.454506761979978</v>
      </c>
      <c r="F921" s="16">
        <f t="shared" si="57"/>
        <v>-15717.312715493783</v>
      </c>
      <c r="G921" s="23">
        <f t="shared" si="58"/>
        <v>-7.7043542354752428E-2</v>
      </c>
      <c r="H921" s="3">
        <f t="shared" si="59"/>
        <v>-2.5774537086739557</v>
      </c>
    </row>
    <row r="922" spans="1:8" x14ac:dyDescent="0.3">
      <c r="A922" s="2">
        <v>42558</v>
      </c>
      <c r="B922" s="3">
        <v>69579.068455469765</v>
      </c>
      <c r="C922" s="3">
        <v>59598.917800192386</v>
      </c>
      <c r="D922">
        <v>1654</v>
      </c>
      <c r="E922" s="3">
        <f t="shared" si="56"/>
        <v>42.067151424105056</v>
      </c>
      <c r="F922" s="16">
        <f t="shared" si="57"/>
        <v>9980.150655277379</v>
      </c>
      <c r="G922" s="23">
        <f t="shared" si="58"/>
        <v>0.14343610624313866</v>
      </c>
      <c r="H922" s="3">
        <f t="shared" si="59"/>
        <v>6.0339484010141344</v>
      </c>
    </row>
    <row r="923" spans="1:8" x14ac:dyDescent="0.3">
      <c r="A923" s="2">
        <v>42559</v>
      </c>
      <c r="B923" s="3">
        <v>87184.740028708911</v>
      </c>
      <c r="C923" s="3">
        <v>74654.520419296809</v>
      </c>
      <c r="D923">
        <v>2073</v>
      </c>
      <c r="E923" s="3">
        <f t="shared" si="56"/>
        <v>42.057279319203523</v>
      </c>
      <c r="F923" s="16">
        <f t="shared" si="57"/>
        <v>12530.219609412103</v>
      </c>
      <c r="G923" s="23">
        <f t="shared" si="58"/>
        <v>0.14372033001745543</v>
      </c>
      <c r="H923" s="3">
        <f t="shared" si="59"/>
        <v>6.0444860633922346</v>
      </c>
    </row>
    <row r="924" spans="1:8" x14ac:dyDescent="0.3">
      <c r="A924" s="2">
        <v>42560</v>
      </c>
      <c r="B924" s="3">
        <v>78700.43604833915</v>
      </c>
      <c r="C924" s="3">
        <v>67367.383240402574</v>
      </c>
      <c r="D924">
        <v>1871</v>
      </c>
      <c r="E924" s="3">
        <f t="shared" si="56"/>
        <v>42.063300934441024</v>
      </c>
      <c r="F924" s="16">
        <f t="shared" si="57"/>
        <v>11333.052807936576</v>
      </c>
      <c r="G924" s="23">
        <f t="shared" si="58"/>
        <v>0.14400241443358233</v>
      </c>
      <c r="H924" s="3">
        <f t="shared" si="59"/>
        <v>6.0572168936058661</v>
      </c>
    </row>
    <row r="925" spans="1:8" x14ac:dyDescent="0.3">
      <c r="A925" s="2">
        <v>42561</v>
      </c>
      <c r="B925" s="3">
        <v>39809.559090600371</v>
      </c>
      <c r="C925" s="3">
        <v>34091.569662440699</v>
      </c>
      <c r="D925">
        <v>946</v>
      </c>
      <c r="E925" s="3">
        <f t="shared" si="56"/>
        <v>42.081986353700181</v>
      </c>
      <c r="F925" s="16">
        <f t="shared" si="57"/>
        <v>5717.9894281596717</v>
      </c>
      <c r="G925" s="23">
        <f t="shared" si="58"/>
        <v>0.14363357843643573</v>
      </c>
      <c r="H925" s="3">
        <f t="shared" si="59"/>
        <v>6.0443862876952128</v>
      </c>
    </row>
    <row r="926" spans="1:8" x14ac:dyDescent="0.3">
      <c r="A926" s="2">
        <v>42562</v>
      </c>
      <c r="B926" s="3">
        <v>45839.238770190248</v>
      </c>
      <c r="C926" s="3">
        <v>39231.195372207752</v>
      </c>
      <c r="D926">
        <v>1090</v>
      </c>
      <c r="E926" s="3">
        <f t="shared" si="56"/>
        <v>42.054347495587386</v>
      </c>
      <c r="F926" s="16">
        <f t="shared" si="57"/>
        <v>6608.0433979824957</v>
      </c>
      <c r="G926" s="23">
        <f t="shared" si="58"/>
        <v>0.14415691829245161</v>
      </c>
      <c r="H926" s="3">
        <f t="shared" si="59"/>
        <v>6.0624251357637577</v>
      </c>
    </row>
    <row r="927" spans="1:8" x14ac:dyDescent="0.3">
      <c r="A927" s="2">
        <v>42563</v>
      </c>
      <c r="B927" s="3">
        <v>36851.763746850367</v>
      </c>
      <c r="C927" s="3">
        <v>31574.325469600979</v>
      </c>
      <c r="D927">
        <v>876</v>
      </c>
      <c r="E927" s="3">
        <f t="shared" si="56"/>
        <v>42.06822345530864</v>
      </c>
      <c r="F927" s="16">
        <f t="shared" si="57"/>
        <v>5277.4382772493882</v>
      </c>
      <c r="G927" s="23">
        <f t="shared" si="58"/>
        <v>0.1432072102030785</v>
      </c>
      <c r="H927" s="3">
        <f t="shared" si="59"/>
        <v>6.0244729192344613</v>
      </c>
    </row>
    <row r="928" spans="1:8" x14ac:dyDescent="0.3">
      <c r="A928" s="2">
        <v>42564</v>
      </c>
      <c r="B928" s="3">
        <v>33225.670471770121</v>
      </c>
      <c r="C928" s="3">
        <v>28489.081398148792</v>
      </c>
      <c r="D928">
        <v>790</v>
      </c>
      <c r="E928" s="3">
        <f t="shared" si="56"/>
        <v>42.057810723759644</v>
      </c>
      <c r="F928" s="16">
        <f t="shared" si="57"/>
        <v>4736.5890736213296</v>
      </c>
      <c r="G928" s="23">
        <f t="shared" si="58"/>
        <v>0.142558118658455</v>
      </c>
      <c r="H928" s="3">
        <f t="shared" si="59"/>
        <v>5.9956823716725687</v>
      </c>
    </row>
    <row r="929" spans="1:8" x14ac:dyDescent="0.3">
      <c r="A929" s="2">
        <v>42565</v>
      </c>
      <c r="B929" s="3">
        <v>30423.391456740119</v>
      </c>
      <c r="C929" s="3">
        <v>26053.796718671529</v>
      </c>
      <c r="D929">
        <v>723</v>
      </c>
      <c r="E929" s="3">
        <f t="shared" si="56"/>
        <v>42.07937960821593</v>
      </c>
      <c r="F929" s="16">
        <f t="shared" si="57"/>
        <v>4369.5947380685902</v>
      </c>
      <c r="G929" s="23">
        <f t="shared" si="58"/>
        <v>0.1436261550354056</v>
      </c>
      <c r="H929" s="3">
        <f t="shared" si="59"/>
        <v>6.0436994994033064</v>
      </c>
    </row>
    <row r="930" spans="1:8" x14ac:dyDescent="0.3">
      <c r="A930" s="2">
        <v>42566</v>
      </c>
      <c r="B930" s="3">
        <v>80345.637659439148</v>
      </c>
      <c r="C930" s="3">
        <v>68788.094536384728</v>
      </c>
      <c r="D930">
        <v>1910</v>
      </c>
      <c r="E930" s="3">
        <f t="shared" si="56"/>
        <v>42.065778879287514</v>
      </c>
      <c r="F930" s="16">
        <f t="shared" si="57"/>
        <v>11557.54312305442</v>
      </c>
      <c r="G930" s="23">
        <f t="shared" si="58"/>
        <v>0.14384779883188367</v>
      </c>
      <c r="H930" s="3">
        <f t="shared" si="59"/>
        <v>6.0510696979342509</v>
      </c>
    </row>
    <row r="931" spans="1:8" x14ac:dyDescent="0.3">
      <c r="A931" s="2">
        <v>42567</v>
      </c>
      <c r="B931" s="3">
        <v>95297.338626638681</v>
      </c>
      <c r="C931" s="3">
        <v>81655.857730858726</v>
      </c>
      <c r="D931">
        <v>2266</v>
      </c>
      <c r="E931" s="3">
        <f t="shared" si="56"/>
        <v>42.055312721376296</v>
      </c>
      <c r="F931" s="16">
        <f t="shared" si="57"/>
        <v>13641.480895779954</v>
      </c>
      <c r="G931" s="23">
        <f t="shared" si="58"/>
        <v>0.14314650432395937</v>
      </c>
      <c r="H931" s="3">
        <f t="shared" si="59"/>
        <v>6.0200710043159553</v>
      </c>
    </row>
    <row r="932" spans="1:8" x14ac:dyDescent="0.3">
      <c r="A932" s="2">
        <v>42568</v>
      </c>
      <c r="B932" s="3">
        <v>45324.054527670247</v>
      </c>
      <c r="C932" s="3">
        <v>38809.808900032527</v>
      </c>
      <c r="D932">
        <v>1078</v>
      </c>
      <c r="E932" s="3">
        <f t="shared" si="56"/>
        <v>42.044577483924165</v>
      </c>
      <c r="F932" s="16">
        <f t="shared" si="57"/>
        <v>6514.2456276377197</v>
      </c>
      <c r="G932" s="23">
        <f t="shared" si="58"/>
        <v>0.14372601250095102</v>
      </c>
      <c r="H932" s="3">
        <f t="shared" si="59"/>
        <v>6.0428994690516884</v>
      </c>
    </row>
    <row r="933" spans="1:8" x14ac:dyDescent="0.3">
      <c r="A933" s="2">
        <v>42569</v>
      </c>
      <c r="B933" s="3">
        <v>51604.118408790237</v>
      </c>
      <c r="C933" s="3">
        <v>44222.784476633977</v>
      </c>
      <c r="D933">
        <v>1227</v>
      </c>
      <c r="E933" s="3">
        <f t="shared" si="56"/>
        <v>42.057146217432958</v>
      </c>
      <c r="F933" s="16">
        <f t="shared" si="57"/>
        <v>7381.3339321562598</v>
      </c>
      <c r="G933" s="23">
        <f t="shared" si="58"/>
        <v>0.14303769078436432</v>
      </c>
      <c r="H933" s="3">
        <f t="shared" si="59"/>
        <v>6.0157570759219725</v>
      </c>
    </row>
    <row r="934" spans="1:8" x14ac:dyDescent="0.3">
      <c r="A934" s="2">
        <v>42570</v>
      </c>
      <c r="B934" s="3">
        <v>37870.119032340357</v>
      </c>
      <c r="C934" s="3">
        <v>32436.79596517127</v>
      </c>
      <c r="D934">
        <v>900</v>
      </c>
      <c r="E934" s="3">
        <f t="shared" si="56"/>
        <v>42.077910035933733</v>
      </c>
      <c r="F934" s="16">
        <f t="shared" si="57"/>
        <v>5433.3230671690872</v>
      </c>
      <c r="G934" s="23">
        <f t="shared" si="58"/>
        <v>0.14347256375215334</v>
      </c>
      <c r="H934" s="3">
        <f t="shared" si="59"/>
        <v>6.0370256301878742</v>
      </c>
    </row>
    <row r="935" spans="1:8" x14ac:dyDescent="0.3">
      <c r="A935" s="2">
        <v>42571</v>
      </c>
      <c r="B935" s="3">
        <v>42723.524457810243</v>
      </c>
      <c r="C935" s="3">
        <v>36607.390656376527</v>
      </c>
      <c r="D935">
        <v>1016</v>
      </c>
      <c r="E935" s="3">
        <f t="shared" si="56"/>
        <v>42.050713049025831</v>
      </c>
      <c r="F935" s="16">
        <f t="shared" si="57"/>
        <v>6116.1338014337161</v>
      </c>
      <c r="G935" s="23">
        <f t="shared" si="58"/>
        <v>0.14315611549027135</v>
      </c>
      <c r="H935" s="3">
        <f t="shared" si="59"/>
        <v>6.0198167336946025</v>
      </c>
    </row>
    <row r="936" spans="1:8" x14ac:dyDescent="0.3">
      <c r="A936" s="2">
        <v>42572</v>
      </c>
      <c r="B936" s="3">
        <v>35169.915809850128</v>
      </c>
      <c r="C936" s="3">
        <v>30133.318639665871</v>
      </c>
      <c r="D936">
        <v>836</v>
      </c>
      <c r="E936" s="3">
        <f t="shared" si="56"/>
        <v>42.069277284509724</v>
      </c>
      <c r="F936" s="16">
        <f t="shared" si="57"/>
        <v>5036.5971701842573</v>
      </c>
      <c r="G936" s="23">
        <f t="shared" si="58"/>
        <v>0.14320754128088201</v>
      </c>
      <c r="H936" s="3">
        <f t="shared" si="59"/>
        <v>6.0246377633782986</v>
      </c>
    </row>
    <row r="937" spans="1:8" x14ac:dyDescent="0.3">
      <c r="A937" s="2">
        <v>42573</v>
      </c>
      <c r="B937" s="3">
        <v>61148.205011279642</v>
      </c>
      <c r="C937" s="3">
        <v>52384.447482992728</v>
      </c>
      <c r="D937">
        <v>1454</v>
      </c>
      <c r="E937" s="3">
        <f t="shared" si="56"/>
        <v>42.05516163086633</v>
      </c>
      <c r="F937" s="16">
        <f t="shared" si="57"/>
        <v>8763.7575282869147</v>
      </c>
      <c r="G937" s="23">
        <f t="shared" si="58"/>
        <v>0.14331994744032661</v>
      </c>
      <c r="H937" s="3">
        <f t="shared" si="59"/>
        <v>6.0273435545302023</v>
      </c>
    </row>
    <row r="938" spans="1:8" x14ac:dyDescent="0.3">
      <c r="A938" s="2">
        <v>42574</v>
      </c>
      <c r="B938" s="3">
        <v>77171.701800149516</v>
      </c>
      <c r="C938" s="3">
        <v>66113.832037556145</v>
      </c>
      <c r="D938">
        <v>1835</v>
      </c>
      <c r="E938" s="3">
        <f t="shared" si="56"/>
        <v>42.05542332433216</v>
      </c>
      <c r="F938" s="16">
        <f t="shared" si="57"/>
        <v>11057.869762593371</v>
      </c>
      <c r="G938" s="23">
        <f t="shared" si="58"/>
        <v>0.14328917860629511</v>
      </c>
      <c r="H938" s="3">
        <f t="shared" si="59"/>
        <v>6.0260870640835806</v>
      </c>
    </row>
    <row r="939" spans="1:8" x14ac:dyDescent="0.3">
      <c r="A939" s="2">
        <v>42575</v>
      </c>
      <c r="B939" s="3">
        <v>40881.354912270253</v>
      </c>
      <c r="C939" s="3">
        <v>35019.112638998413</v>
      </c>
      <c r="D939">
        <v>972</v>
      </c>
      <c r="E939" s="3">
        <f t="shared" si="56"/>
        <v>42.05900711138915</v>
      </c>
      <c r="F939" s="16">
        <f t="shared" si="57"/>
        <v>5862.2422732718405</v>
      </c>
      <c r="G939" s="23">
        <f t="shared" si="58"/>
        <v>0.14339647709455758</v>
      </c>
      <c r="H939" s="3">
        <f t="shared" si="59"/>
        <v>6.0311134498681485</v>
      </c>
    </row>
    <row r="940" spans="1:8" x14ac:dyDescent="0.3">
      <c r="A940" s="2">
        <v>42576</v>
      </c>
      <c r="B940" s="3">
        <v>43085.59501152025</v>
      </c>
      <c r="C940" s="3">
        <v>36887.366171890637</v>
      </c>
      <c r="D940">
        <v>1024</v>
      </c>
      <c r="E940" s="3">
        <f t="shared" si="56"/>
        <v>42.075776378437745</v>
      </c>
      <c r="F940" s="16">
        <f t="shared" si="57"/>
        <v>6198.2288396296135</v>
      </c>
      <c r="G940" s="23">
        <f t="shared" si="58"/>
        <v>0.14385849465400971</v>
      </c>
      <c r="H940" s="3">
        <f t="shared" si="59"/>
        <v>6.0529578512007944</v>
      </c>
    </row>
    <row r="941" spans="1:8" x14ac:dyDescent="0.3">
      <c r="A941" s="2">
        <v>42577</v>
      </c>
      <c r="B941" s="3">
        <v>43894.993432110241</v>
      </c>
      <c r="C941" s="3">
        <v>37604.658419582847</v>
      </c>
      <c r="D941">
        <v>1044</v>
      </c>
      <c r="E941" s="3">
        <f t="shared" si="56"/>
        <v>42.045012866005976</v>
      </c>
      <c r="F941" s="16">
        <f t="shared" si="57"/>
        <v>6290.3350125273937</v>
      </c>
      <c r="G941" s="23">
        <f t="shared" si="58"/>
        <v>0.14330415659490367</v>
      </c>
      <c r="H941" s="3">
        <f t="shared" si="59"/>
        <v>6.02522510778486</v>
      </c>
    </row>
    <row r="942" spans="1:8" x14ac:dyDescent="0.3">
      <c r="A942" s="2">
        <v>42578</v>
      </c>
      <c r="B942" s="3">
        <v>67780.728886469529</v>
      </c>
      <c r="C942" s="3">
        <v>58196.145986195363</v>
      </c>
      <c r="D942">
        <v>1611</v>
      </c>
      <c r="E942" s="3">
        <f t="shared" si="56"/>
        <v>42.073698874282762</v>
      </c>
      <c r="F942" s="16">
        <f t="shared" si="57"/>
        <v>9584.5829002741666</v>
      </c>
      <c r="G942" s="23">
        <f t="shared" si="58"/>
        <v>0.14140572191733178</v>
      </c>
      <c r="H942" s="3">
        <f t="shared" si="59"/>
        <v>5.9494617630503823</v>
      </c>
    </row>
    <row r="943" spans="1:8" x14ac:dyDescent="0.3">
      <c r="A943" s="2">
        <v>42579</v>
      </c>
      <c r="B943" s="3">
        <v>51907.943146500242</v>
      </c>
      <c r="C943" s="3">
        <v>44544.630743101319</v>
      </c>
      <c r="D943">
        <v>1234</v>
      </c>
      <c r="E943" s="3">
        <f t="shared" si="56"/>
        <v>42.064783749189822</v>
      </c>
      <c r="F943" s="16">
        <f t="shared" si="57"/>
        <v>7363.3124033989225</v>
      </c>
      <c r="G943" s="23">
        <f t="shared" si="58"/>
        <v>0.14185328789887477</v>
      </c>
      <c r="H943" s="3">
        <f t="shared" si="59"/>
        <v>5.9670278795777332</v>
      </c>
    </row>
    <row r="944" spans="1:8" x14ac:dyDescent="0.3">
      <c r="A944" s="2">
        <v>42580</v>
      </c>
      <c r="B944" s="3">
        <v>93508.633886369164</v>
      </c>
      <c r="C944" s="3">
        <v>80346.69413385824</v>
      </c>
      <c r="D944">
        <v>2223</v>
      </c>
      <c r="E944" s="3">
        <f t="shared" si="56"/>
        <v>42.064162791888961</v>
      </c>
      <c r="F944" s="16">
        <f t="shared" si="57"/>
        <v>13161.939752510923</v>
      </c>
      <c r="G944" s="23">
        <f t="shared" si="58"/>
        <v>0.14075641152564791</v>
      </c>
      <c r="H944" s="3">
        <f t="shared" si="59"/>
        <v>5.92080060841697</v>
      </c>
    </row>
    <row r="945" spans="1:8" x14ac:dyDescent="0.3">
      <c r="A945" s="2">
        <v>42581</v>
      </c>
      <c r="B945" s="3">
        <v>95343.59551217893</v>
      </c>
      <c r="C945" s="3">
        <v>81874.288863507725</v>
      </c>
      <c r="D945">
        <v>2267</v>
      </c>
      <c r="E945" s="3">
        <f t="shared" si="56"/>
        <v>42.057166083890131</v>
      </c>
      <c r="F945" s="16">
        <f t="shared" si="57"/>
        <v>13469.306648671205</v>
      </c>
      <c r="G945" s="23">
        <f t="shared" si="58"/>
        <v>0.14127122620365909</v>
      </c>
      <c r="H945" s="3">
        <f t="shared" si="59"/>
        <v>5.9414674233221021</v>
      </c>
    </row>
    <row r="946" spans="1:8" x14ac:dyDescent="0.3">
      <c r="A946" s="2">
        <v>42582</v>
      </c>
      <c r="B946" s="3">
        <v>59514.992330639878</v>
      </c>
      <c r="C946" s="3">
        <v>51145.403341245627</v>
      </c>
      <c r="D946">
        <v>1415</v>
      </c>
      <c r="E946" s="3">
        <f t="shared" si="56"/>
        <v>42.060065251335601</v>
      </c>
      <c r="F946" s="16">
        <f t="shared" si="57"/>
        <v>8369.5889893942513</v>
      </c>
      <c r="G946" s="23">
        <f t="shared" si="58"/>
        <v>0.14062992637042426</v>
      </c>
      <c r="H946" s="3">
        <f t="shared" si="59"/>
        <v>5.9149038794305664</v>
      </c>
    </row>
    <row r="947" spans="1:8" x14ac:dyDescent="0.3">
      <c r="A947" s="2">
        <v>42583</v>
      </c>
      <c r="B947" s="3">
        <v>65133.966200159761</v>
      </c>
      <c r="C947" s="3">
        <v>55946.056559077122</v>
      </c>
      <c r="D947">
        <v>1548</v>
      </c>
      <c r="E947" s="3">
        <f t="shared" si="56"/>
        <v>42.07620555565876</v>
      </c>
      <c r="F947" s="16">
        <f t="shared" si="57"/>
        <v>9187.9096410826387</v>
      </c>
      <c r="G947" s="23">
        <f t="shared" si="58"/>
        <v>0.1410617251964629</v>
      </c>
      <c r="H947" s="3">
        <f t="shared" si="59"/>
        <v>5.9353421454022213</v>
      </c>
    </row>
    <row r="948" spans="1:8" x14ac:dyDescent="0.3">
      <c r="A948" s="2">
        <v>42584</v>
      </c>
      <c r="B948" s="3">
        <v>70641.253717499887</v>
      </c>
      <c r="C948" s="3">
        <v>60629.552999890897</v>
      </c>
      <c r="D948">
        <v>1679</v>
      </c>
      <c r="E948" s="3">
        <f t="shared" si="56"/>
        <v>42.073409003871284</v>
      </c>
      <c r="F948" s="16">
        <f t="shared" si="57"/>
        <v>10011.70071760899</v>
      </c>
      <c r="G948" s="23">
        <f t="shared" si="58"/>
        <v>0.14172597725468739</v>
      </c>
      <c r="H948" s="3">
        <f t="shared" si="59"/>
        <v>5.9628950075098217</v>
      </c>
    </row>
    <row r="949" spans="1:8" x14ac:dyDescent="0.3">
      <c r="A949" s="2">
        <v>42585</v>
      </c>
      <c r="B949" s="3">
        <v>48442.171479960249</v>
      </c>
      <c r="C949" s="3">
        <v>41610.783939948822</v>
      </c>
      <c r="D949">
        <v>1152</v>
      </c>
      <c r="E949" s="3">
        <f t="shared" si="56"/>
        <v>42.050496076354385</v>
      </c>
      <c r="F949" s="16">
        <f t="shared" si="57"/>
        <v>6831.3875400114266</v>
      </c>
      <c r="G949" s="23">
        <f t="shared" si="58"/>
        <v>0.14102149699951957</v>
      </c>
      <c r="H949" s="3">
        <f t="shared" si="59"/>
        <v>5.9300239062599189</v>
      </c>
    </row>
    <row r="950" spans="1:8" x14ac:dyDescent="0.3">
      <c r="A950" s="2">
        <v>42586</v>
      </c>
      <c r="B950" s="3">
        <v>46291.371916890253</v>
      </c>
      <c r="C950" s="3">
        <v>39783.360668054564</v>
      </c>
      <c r="D950">
        <v>1101</v>
      </c>
      <c r="E950" s="3">
        <f t="shared" si="56"/>
        <v>42.04484279463238</v>
      </c>
      <c r="F950" s="16">
        <f t="shared" si="57"/>
        <v>6508.0112488356899</v>
      </c>
      <c r="G950" s="23">
        <f t="shared" si="58"/>
        <v>0.14058799684139678</v>
      </c>
      <c r="H950" s="3">
        <f t="shared" si="59"/>
        <v>5.9110002260088006</v>
      </c>
    </row>
    <row r="951" spans="1:8" x14ac:dyDescent="0.3">
      <c r="A951" s="2">
        <v>42587</v>
      </c>
      <c r="B951" s="3">
        <v>73453.14329216964</v>
      </c>
      <c r="C951" s="3">
        <v>63386.492591361231</v>
      </c>
      <c r="D951">
        <v>1746</v>
      </c>
      <c r="E951" s="3">
        <f t="shared" si="56"/>
        <v>42.069383328848588</v>
      </c>
      <c r="F951" s="16">
        <f t="shared" si="57"/>
        <v>10066.650700808408</v>
      </c>
      <c r="G951" s="23">
        <f t="shared" si="58"/>
        <v>0.13704860336292168</v>
      </c>
      <c r="H951" s="3">
        <f t="shared" si="59"/>
        <v>5.7655502295580803</v>
      </c>
    </row>
    <row r="952" spans="1:8" x14ac:dyDescent="0.3">
      <c r="A952" s="2">
        <v>42588</v>
      </c>
      <c r="B952" s="3">
        <v>71508.897954089523</v>
      </c>
      <c r="C952" s="3">
        <v>61500.574648541122</v>
      </c>
      <c r="D952">
        <v>1700</v>
      </c>
      <c r="E952" s="3">
        <f t="shared" si="56"/>
        <v>42.064057620052658</v>
      </c>
      <c r="F952" s="16">
        <f t="shared" si="57"/>
        <v>10008.323305548402</v>
      </c>
      <c r="G952" s="23">
        <f t="shared" si="58"/>
        <v>0.13995913224636733</v>
      </c>
      <c r="H952" s="3">
        <f t="shared" si="59"/>
        <v>5.8872490032637659</v>
      </c>
    </row>
    <row r="953" spans="1:8" x14ac:dyDescent="0.3">
      <c r="A953" s="2">
        <v>42589</v>
      </c>
      <c r="B953" s="3">
        <v>30066.12618285013</v>
      </c>
      <c r="C953" s="3">
        <v>25872.48835407582</v>
      </c>
      <c r="D953">
        <v>715</v>
      </c>
      <c r="E953" s="3">
        <f t="shared" si="56"/>
        <v>42.050526129860323</v>
      </c>
      <c r="F953" s="16">
        <f t="shared" si="57"/>
        <v>4193.63782877431</v>
      </c>
      <c r="G953" s="23">
        <f t="shared" si="58"/>
        <v>0.13948048389307904</v>
      </c>
      <c r="H953" s="3">
        <f t="shared" si="59"/>
        <v>5.8652277325514826</v>
      </c>
    </row>
    <row r="954" spans="1:8" x14ac:dyDescent="0.3">
      <c r="A954" s="2">
        <v>42590</v>
      </c>
      <c r="B954" s="3">
        <v>37726.615903170241</v>
      </c>
      <c r="C954" s="3">
        <v>32490.136024940541</v>
      </c>
      <c r="D954">
        <v>897</v>
      </c>
      <c r="E954" s="3">
        <f t="shared" si="56"/>
        <v>42.058657640100606</v>
      </c>
      <c r="F954" s="16">
        <f t="shared" si="57"/>
        <v>5236.4798782297003</v>
      </c>
      <c r="G954" s="23">
        <f t="shared" si="58"/>
        <v>0.13880067832401763</v>
      </c>
      <c r="H954" s="3">
        <f t="shared" si="59"/>
        <v>5.8377702098435904</v>
      </c>
    </row>
    <row r="955" spans="1:8" x14ac:dyDescent="0.3">
      <c r="A955" s="2">
        <v>42591</v>
      </c>
      <c r="B955" s="3">
        <v>30831.694626900251</v>
      </c>
      <c r="C955" s="3">
        <v>26577.079448522589</v>
      </c>
      <c r="D955">
        <v>733</v>
      </c>
      <c r="E955" s="3">
        <f t="shared" si="56"/>
        <v>42.062339190859824</v>
      </c>
      <c r="F955" s="16">
        <f t="shared" si="57"/>
        <v>4254.6151783776622</v>
      </c>
      <c r="G955" s="23">
        <f t="shared" si="58"/>
        <v>0.13799485334372655</v>
      </c>
      <c r="H955" s="3">
        <f t="shared" si="59"/>
        <v>5.8043863279367836</v>
      </c>
    </row>
    <row r="956" spans="1:8" x14ac:dyDescent="0.3">
      <c r="A956" s="2">
        <v>42592</v>
      </c>
      <c r="B956" s="3">
        <v>146811.45511516009</v>
      </c>
      <c r="C956" s="3">
        <v>155135.6291118357</v>
      </c>
      <c r="D956">
        <v>4282</v>
      </c>
      <c r="E956" s="3">
        <f t="shared" si="56"/>
        <v>34.285720484624029</v>
      </c>
      <c r="F956" s="16">
        <f t="shared" si="57"/>
        <v>-8324.173996675614</v>
      </c>
      <c r="G956" s="23">
        <f t="shared" si="58"/>
        <v>-5.6699758136352946E-2</v>
      </c>
      <c r="H956" s="3">
        <f t="shared" si="59"/>
        <v>-1.9439920590087842</v>
      </c>
    </row>
    <row r="957" spans="1:8" x14ac:dyDescent="0.3">
      <c r="A957" s="2">
        <v>42593</v>
      </c>
      <c r="B957" s="3">
        <v>99867.329619087352</v>
      </c>
      <c r="C957" s="3">
        <v>103826.7014124711</v>
      </c>
      <c r="D957">
        <v>2867</v>
      </c>
      <c r="E957" s="3">
        <f t="shared" si="56"/>
        <v>34.833390170592033</v>
      </c>
      <c r="F957" s="16">
        <f t="shared" si="57"/>
        <v>-3959.371793383747</v>
      </c>
      <c r="G957" s="23">
        <f t="shared" si="58"/>
        <v>-3.9646316853424741E-2</v>
      </c>
      <c r="H957" s="3">
        <f t="shared" si="59"/>
        <v>-1.3810156237822626</v>
      </c>
    </row>
    <row r="958" spans="1:8" x14ac:dyDescent="0.3">
      <c r="A958" s="2">
        <v>42594</v>
      </c>
      <c r="B958" s="3">
        <v>210664.86278147751</v>
      </c>
      <c r="C958" s="3">
        <v>220379.27667655639</v>
      </c>
      <c r="D958">
        <v>6082</v>
      </c>
      <c r="E958" s="3">
        <f t="shared" si="56"/>
        <v>34.637432223195908</v>
      </c>
      <c r="F958" s="16">
        <f t="shared" si="57"/>
        <v>-9714.4138950788765</v>
      </c>
      <c r="G958" s="23">
        <f t="shared" si="58"/>
        <v>-4.6113119040433574E-2</v>
      </c>
      <c r="H958" s="3">
        <f t="shared" si="59"/>
        <v>-1.5972400353631826</v>
      </c>
    </row>
    <row r="959" spans="1:8" x14ac:dyDescent="0.3">
      <c r="A959" s="2">
        <v>42595</v>
      </c>
      <c r="B959" s="3">
        <v>266271.03907309339</v>
      </c>
      <c r="C959" s="3">
        <v>281658.41831912257</v>
      </c>
      <c r="D959">
        <v>7771</v>
      </c>
      <c r="E959" s="3">
        <f t="shared" si="56"/>
        <v>34.264707125607181</v>
      </c>
      <c r="F959" s="16">
        <f t="shared" si="57"/>
        <v>-15387.379246029188</v>
      </c>
      <c r="G959" s="23">
        <f t="shared" si="58"/>
        <v>-5.778840725447891E-2</v>
      </c>
      <c r="H959" s="3">
        <f t="shared" si="59"/>
        <v>-1.9801028498300333</v>
      </c>
    </row>
    <row r="960" spans="1:8" x14ac:dyDescent="0.3">
      <c r="A960" s="2">
        <v>42596</v>
      </c>
      <c r="B960" s="3">
        <v>123084.0390694151</v>
      </c>
      <c r="C960" s="3">
        <v>129601.5272266189</v>
      </c>
      <c r="D960">
        <v>3576</v>
      </c>
      <c r="E960" s="3">
        <f t="shared" si="56"/>
        <v>34.419474012699972</v>
      </c>
      <c r="F960" s="16">
        <f t="shared" si="57"/>
        <v>-6517.4881572037993</v>
      </c>
      <c r="G960" s="23">
        <f t="shared" si="58"/>
        <v>-5.2951529755439403E-2</v>
      </c>
      <c r="H960" s="3">
        <f t="shared" si="59"/>
        <v>-1.8225638023500557</v>
      </c>
    </row>
    <row r="961" spans="1:8" x14ac:dyDescent="0.3">
      <c r="A961" s="2">
        <v>42597</v>
      </c>
      <c r="B961" s="3">
        <v>162727.52477714521</v>
      </c>
      <c r="C961" s="3">
        <v>168580.1705714394</v>
      </c>
      <c r="D961">
        <v>4649</v>
      </c>
      <c r="E961" s="3">
        <f t="shared" si="56"/>
        <v>35.00269407983334</v>
      </c>
      <c r="F961" s="16">
        <f t="shared" si="57"/>
        <v>-5852.6457942941925</v>
      </c>
      <c r="G961" s="23">
        <f t="shared" si="58"/>
        <v>-3.596592403349938E-2</v>
      </c>
      <c r="H961" s="3">
        <f t="shared" si="59"/>
        <v>-1.2589042362431044</v>
      </c>
    </row>
    <row r="962" spans="1:8" x14ac:dyDescent="0.3">
      <c r="A962" s="2">
        <v>42598</v>
      </c>
      <c r="B962" s="3">
        <v>114708.9459940466</v>
      </c>
      <c r="C962" s="3">
        <v>119758.061703468</v>
      </c>
      <c r="D962">
        <v>3302</v>
      </c>
      <c r="E962" s="3">
        <f t="shared" ref="E962:E1025" si="60">B962/D962</f>
        <v>34.739232584508358</v>
      </c>
      <c r="F962" s="16">
        <f t="shared" ref="F962:F1025" si="61">B962-C962</f>
        <v>-5049.1157094213995</v>
      </c>
      <c r="G962" s="23">
        <f t="shared" ref="G962:G1025" si="62">F962/B962</f>
        <v>-4.4016756196883271E-2</v>
      </c>
      <c r="H962" s="3">
        <f t="shared" ref="H962:H1025" si="63">F962/D962</f>
        <v>-1.5291083311391276</v>
      </c>
    </row>
    <row r="963" spans="1:8" x14ac:dyDescent="0.3">
      <c r="A963" s="2">
        <v>42599</v>
      </c>
      <c r="B963" s="3">
        <v>122318.90746898641</v>
      </c>
      <c r="C963" s="3">
        <v>128298.34345694909</v>
      </c>
      <c r="D963">
        <v>3536</v>
      </c>
      <c r="E963" s="3">
        <f t="shared" si="60"/>
        <v>34.592451207292534</v>
      </c>
      <c r="F963" s="16">
        <f t="shared" si="61"/>
        <v>-5979.4359879626863</v>
      </c>
      <c r="G963" s="23">
        <f t="shared" si="62"/>
        <v>-4.8883987861637453E-2</v>
      </c>
      <c r="H963" s="3">
        <f t="shared" si="63"/>
        <v>-1.6910169649215743</v>
      </c>
    </row>
    <row r="964" spans="1:8" x14ac:dyDescent="0.3">
      <c r="A964" s="2">
        <v>42600</v>
      </c>
      <c r="B964" s="3">
        <v>112010.3445314969</v>
      </c>
      <c r="C964" s="3">
        <v>117374.1915793604</v>
      </c>
      <c r="D964">
        <v>3236</v>
      </c>
      <c r="E964" s="3">
        <f t="shared" si="60"/>
        <v>34.613827111092988</v>
      </c>
      <c r="F964" s="16">
        <f t="shared" si="61"/>
        <v>-5363.847047863499</v>
      </c>
      <c r="G964" s="23">
        <f t="shared" si="62"/>
        <v>-4.7887068558700889E-2</v>
      </c>
      <c r="H964" s="3">
        <f t="shared" si="63"/>
        <v>-1.6575547119479292</v>
      </c>
    </row>
    <row r="965" spans="1:8" x14ac:dyDescent="0.3">
      <c r="A965" s="2">
        <v>42601</v>
      </c>
      <c r="B965" s="3">
        <v>229861.4702805799</v>
      </c>
      <c r="C965" s="3">
        <v>241090.13355630499</v>
      </c>
      <c r="D965">
        <v>6646</v>
      </c>
      <c r="E965" s="3">
        <f t="shared" si="60"/>
        <v>34.586438501441457</v>
      </c>
      <c r="F965" s="16">
        <f t="shared" si="61"/>
        <v>-11228.663275725092</v>
      </c>
      <c r="G965" s="23">
        <f t="shared" si="62"/>
        <v>-4.8849697437412402E-2</v>
      </c>
      <c r="H965" s="3">
        <f t="shared" si="63"/>
        <v>-1.6895370562330863</v>
      </c>
    </row>
    <row r="966" spans="1:8" x14ac:dyDescent="0.3">
      <c r="A966" s="2">
        <v>42602</v>
      </c>
      <c r="B966" s="3">
        <v>249981.2496941947</v>
      </c>
      <c r="C966" s="3">
        <v>262145.17733741982</v>
      </c>
      <c r="D966">
        <v>7220</v>
      </c>
      <c r="E966" s="3">
        <f t="shared" si="60"/>
        <v>34.623441785899544</v>
      </c>
      <c r="F966" s="16">
        <f t="shared" si="61"/>
        <v>-12163.927643225121</v>
      </c>
      <c r="G966" s="23">
        <f t="shared" si="62"/>
        <v>-4.8659360084427977E-2</v>
      </c>
      <c r="H966" s="3">
        <f t="shared" si="63"/>
        <v>-1.6847545212223158</v>
      </c>
    </row>
    <row r="967" spans="1:8" x14ac:dyDescent="0.3">
      <c r="A967" s="2">
        <v>42603</v>
      </c>
      <c r="B967" s="3">
        <v>136480.2491167002</v>
      </c>
      <c r="C967" s="3">
        <v>143734.22721517089</v>
      </c>
      <c r="D967">
        <v>3958</v>
      </c>
      <c r="E967" s="3">
        <f t="shared" si="60"/>
        <v>34.482124587342142</v>
      </c>
      <c r="F967" s="16">
        <f t="shared" si="61"/>
        <v>-7253.9780984706886</v>
      </c>
      <c r="G967" s="23">
        <f t="shared" si="62"/>
        <v>-5.3150387293534523E-2</v>
      </c>
      <c r="H967" s="3">
        <f t="shared" si="63"/>
        <v>-1.8327382765211442</v>
      </c>
    </row>
    <row r="968" spans="1:8" x14ac:dyDescent="0.3">
      <c r="A968" s="2">
        <v>42604</v>
      </c>
      <c r="B968" s="3">
        <v>127369.80261433141</v>
      </c>
      <c r="C968" s="3">
        <v>133350.16138222881</v>
      </c>
      <c r="D968">
        <v>3672</v>
      </c>
      <c r="E968" s="3">
        <f t="shared" si="60"/>
        <v>34.686765417846246</v>
      </c>
      <c r="F968" s="16">
        <f t="shared" si="61"/>
        <v>-5980.3587678974</v>
      </c>
      <c r="G968" s="23">
        <f t="shared" si="62"/>
        <v>-4.6952720701040812E-2</v>
      </c>
      <c r="H968" s="3">
        <f t="shared" si="63"/>
        <v>-1.6286380086866559</v>
      </c>
    </row>
    <row r="969" spans="1:8" x14ac:dyDescent="0.3">
      <c r="A969" s="2">
        <v>42605</v>
      </c>
      <c r="B969" s="3">
        <v>43537.728158220249</v>
      </c>
      <c r="C969" s="3">
        <v>37649.387527999519</v>
      </c>
      <c r="D969">
        <v>1035</v>
      </c>
      <c r="E969" s="3">
        <f t="shared" si="60"/>
        <v>42.065437834029225</v>
      </c>
      <c r="F969" s="16">
        <f t="shared" si="61"/>
        <v>5888.3406302207295</v>
      </c>
      <c r="G969" s="23">
        <f t="shared" si="62"/>
        <v>0.1352468509340207</v>
      </c>
      <c r="H969" s="3">
        <f t="shared" si="63"/>
        <v>5.6892180002132653</v>
      </c>
    </row>
    <row r="970" spans="1:8" x14ac:dyDescent="0.3">
      <c r="A970" s="2">
        <v>42606</v>
      </c>
      <c r="B970" s="3">
        <v>120407.4132678633</v>
      </c>
      <c r="C970" s="3">
        <v>127699.4159113958</v>
      </c>
      <c r="D970">
        <v>3549</v>
      </c>
      <c r="E970" s="3">
        <f t="shared" si="60"/>
        <v>33.927138142536855</v>
      </c>
      <c r="F970" s="16">
        <f t="shared" si="61"/>
        <v>-7292.002643532498</v>
      </c>
      <c r="G970" s="23">
        <f t="shared" si="62"/>
        <v>-6.0561077143235421E-2</v>
      </c>
      <c r="H970" s="3">
        <f t="shared" si="63"/>
        <v>-2.0546640302993797</v>
      </c>
    </row>
    <row r="971" spans="1:8" x14ac:dyDescent="0.3">
      <c r="A971" s="2">
        <v>42607</v>
      </c>
      <c r="B971" s="3">
        <v>226375.54313479611</v>
      </c>
      <c r="C971" s="3">
        <v>240429.68554720341</v>
      </c>
      <c r="D971">
        <v>6647</v>
      </c>
      <c r="E971" s="3">
        <f t="shared" si="60"/>
        <v>34.056799027350102</v>
      </c>
      <c r="F971" s="16">
        <f t="shared" si="61"/>
        <v>-14054.142412407295</v>
      </c>
      <c r="G971" s="23">
        <f t="shared" si="62"/>
        <v>-6.208330731221573E-2</v>
      </c>
      <c r="H971" s="3">
        <f t="shared" si="63"/>
        <v>-2.1143587200853458</v>
      </c>
    </row>
    <row r="972" spans="1:8" x14ac:dyDescent="0.3">
      <c r="A972" s="2">
        <v>42608</v>
      </c>
      <c r="B972" s="3">
        <v>337900.17823359562</v>
      </c>
      <c r="C972" s="3">
        <v>358772.25036410952</v>
      </c>
      <c r="D972">
        <v>9908</v>
      </c>
      <c r="E972" s="3">
        <f t="shared" si="60"/>
        <v>34.103772530641464</v>
      </c>
      <c r="F972" s="16">
        <f t="shared" si="61"/>
        <v>-20872.072130513901</v>
      </c>
      <c r="G972" s="23">
        <f t="shared" si="62"/>
        <v>-6.1769935250181235E-2</v>
      </c>
      <c r="H972" s="3">
        <f t="shared" si="63"/>
        <v>-2.1065878210046329</v>
      </c>
    </row>
    <row r="973" spans="1:8" x14ac:dyDescent="0.3">
      <c r="A973" s="2">
        <v>42609</v>
      </c>
      <c r="B973" s="3">
        <v>355069.54010681692</v>
      </c>
      <c r="C973" s="3">
        <v>376755.56448352599</v>
      </c>
      <c r="D973">
        <v>10393</v>
      </c>
      <c r="E973" s="3">
        <f t="shared" si="60"/>
        <v>34.164297133341378</v>
      </c>
      <c r="F973" s="16">
        <f t="shared" si="61"/>
        <v>-21686.024376709072</v>
      </c>
      <c r="G973" s="23">
        <f t="shared" si="62"/>
        <v>-6.1075428689786188E-2</v>
      </c>
      <c r="H973" s="3">
        <f t="shared" si="63"/>
        <v>-2.0865990933040579</v>
      </c>
    </row>
    <row r="974" spans="1:8" x14ac:dyDescent="0.3">
      <c r="A974" s="2">
        <v>42610</v>
      </c>
      <c r="B974" s="3">
        <v>153893.68522805019</v>
      </c>
      <c r="C974" s="3">
        <v>163401.32915405891</v>
      </c>
      <c r="D974">
        <v>4507</v>
      </c>
      <c r="E974" s="3">
        <f t="shared" si="60"/>
        <v>34.145481523862919</v>
      </c>
      <c r="F974" s="16">
        <f t="shared" si="61"/>
        <v>-9507.6439260087209</v>
      </c>
      <c r="G974" s="23">
        <f t="shared" si="62"/>
        <v>-6.1780598157225516E-2</v>
      </c>
      <c r="H974" s="3">
        <f t="shared" si="63"/>
        <v>-2.1095282729107434</v>
      </c>
    </row>
    <row r="975" spans="1:8" x14ac:dyDescent="0.3">
      <c r="A975" s="2">
        <v>42611</v>
      </c>
      <c r="B975" s="3">
        <v>159625.74092242509</v>
      </c>
      <c r="C975" s="3">
        <v>169479.10605406531</v>
      </c>
      <c r="D975">
        <v>4672</v>
      </c>
      <c r="E975" s="3">
        <f t="shared" si="60"/>
        <v>34.166468519354687</v>
      </c>
      <c r="F975" s="16">
        <f t="shared" si="61"/>
        <v>-9853.3651316402247</v>
      </c>
      <c r="G975" s="23">
        <f t="shared" si="62"/>
        <v>-6.1727921040183382E-2</v>
      </c>
      <c r="H975" s="3">
        <f t="shared" si="63"/>
        <v>-2.1090250709846372</v>
      </c>
    </row>
    <row r="976" spans="1:8" x14ac:dyDescent="0.3">
      <c r="A976" s="2">
        <v>42612</v>
      </c>
      <c r="B976" s="3">
        <v>133961.9669928514</v>
      </c>
      <c r="C976" s="3">
        <v>142299.91779184839</v>
      </c>
      <c r="D976">
        <v>3924</v>
      </c>
      <c r="E976" s="3">
        <f t="shared" si="60"/>
        <v>34.139135319279156</v>
      </c>
      <c r="F976" s="16">
        <f t="shared" si="61"/>
        <v>-8337.9507989969861</v>
      </c>
      <c r="G976" s="23">
        <f t="shared" si="62"/>
        <v>-6.2241179240387856E-2</v>
      </c>
      <c r="H976" s="3">
        <f t="shared" si="63"/>
        <v>-2.1248600405191098</v>
      </c>
    </row>
    <row r="977" spans="1:8" x14ac:dyDescent="0.3">
      <c r="A977" s="2">
        <v>42613</v>
      </c>
      <c r="B977" s="3">
        <v>236305.15636647621</v>
      </c>
      <c r="C977" s="3">
        <v>250572.4533877949</v>
      </c>
      <c r="D977">
        <v>6918</v>
      </c>
      <c r="E977" s="3">
        <f t="shared" si="60"/>
        <v>34.158016242624491</v>
      </c>
      <c r="F977" s="16">
        <f t="shared" si="61"/>
        <v>-14267.297021318693</v>
      </c>
      <c r="G977" s="23">
        <f t="shared" si="62"/>
        <v>-6.0376579337913863E-2</v>
      </c>
      <c r="H977" s="3">
        <f t="shared" si="63"/>
        <v>-2.0623441776985678</v>
      </c>
    </row>
    <row r="978" spans="1:8" x14ac:dyDescent="0.3">
      <c r="A978" s="2">
        <v>42614</v>
      </c>
      <c r="B978" s="3">
        <v>313491.73511881451</v>
      </c>
      <c r="C978" s="3">
        <v>333030.87570402719</v>
      </c>
      <c r="D978">
        <v>9183</v>
      </c>
      <c r="E978" s="3">
        <f t="shared" si="60"/>
        <v>34.138270186084561</v>
      </c>
      <c r="F978" s="16">
        <f t="shared" si="61"/>
        <v>-19539.140585212677</v>
      </c>
      <c r="G978" s="23">
        <f t="shared" si="62"/>
        <v>-6.23274504439719E-2</v>
      </c>
      <c r="H978" s="3">
        <f t="shared" si="63"/>
        <v>-2.1277513432661088</v>
      </c>
    </row>
    <row r="979" spans="1:8" x14ac:dyDescent="0.3">
      <c r="A979" s="2">
        <v>42615</v>
      </c>
      <c r="B979" s="3">
        <v>370355.00173424062</v>
      </c>
      <c r="C979" s="3">
        <v>392493.08269182261</v>
      </c>
      <c r="D979">
        <v>10830</v>
      </c>
      <c r="E979" s="3">
        <f t="shared" si="60"/>
        <v>34.197137740927111</v>
      </c>
      <c r="F979" s="16">
        <f t="shared" si="61"/>
        <v>-22138.080957581988</v>
      </c>
      <c r="G979" s="23">
        <f t="shared" si="62"/>
        <v>-5.9775298980484226E-2</v>
      </c>
      <c r="H979" s="3">
        <f t="shared" si="63"/>
        <v>-2.044144132740719</v>
      </c>
    </row>
    <row r="980" spans="1:8" x14ac:dyDescent="0.3">
      <c r="A980" s="2">
        <v>42616</v>
      </c>
      <c r="B980" s="3">
        <v>369091.05539249809</v>
      </c>
      <c r="C980" s="3">
        <v>391842.50139780319</v>
      </c>
      <c r="D980">
        <v>10800</v>
      </c>
      <c r="E980" s="3">
        <f t="shared" si="60"/>
        <v>34.1750977215276</v>
      </c>
      <c r="F980" s="16">
        <f t="shared" si="61"/>
        <v>-22751.446005305101</v>
      </c>
      <c r="G980" s="23">
        <f t="shared" si="62"/>
        <v>-6.164182434903713E-2</v>
      </c>
      <c r="H980" s="3">
        <f t="shared" si="63"/>
        <v>-2.1066153708615833</v>
      </c>
    </row>
    <row r="981" spans="1:8" x14ac:dyDescent="0.3">
      <c r="A981" s="2">
        <v>42617</v>
      </c>
      <c r="B981" s="3">
        <v>209026.01967195861</v>
      </c>
      <c r="C981" s="3">
        <v>222163.72890927369</v>
      </c>
      <c r="D981">
        <v>6119</v>
      </c>
      <c r="E981" s="3">
        <f t="shared" si="60"/>
        <v>34.160160103278088</v>
      </c>
      <c r="F981" s="16">
        <f t="shared" si="61"/>
        <v>-13137.709237315081</v>
      </c>
      <c r="G981" s="23">
        <f t="shared" si="62"/>
        <v>-6.2852027981651029E-2</v>
      </c>
      <c r="H981" s="3">
        <f t="shared" si="63"/>
        <v>-2.1470353386689132</v>
      </c>
    </row>
    <row r="982" spans="1:8" x14ac:dyDescent="0.3">
      <c r="A982" s="2">
        <v>42618</v>
      </c>
      <c r="B982" s="3">
        <v>228177.31678002991</v>
      </c>
      <c r="C982" s="3">
        <v>242589.58721854401</v>
      </c>
      <c r="D982">
        <v>6685</v>
      </c>
      <c r="E982" s="3">
        <f t="shared" si="60"/>
        <v>34.132732502622275</v>
      </c>
      <c r="F982" s="16">
        <f t="shared" si="61"/>
        <v>-14412.270438514097</v>
      </c>
      <c r="G982" s="23">
        <f t="shared" si="62"/>
        <v>-6.3162590576029853E-2</v>
      </c>
      <c r="H982" s="3">
        <f t="shared" si="63"/>
        <v>-2.1559118083042779</v>
      </c>
    </row>
    <row r="983" spans="1:8" x14ac:dyDescent="0.3">
      <c r="A983" s="2">
        <v>42619</v>
      </c>
      <c r="B983" s="3">
        <v>154494.7820491702</v>
      </c>
      <c r="C983" s="3">
        <v>164108.82644458601</v>
      </c>
      <c r="D983">
        <v>4519</v>
      </c>
      <c r="E983" s="3">
        <f t="shared" si="60"/>
        <v>34.187825193443281</v>
      </c>
      <c r="F983" s="16">
        <f t="shared" si="61"/>
        <v>-9614.0443954158109</v>
      </c>
      <c r="G983" s="23">
        <f t="shared" si="62"/>
        <v>-6.2228926232317683E-2</v>
      </c>
      <c r="H983" s="3">
        <f t="shared" si="63"/>
        <v>-2.1274716520061543</v>
      </c>
    </row>
    <row r="984" spans="1:8" x14ac:dyDescent="0.3">
      <c r="A984" s="2">
        <v>42620</v>
      </c>
      <c r="B984" s="3">
        <v>50736.474172200127</v>
      </c>
      <c r="C984" s="3">
        <v>43830.196852872301</v>
      </c>
      <c r="D984">
        <v>1206</v>
      </c>
      <c r="E984" s="3">
        <f t="shared" si="60"/>
        <v>42.07004491890558</v>
      </c>
      <c r="F984" s="16">
        <f t="shared" si="61"/>
        <v>6906.2773193278263</v>
      </c>
      <c r="G984" s="23">
        <f t="shared" si="62"/>
        <v>0.13612056083928592</v>
      </c>
      <c r="H984" s="3">
        <f t="shared" si="63"/>
        <v>5.7265981088953781</v>
      </c>
    </row>
    <row r="985" spans="1:8" x14ac:dyDescent="0.3">
      <c r="A985" s="2">
        <v>42621</v>
      </c>
      <c r="B985" s="3">
        <v>43292.149236510253</v>
      </c>
      <c r="C985" s="3">
        <v>37391.680889456111</v>
      </c>
      <c r="D985">
        <v>1029</v>
      </c>
      <c r="E985" s="3">
        <f t="shared" si="60"/>
        <v>42.072059510699951</v>
      </c>
      <c r="F985" s="16">
        <f t="shared" si="61"/>
        <v>5900.4683470541422</v>
      </c>
      <c r="G985" s="23">
        <f t="shared" si="62"/>
        <v>0.13629418846403696</v>
      </c>
      <c r="H985" s="3">
        <f t="shared" si="63"/>
        <v>5.7341772080215181</v>
      </c>
    </row>
    <row r="986" spans="1:8" x14ac:dyDescent="0.3">
      <c r="A986" s="2">
        <v>42622</v>
      </c>
      <c r="B986" s="3">
        <v>77335.918597634154</v>
      </c>
      <c r="C986" s="3">
        <v>69612.126701887464</v>
      </c>
      <c r="D986">
        <v>1917</v>
      </c>
      <c r="E986" s="3">
        <f t="shared" si="60"/>
        <v>40.342158892871232</v>
      </c>
      <c r="F986" s="16">
        <f t="shared" si="61"/>
        <v>7723.79189574669</v>
      </c>
      <c r="G986" s="23">
        <f t="shared" si="62"/>
        <v>9.987328056361866E-2</v>
      </c>
      <c r="H986" s="3">
        <f t="shared" si="63"/>
        <v>4.029103753649812</v>
      </c>
    </row>
    <row r="987" spans="1:8" x14ac:dyDescent="0.3">
      <c r="A987" s="2">
        <v>42623</v>
      </c>
      <c r="B987" s="3">
        <v>85070.234889733911</v>
      </c>
      <c r="C987" s="3">
        <v>76591.852917484997</v>
      </c>
      <c r="D987">
        <v>2108</v>
      </c>
      <c r="E987" s="3">
        <f t="shared" si="60"/>
        <v>40.355898904048345</v>
      </c>
      <c r="F987" s="16">
        <f t="shared" si="61"/>
        <v>8478.3819722489134</v>
      </c>
      <c r="G987" s="23">
        <f t="shared" si="62"/>
        <v>9.9663319176659118E-2</v>
      </c>
      <c r="H987" s="3">
        <f t="shared" si="63"/>
        <v>4.0220028331351578</v>
      </c>
    </row>
    <row r="988" spans="1:8" x14ac:dyDescent="0.3">
      <c r="A988" s="2">
        <v>42624</v>
      </c>
      <c r="B988" s="3">
        <v>48831.666105370241</v>
      </c>
      <c r="C988" s="3">
        <v>44014.232018730218</v>
      </c>
      <c r="D988">
        <v>1211</v>
      </c>
      <c r="E988" s="3">
        <f t="shared" si="60"/>
        <v>40.323423703856513</v>
      </c>
      <c r="F988" s="16">
        <f t="shared" si="61"/>
        <v>4817.4340866400235</v>
      </c>
      <c r="G988" s="23">
        <f t="shared" si="62"/>
        <v>9.8653895532559516E-2</v>
      </c>
      <c r="H988" s="3">
        <f t="shared" si="63"/>
        <v>3.978062829595395</v>
      </c>
    </row>
    <row r="989" spans="1:8" x14ac:dyDescent="0.3">
      <c r="A989" s="2">
        <v>42625</v>
      </c>
      <c r="B989" s="3">
        <v>52075.157176600122</v>
      </c>
      <c r="C989" s="3">
        <v>46884.142508087811</v>
      </c>
      <c r="D989">
        <v>1291</v>
      </c>
      <c r="E989" s="3">
        <f t="shared" si="60"/>
        <v>40.337069850193743</v>
      </c>
      <c r="F989" s="16">
        <f t="shared" si="61"/>
        <v>5191.0146685123109</v>
      </c>
      <c r="G989" s="23">
        <f t="shared" si="62"/>
        <v>9.9683130113429289E-2</v>
      </c>
      <c r="H989" s="3">
        <f t="shared" si="63"/>
        <v>4.0209253822713489</v>
      </c>
    </row>
    <row r="990" spans="1:8" x14ac:dyDescent="0.3">
      <c r="A990" s="2">
        <v>42626</v>
      </c>
      <c r="B990" s="3">
        <v>30424.72625669013</v>
      </c>
      <c r="C990" s="3">
        <v>27398.58812689369</v>
      </c>
      <c r="D990">
        <v>755</v>
      </c>
      <c r="E990" s="3">
        <f t="shared" si="60"/>
        <v>40.297650671112756</v>
      </c>
      <c r="F990" s="16">
        <f t="shared" si="61"/>
        <v>3026.1381297964399</v>
      </c>
      <c r="G990" s="23">
        <f t="shared" si="62"/>
        <v>9.9463117737370557E-2</v>
      </c>
      <c r="H990" s="3">
        <f t="shared" si="63"/>
        <v>4.0081299732403179</v>
      </c>
    </row>
    <row r="991" spans="1:8" x14ac:dyDescent="0.3">
      <c r="A991" s="2">
        <v>42627</v>
      </c>
      <c r="B991" s="3">
        <v>20495.113025005001</v>
      </c>
      <c r="C991" s="3">
        <v>18375.052607697839</v>
      </c>
      <c r="D991">
        <v>508</v>
      </c>
      <c r="E991" s="3">
        <f t="shared" si="60"/>
        <v>40.344710679143702</v>
      </c>
      <c r="F991" s="16">
        <f t="shared" si="61"/>
        <v>2120.0604173071624</v>
      </c>
      <c r="G991" s="23">
        <f t="shared" si="62"/>
        <v>0.10344224082690294</v>
      </c>
      <c r="H991" s="3">
        <f t="shared" si="63"/>
        <v>4.173347278163706</v>
      </c>
    </row>
    <row r="992" spans="1:8" x14ac:dyDescent="0.3">
      <c r="A992" s="2">
        <v>42628</v>
      </c>
      <c r="B992" s="3">
        <v>40742.171681120242</v>
      </c>
      <c r="C992" s="3">
        <v>36464.759814940677</v>
      </c>
      <c r="D992">
        <v>1010</v>
      </c>
      <c r="E992" s="3">
        <f t="shared" si="60"/>
        <v>40.33878384269331</v>
      </c>
      <c r="F992" s="16">
        <f t="shared" si="61"/>
        <v>4277.4118661795655</v>
      </c>
      <c r="G992" s="23">
        <f t="shared" si="62"/>
        <v>0.10498733105485639</v>
      </c>
      <c r="H992" s="3">
        <f t="shared" si="63"/>
        <v>4.235061253643134</v>
      </c>
    </row>
    <row r="993" spans="1:8" x14ac:dyDescent="0.3">
      <c r="A993" s="2">
        <v>42629</v>
      </c>
      <c r="B993" s="3">
        <v>69864.836990219526</v>
      </c>
      <c r="C993" s="3">
        <v>62545.19068453311</v>
      </c>
      <c r="D993">
        <v>1733</v>
      </c>
      <c r="E993" s="3">
        <f t="shared" si="60"/>
        <v>40.314389492336716</v>
      </c>
      <c r="F993" s="16">
        <f t="shared" si="61"/>
        <v>7319.6463056864159</v>
      </c>
      <c r="G993" s="23">
        <f t="shared" si="62"/>
        <v>0.10476867364209413</v>
      </c>
      <c r="H993" s="3">
        <f t="shared" si="63"/>
        <v>4.2236851158028941</v>
      </c>
    </row>
    <row r="994" spans="1:8" x14ac:dyDescent="0.3">
      <c r="A994" s="2">
        <v>42630</v>
      </c>
      <c r="B994" s="3">
        <v>100120.7110532329</v>
      </c>
      <c r="C994" s="3">
        <v>89572.407615025208</v>
      </c>
      <c r="D994">
        <v>2482</v>
      </c>
      <c r="E994" s="3">
        <f t="shared" si="60"/>
        <v>40.338723228538633</v>
      </c>
      <c r="F994" s="16">
        <f t="shared" si="61"/>
        <v>10548.303438207688</v>
      </c>
      <c r="G994" s="23">
        <f t="shared" si="62"/>
        <v>0.10535585821598181</v>
      </c>
      <c r="H994" s="3">
        <f t="shared" si="63"/>
        <v>4.2499208050796486</v>
      </c>
    </row>
    <row r="995" spans="1:8" x14ac:dyDescent="0.3">
      <c r="A995" s="2">
        <v>42631</v>
      </c>
      <c r="B995" s="3">
        <v>49825.097035430132</v>
      </c>
      <c r="C995" s="3">
        <v>44593.796883395269</v>
      </c>
      <c r="D995">
        <v>1235</v>
      </c>
      <c r="E995" s="3">
        <f t="shared" si="60"/>
        <v>40.344208125854358</v>
      </c>
      <c r="F995" s="16">
        <f t="shared" si="61"/>
        <v>5231.3001520348625</v>
      </c>
      <c r="G995" s="23">
        <f t="shared" si="62"/>
        <v>0.10499327574444937</v>
      </c>
      <c r="H995" s="3">
        <f t="shared" si="63"/>
        <v>4.2358705684492817</v>
      </c>
    </row>
    <row r="996" spans="1:8" x14ac:dyDescent="0.3">
      <c r="A996" s="2">
        <v>42632</v>
      </c>
      <c r="B996" s="3">
        <v>46566.462052040253</v>
      </c>
      <c r="C996" s="3">
        <v>41660.440426083711</v>
      </c>
      <c r="D996">
        <v>1155</v>
      </c>
      <c r="E996" s="3">
        <f t="shared" si="60"/>
        <v>40.317283161939613</v>
      </c>
      <c r="F996" s="16">
        <f t="shared" si="61"/>
        <v>4906.0216259565423</v>
      </c>
      <c r="G996" s="23">
        <f t="shared" si="62"/>
        <v>0.10535525804974893</v>
      </c>
      <c r="H996" s="3">
        <f t="shared" si="63"/>
        <v>4.2476377713909459</v>
      </c>
    </row>
    <row r="997" spans="1:8" x14ac:dyDescent="0.3">
      <c r="A997" s="2">
        <v>42633</v>
      </c>
      <c r="B997" s="3">
        <v>37923.765855785372</v>
      </c>
      <c r="C997" s="3">
        <v>34031.14948711513</v>
      </c>
      <c r="D997">
        <v>940</v>
      </c>
      <c r="E997" s="3">
        <f t="shared" si="60"/>
        <v>40.3444317614738</v>
      </c>
      <c r="F997" s="16">
        <f t="shared" si="61"/>
        <v>3892.6163686702421</v>
      </c>
      <c r="G997" s="23">
        <f t="shared" si="62"/>
        <v>0.10264319169865387</v>
      </c>
      <c r="H997" s="3">
        <f t="shared" si="63"/>
        <v>4.141081243266215</v>
      </c>
    </row>
    <row r="998" spans="1:8" x14ac:dyDescent="0.3">
      <c r="A998" s="2">
        <v>42634</v>
      </c>
      <c r="B998" s="3">
        <v>50084.812702065246</v>
      </c>
      <c r="C998" s="3">
        <v>44832.212598977239</v>
      </c>
      <c r="D998">
        <v>1241</v>
      </c>
      <c r="E998" s="3">
        <f t="shared" si="60"/>
        <v>40.358430863872073</v>
      </c>
      <c r="F998" s="16">
        <f t="shared" si="61"/>
        <v>5252.600103088007</v>
      </c>
      <c r="G998" s="23">
        <f t="shared" si="62"/>
        <v>0.10487410893065825</v>
      </c>
      <c r="H998" s="3">
        <f t="shared" si="63"/>
        <v>4.2325544746881603</v>
      </c>
    </row>
    <row r="999" spans="1:8" x14ac:dyDescent="0.3">
      <c r="A999" s="2">
        <v>42635</v>
      </c>
      <c r="B999" s="3">
        <v>41885.828278280373</v>
      </c>
      <c r="C999" s="3">
        <v>37565.478590927647</v>
      </c>
      <c r="D999">
        <v>1039</v>
      </c>
      <c r="E999" s="3">
        <f t="shared" si="60"/>
        <v>40.313597957921438</v>
      </c>
      <c r="F999" s="16">
        <f t="shared" si="61"/>
        <v>4320.3496873527256</v>
      </c>
      <c r="G999" s="23">
        <f t="shared" si="62"/>
        <v>0.10314585779823328</v>
      </c>
      <c r="H999" s="3">
        <f t="shared" si="63"/>
        <v>4.158180642302912</v>
      </c>
    </row>
    <row r="1000" spans="1:8" x14ac:dyDescent="0.3">
      <c r="A1000" s="2">
        <v>42636</v>
      </c>
      <c r="B1000" s="3">
        <v>147503.57315832519</v>
      </c>
      <c r="C1000" s="3">
        <v>131964.51579369849</v>
      </c>
      <c r="D1000">
        <v>3657</v>
      </c>
      <c r="E1000" s="3">
        <f t="shared" si="60"/>
        <v>40.334583855161384</v>
      </c>
      <c r="F1000" s="16">
        <f t="shared" si="61"/>
        <v>15539.0573646267</v>
      </c>
      <c r="G1000" s="23">
        <f t="shared" si="62"/>
        <v>0.1053469894451141</v>
      </c>
      <c r="H1000" s="3">
        <f t="shared" si="63"/>
        <v>4.2491269796627567</v>
      </c>
    </row>
    <row r="1001" spans="1:8" x14ac:dyDescent="0.3">
      <c r="A1001" s="2">
        <v>42637</v>
      </c>
      <c r="B1001" s="3">
        <v>151639.18384341139</v>
      </c>
      <c r="C1001" s="3">
        <v>135498.16319719431</v>
      </c>
      <c r="D1001">
        <v>3758</v>
      </c>
      <c r="E1001" s="3">
        <f t="shared" si="60"/>
        <v>40.351033486804518</v>
      </c>
      <c r="F1001" s="16">
        <f t="shared" si="61"/>
        <v>16141.020646217075</v>
      </c>
      <c r="G1001" s="23">
        <f t="shared" si="62"/>
        <v>0.10644360011120167</v>
      </c>
      <c r="H1001" s="3">
        <f t="shared" si="63"/>
        <v>4.2951092725431277</v>
      </c>
    </row>
    <row r="1002" spans="1:8" x14ac:dyDescent="0.3">
      <c r="A1002" s="2">
        <v>42638</v>
      </c>
      <c r="B1002" s="3">
        <v>72457.297587654524</v>
      </c>
      <c r="C1002" s="3">
        <v>64758.504173580448</v>
      </c>
      <c r="D1002">
        <v>1797</v>
      </c>
      <c r="E1002" s="3">
        <f t="shared" si="60"/>
        <v>40.321256309212309</v>
      </c>
      <c r="F1002" s="16">
        <f t="shared" si="61"/>
        <v>7698.7934140740763</v>
      </c>
      <c r="G1002" s="23">
        <f t="shared" si="62"/>
        <v>0.1062528367796292</v>
      </c>
      <c r="H1002" s="3">
        <f t="shared" si="63"/>
        <v>4.2842478653723299</v>
      </c>
    </row>
    <row r="1003" spans="1:8" x14ac:dyDescent="0.3">
      <c r="A1003" s="2">
        <v>42639</v>
      </c>
      <c r="B1003" s="3">
        <v>67355.061182414633</v>
      </c>
      <c r="C1003" s="3">
        <v>60179.020849316512</v>
      </c>
      <c r="D1003">
        <v>1671</v>
      </c>
      <c r="E1003" s="3">
        <f t="shared" si="60"/>
        <v>40.308235297674827</v>
      </c>
      <c r="F1003" s="16">
        <f t="shared" si="61"/>
        <v>7176.0403330981208</v>
      </c>
      <c r="G1003" s="23">
        <f t="shared" si="62"/>
        <v>0.10654047679748339</v>
      </c>
      <c r="H1003" s="3">
        <f t="shared" si="63"/>
        <v>4.2944586074794255</v>
      </c>
    </row>
    <row r="1004" spans="1:8" x14ac:dyDescent="0.3">
      <c r="A1004" s="2">
        <v>42640</v>
      </c>
      <c r="B1004" s="3">
        <v>58941.792828474892</v>
      </c>
      <c r="C1004" s="3">
        <v>52812.7825145229</v>
      </c>
      <c r="D1004">
        <v>1462</v>
      </c>
      <c r="E1004" s="3">
        <f t="shared" si="60"/>
        <v>40.315863767766686</v>
      </c>
      <c r="F1004" s="16">
        <f t="shared" si="61"/>
        <v>6129.0103139519924</v>
      </c>
      <c r="G1004" s="23">
        <f t="shared" si="62"/>
        <v>0.10398411754776241</v>
      </c>
      <c r="H1004" s="3">
        <f t="shared" si="63"/>
        <v>4.1922095170670266</v>
      </c>
    </row>
    <row r="1005" spans="1:8" x14ac:dyDescent="0.3">
      <c r="A1005" s="2">
        <v>42641</v>
      </c>
      <c r="B1005" s="3">
        <v>58796.785015724643</v>
      </c>
      <c r="C1005" s="3">
        <v>57168.560498432882</v>
      </c>
      <c r="D1005">
        <v>1581</v>
      </c>
      <c r="E1005" s="3">
        <f t="shared" si="60"/>
        <v>37.189617340749301</v>
      </c>
      <c r="F1005" s="16">
        <f t="shared" si="61"/>
        <v>1628.224517291761</v>
      </c>
      <c r="G1005" s="23">
        <f t="shared" si="62"/>
        <v>2.7692407277988208E-2</v>
      </c>
      <c r="H1005" s="3">
        <f t="shared" si="63"/>
        <v>1.0298700299125623</v>
      </c>
    </row>
    <row r="1006" spans="1:8" x14ac:dyDescent="0.3">
      <c r="A1006" s="2">
        <v>42642</v>
      </c>
      <c r="B1006" s="3">
        <v>57019.389671394638</v>
      </c>
      <c r="C1006" s="3">
        <v>55187.383906271898</v>
      </c>
      <c r="D1006">
        <v>1534</v>
      </c>
      <c r="E1006" s="3">
        <f t="shared" si="60"/>
        <v>37.170397438979556</v>
      </c>
      <c r="F1006" s="16">
        <f t="shared" si="61"/>
        <v>1832.0057651227398</v>
      </c>
      <c r="G1006" s="23">
        <f t="shared" si="62"/>
        <v>3.2129522530505383E-2</v>
      </c>
      <c r="H1006" s="3">
        <f t="shared" si="63"/>
        <v>1.1942671219835332</v>
      </c>
    </row>
    <row r="1007" spans="1:8" x14ac:dyDescent="0.3">
      <c r="A1007" s="2">
        <v>42643</v>
      </c>
      <c r="B1007" s="3">
        <v>155918.3825994826</v>
      </c>
      <c r="C1007" s="3">
        <v>151036.44551858699</v>
      </c>
      <c r="D1007">
        <v>4216</v>
      </c>
      <c r="E1007" s="3">
        <f t="shared" si="60"/>
        <v>36.982538567239708</v>
      </c>
      <c r="F1007" s="16">
        <f t="shared" si="61"/>
        <v>4881.9370808956155</v>
      </c>
      <c r="G1007" s="23">
        <f t="shared" si="62"/>
        <v>3.1310849942794469E-2</v>
      </c>
      <c r="H1007" s="3">
        <f t="shared" si="63"/>
        <v>1.1579547155824514</v>
      </c>
    </row>
    <row r="1008" spans="1:8" x14ac:dyDescent="0.3">
      <c r="A1008" s="2">
        <v>42644</v>
      </c>
      <c r="B1008" s="3">
        <v>208489.09032479019</v>
      </c>
      <c r="C1008" s="3">
        <v>201416.83759006459</v>
      </c>
      <c r="D1008">
        <v>5632</v>
      </c>
      <c r="E1008" s="3">
        <f t="shared" si="60"/>
        <v>37.018659503691438</v>
      </c>
      <c r="F1008" s="16">
        <f t="shared" si="61"/>
        <v>7072.2527347255964</v>
      </c>
      <c r="G1008" s="23">
        <f t="shared" si="62"/>
        <v>3.392145231056571E-2</v>
      </c>
      <c r="H1008" s="3">
        <f t="shared" si="63"/>
        <v>1.2557266929555391</v>
      </c>
    </row>
    <row r="1009" spans="1:8" x14ac:dyDescent="0.3">
      <c r="A1009" s="2">
        <v>42645</v>
      </c>
      <c r="B1009" s="3">
        <v>118580.4725762977</v>
      </c>
      <c r="C1009" s="3">
        <v>113346.95726852609</v>
      </c>
      <c r="D1009">
        <v>3173</v>
      </c>
      <c r="E1009" s="3">
        <f t="shared" si="60"/>
        <v>37.371721580932146</v>
      </c>
      <c r="F1009" s="16">
        <f t="shared" si="61"/>
        <v>5233.5153077716095</v>
      </c>
      <c r="G1009" s="23">
        <f t="shared" si="62"/>
        <v>4.4134714545046465E-2</v>
      </c>
      <c r="H1009" s="3">
        <f t="shared" si="63"/>
        <v>1.6493902640313929</v>
      </c>
    </row>
    <row r="1010" spans="1:8" x14ac:dyDescent="0.3">
      <c r="A1010" s="2">
        <v>42646</v>
      </c>
      <c r="B1010" s="3">
        <v>142758.8811215114</v>
      </c>
      <c r="C1010" s="3">
        <v>126506.34468214821</v>
      </c>
      <c r="D1010">
        <v>3540</v>
      </c>
      <c r="E1010" s="3">
        <f t="shared" si="60"/>
        <v>40.327367548449544</v>
      </c>
      <c r="F1010" s="16">
        <f t="shared" si="61"/>
        <v>16252.53643936319</v>
      </c>
      <c r="G1010" s="23">
        <f t="shared" si="62"/>
        <v>0.11384606205711011</v>
      </c>
      <c r="H1010" s="3">
        <f t="shared" si="63"/>
        <v>4.5911119885206748</v>
      </c>
    </row>
    <row r="1011" spans="1:8" x14ac:dyDescent="0.3">
      <c r="A1011" s="2">
        <v>42647</v>
      </c>
      <c r="B1011" s="3">
        <v>96620.986929783307</v>
      </c>
      <c r="C1011" s="3">
        <v>85491.833244422392</v>
      </c>
      <c r="D1011">
        <v>2397</v>
      </c>
      <c r="E1011" s="3">
        <f t="shared" si="60"/>
        <v>40.30913096778611</v>
      </c>
      <c r="F1011" s="16">
        <f t="shared" si="61"/>
        <v>11129.153685360914</v>
      </c>
      <c r="G1011" s="23">
        <f t="shared" si="62"/>
        <v>0.11518360595352567</v>
      </c>
      <c r="H1011" s="3">
        <f t="shared" si="63"/>
        <v>4.6429510577225344</v>
      </c>
    </row>
    <row r="1012" spans="1:8" x14ac:dyDescent="0.3">
      <c r="A1012" s="2">
        <v>42648</v>
      </c>
      <c r="B1012" s="3">
        <v>78861.594940484283</v>
      </c>
      <c r="C1012" s="3">
        <v>69675.429153985417</v>
      </c>
      <c r="D1012">
        <v>1955</v>
      </c>
      <c r="E1012" s="3">
        <f t="shared" si="60"/>
        <v>40.338411734263062</v>
      </c>
      <c r="F1012" s="16">
        <f t="shared" si="61"/>
        <v>9186.1657864988665</v>
      </c>
      <c r="G1012" s="23">
        <f t="shared" si="62"/>
        <v>0.11648465635816184</v>
      </c>
      <c r="H1012" s="3">
        <f t="shared" si="63"/>
        <v>4.6988060288996758</v>
      </c>
    </row>
    <row r="1013" spans="1:8" x14ac:dyDescent="0.3">
      <c r="A1013" s="2">
        <v>42649</v>
      </c>
      <c r="B1013" s="3">
        <v>70279.474392869641</v>
      </c>
      <c r="C1013" s="3">
        <v>61976.305791476298</v>
      </c>
      <c r="D1013">
        <v>1740</v>
      </c>
      <c r="E1013" s="3">
        <f t="shared" si="60"/>
        <v>40.390502524637725</v>
      </c>
      <c r="F1013" s="16">
        <f t="shared" si="61"/>
        <v>8303.1686013933431</v>
      </c>
      <c r="G1013" s="23">
        <f t="shared" si="62"/>
        <v>0.11814500141218699</v>
      </c>
      <c r="H1013" s="3">
        <f t="shared" si="63"/>
        <v>4.7719359778122659</v>
      </c>
    </row>
    <row r="1014" spans="1:8" x14ac:dyDescent="0.3">
      <c r="A1014" s="2">
        <v>42650</v>
      </c>
      <c r="B1014" s="3">
        <v>87748.862891213546</v>
      </c>
      <c r="C1014" s="3">
        <v>77446.609435800405</v>
      </c>
      <c r="D1014">
        <v>2176</v>
      </c>
      <c r="E1014" s="3">
        <f t="shared" si="60"/>
        <v>40.325764196329757</v>
      </c>
      <c r="F1014" s="16">
        <f t="shared" si="61"/>
        <v>10302.253455413142</v>
      </c>
      <c r="G1014" s="23">
        <f t="shared" si="62"/>
        <v>0.11740611919023199</v>
      </c>
      <c r="H1014" s="3">
        <f t="shared" si="63"/>
        <v>4.7344914776714804</v>
      </c>
    </row>
    <row r="1015" spans="1:8" x14ac:dyDescent="0.3">
      <c r="A1015" s="2">
        <v>42651</v>
      </c>
      <c r="B1015" s="3">
        <v>92053.325769973191</v>
      </c>
      <c r="C1015" s="3">
        <v>81209.248347010551</v>
      </c>
      <c r="D1015">
        <v>2283</v>
      </c>
      <c r="E1015" s="3">
        <f t="shared" si="60"/>
        <v>40.321211462975555</v>
      </c>
      <c r="F1015" s="16">
        <f t="shared" si="61"/>
        <v>10844.07742296264</v>
      </c>
      <c r="G1015" s="23">
        <f t="shared" si="62"/>
        <v>0.1178021253687269</v>
      </c>
      <c r="H1015" s="3">
        <f t="shared" si="63"/>
        <v>4.7499244077803944</v>
      </c>
    </row>
    <row r="1016" spans="1:8" x14ac:dyDescent="0.3">
      <c r="A1016" s="2">
        <v>42652</v>
      </c>
      <c r="B1016" s="3">
        <v>51751.383246910009</v>
      </c>
      <c r="C1016" s="3">
        <v>45607.234099697387</v>
      </c>
      <c r="D1016">
        <v>1284</v>
      </c>
      <c r="E1016" s="3">
        <f t="shared" si="60"/>
        <v>40.304815612858263</v>
      </c>
      <c r="F1016" s="16">
        <f t="shared" si="61"/>
        <v>6144.1491472126218</v>
      </c>
      <c r="G1016" s="23">
        <f t="shared" si="62"/>
        <v>0.11872434632130299</v>
      </c>
      <c r="H1016" s="3">
        <f t="shared" si="63"/>
        <v>4.7851628872372443</v>
      </c>
    </row>
    <row r="1017" spans="1:8" x14ac:dyDescent="0.3">
      <c r="A1017" s="2">
        <v>42653</v>
      </c>
      <c r="B1017" s="3">
        <v>50934.983193855121</v>
      </c>
      <c r="C1017" s="3">
        <v>44983.777302442017</v>
      </c>
      <c r="D1017">
        <v>1263</v>
      </c>
      <c r="E1017" s="3">
        <f t="shared" si="60"/>
        <v>40.328569432981091</v>
      </c>
      <c r="F1017" s="16">
        <f t="shared" si="61"/>
        <v>5951.2058914131048</v>
      </c>
      <c r="G1017" s="23">
        <f t="shared" si="62"/>
        <v>0.11683926288467035</v>
      </c>
      <c r="H1017" s="3">
        <f t="shared" si="63"/>
        <v>4.7119603257427594</v>
      </c>
    </row>
    <row r="1018" spans="1:8" x14ac:dyDescent="0.3">
      <c r="A1018" s="2">
        <v>42654</v>
      </c>
      <c r="B1018" s="3">
        <v>36113.934872670237</v>
      </c>
      <c r="C1018" s="3">
        <v>31885.288450330809</v>
      </c>
      <c r="D1018">
        <v>896</v>
      </c>
      <c r="E1018" s="3">
        <f t="shared" si="60"/>
        <v>40.305730884676606</v>
      </c>
      <c r="F1018" s="16">
        <f t="shared" si="61"/>
        <v>4228.6464223394287</v>
      </c>
      <c r="G1018" s="23">
        <f t="shared" si="62"/>
        <v>0.11709182168181624</v>
      </c>
      <c r="H1018" s="3">
        <f t="shared" si="63"/>
        <v>4.7194714535038269</v>
      </c>
    </row>
    <row r="1019" spans="1:8" x14ac:dyDescent="0.3">
      <c r="A1019" s="2">
        <v>42655</v>
      </c>
      <c r="B1019" s="3">
        <v>31023.359765175119</v>
      </c>
      <c r="C1019" s="3">
        <v>27817.642466410722</v>
      </c>
      <c r="D1019">
        <v>768</v>
      </c>
      <c r="E1019" s="3">
        <f t="shared" si="60"/>
        <v>40.394999694238436</v>
      </c>
      <c r="F1019" s="16">
        <f t="shared" si="61"/>
        <v>3205.7172987643971</v>
      </c>
      <c r="G1019" s="23">
        <f t="shared" si="62"/>
        <v>0.10333237028579137</v>
      </c>
      <c r="H1019" s="3">
        <f t="shared" si="63"/>
        <v>4.1741110660994751</v>
      </c>
    </row>
    <row r="1020" spans="1:8" x14ac:dyDescent="0.3">
      <c r="A1020" s="2">
        <v>42656</v>
      </c>
      <c r="B1020" s="3">
        <v>22334.212530659999</v>
      </c>
      <c r="C1020" s="3">
        <v>19704.093150736491</v>
      </c>
      <c r="D1020">
        <v>521</v>
      </c>
      <c r="E1020" s="3">
        <f t="shared" si="60"/>
        <v>42.86797030836852</v>
      </c>
      <c r="F1020" s="16">
        <f t="shared" si="61"/>
        <v>2630.1193799235079</v>
      </c>
      <c r="G1020" s="23">
        <f t="shared" si="62"/>
        <v>0.11776190346146873</v>
      </c>
      <c r="H1020" s="3">
        <f t="shared" si="63"/>
        <v>5.0482137810432013</v>
      </c>
    </row>
    <row r="1021" spans="1:8" x14ac:dyDescent="0.3">
      <c r="A1021" s="2">
        <v>42657</v>
      </c>
      <c r="B1021" s="3">
        <v>69440.928795190252</v>
      </c>
      <c r="C1021" s="3">
        <v>62070.751184300032</v>
      </c>
      <c r="D1021">
        <v>1618</v>
      </c>
      <c r="E1021" s="3">
        <f t="shared" si="60"/>
        <v>42.917755744864188</v>
      </c>
      <c r="F1021" s="16">
        <f t="shared" si="61"/>
        <v>7370.1776108902195</v>
      </c>
      <c r="G1021" s="23">
        <f t="shared" si="62"/>
        <v>0.10613593076538323</v>
      </c>
      <c r="H1021" s="3">
        <f t="shared" si="63"/>
        <v>4.5551159523425335</v>
      </c>
    </row>
    <row r="1022" spans="1:8" x14ac:dyDescent="0.3">
      <c r="A1022" s="2">
        <v>42658</v>
      </c>
      <c r="B1022" s="3">
        <v>92159.029791471577</v>
      </c>
      <c r="C1022" s="3">
        <v>83371.817021350085</v>
      </c>
      <c r="D1022">
        <v>2147</v>
      </c>
      <c r="E1022" s="3">
        <f t="shared" si="60"/>
        <v>42.924559753829335</v>
      </c>
      <c r="F1022" s="16">
        <f t="shared" si="61"/>
        <v>8787.2127701214922</v>
      </c>
      <c r="G1022" s="23">
        <f t="shared" si="62"/>
        <v>9.534836456074175E-2</v>
      </c>
      <c r="H1022" s="3">
        <f t="shared" si="63"/>
        <v>4.092786572017463</v>
      </c>
    </row>
    <row r="1023" spans="1:8" x14ac:dyDescent="0.3">
      <c r="A1023" s="2">
        <v>42659</v>
      </c>
      <c r="B1023" s="3">
        <v>57296.28785375024</v>
      </c>
      <c r="C1023" s="3">
        <v>52701.294613812352</v>
      </c>
      <c r="D1023">
        <v>1335</v>
      </c>
      <c r="E1023" s="3">
        <f t="shared" si="60"/>
        <v>42.918567680711789</v>
      </c>
      <c r="F1023" s="16">
        <f t="shared" si="61"/>
        <v>4594.9932399378886</v>
      </c>
      <c r="G1023" s="23">
        <f t="shared" si="62"/>
        <v>8.0197049618060554E-2</v>
      </c>
      <c r="H1023" s="3">
        <f t="shared" si="63"/>
        <v>3.4419425018261336</v>
      </c>
    </row>
    <row r="1024" spans="1:8" x14ac:dyDescent="0.3">
      <c r="A1024" s="2">
        <v>42660</v>
      </c>
      <c r="B1024" s="3">
        <v>57184.941268830247</v>
      </c>
      <c r="C1024" s="3">
        <v>51764.937371772758</v>
      </c>
      <c r="D1024">
        <v>1332</v>
      </c>
      <c r="E1024" s="3">
        <f t="shared" si="60"/>
        <v>42.931637589211896</v>
      </c>
      <c r="F1024" s="16">
        <f t="shared" si="61"/>
        <v>5420.0038970574897</v>
      </c>
      <c r="G1024" s="23">
        <f t="shared" si="62"/>
        <v>9.4780265167672156E-2</v>
      </c>
      <c r="H1024" s="3">
        <f t="shared" si="63"/>
        <v>4.0690719947879055</v>
      </c>
    </row>
    <row r="1025" spans="1:8" x14ac:dyDescent="0.3">
      <c r="A1025" s="2">
        <v>42661</v>
      </c>
      <c r="B1025" s="3">
        <v>40951.10427692964</v>
      </c>
      <c r="C1025" s="3">
        <v>37288.624545278682</v>
      </c>
      <c r="D1025">
        <v>954</v>
      </c>
      <c r="E1025" s="3">
        <f t="shared" si="60"/>
        <v>42.925685824873838</v>
      </c>
      <c r="F1025" s="16">
        <f t="shared" si="61"/>
        <v>3662.4797316509575</v>
      </c>
      <c r="G1025" s="23">
        <f t="shared" si="62"/>
        <v>8.9435432726884118E-2</v>
      </c>
      <c r="H1025" s="3">
        <f t="shared" si="63"/>
        <v>3.8390772868458676</v>
      </c>
    </row>
    <row r="1026" spans="1:8" x14ac:dyDescent="0.3">
      <c r="A1026" s="2">
        <v>42662</v>
      </c>
      <c r="B1026" s="3">
        <v>37672.447294289763</v>
      </c>
      <c r="C1026" s="3">
        <v>33678.459271288069</v>
      </c>
      <c r="D1026">
        <v>877</v>
      </c>
      <c r="E1026" s="3">
        <f t="shared" ref="E1026:E1054" si="64">B1026/D1026</f>
        <v>42.956040244344088</v>
      </c>
      <c r="F1026" s="16">
        <f t="shared" ref="F1026:F1054" si="65">B1026-C1026</f>
        <v>3993.9880230016934</v>
      </c>
      <c r="G1026" s="23">
        <f t="shared" ref="G1026:G1054" si="66">F1026/B1026</f>
        <v>0.10601880976304627</v>
      </c>
      <c r="H1026" s="3">
        <f t="shared" ref="H1026:H1054" si="67">F1026/D1026</f>
        <v>4.5541482588388753</v>
      </c>
    </row>
    <row r="1027" spans="1:8" x14ac:dyDescent="0.3">
      <c r="A1027" s="2">
        <v>42663</v>
      </c>
      <c r="B1027" s="3">
        <v>38648.137519559627</v>
      </c>
      <c r="C1027" s="3">
        <v>35038.068691629327</v>
      </c>
      <c r="D1027">
        <v>906</v>
      </c>
      <c r="E1027" s="3">
        <f t="shared" si="64"/>
        <v>42.657988432185022</v>
      </c>
      <c r="F1027" s="16">
        <f t="shared" si="65"/>
        <v>3610.0688279302994</v>
      </c>
      <c r="G1027" s="23">
        <f t="shared" si="66"/>
        <v>9.3408610598719327E-2</v>
      </c>
      <c r="H1027" s="3">
        <f t="shared" si="67"/>
        <v>3.9846234303866441</v>
      </c>
    </row>
    <row r="1028" spans="1:8" x14ac:dyDescent="0.3">
      <c r="A1028" s="2">
        <v>42664</v>
      </c>
      <c r="B1028" s="3">
        <v>96020.545374096837</v>
      </c>
      <c r="C1028" s="3">
        <v>86810.277533434695</v>
      </c>
      <c r="D1028">
        <v>2249</v>
      </c>
      <c r="E1028" s="3">
        <f t="shared" si="64"/>
        <v>42.694773398886987</v>
      </c>
      <c r="F1028" s="16">
        <f t="shared" si="65"/>
        <v>9210.2678406621417</v>
      </c>
      <c r="G1028" s="23">
        <f t="shared" si="66"/>
        <v>9.5919761804922704E-2</v>
      </c>
      <c r="H1028" s="3">
        <f t="shared" si="67"/>
        <v>4.0952724947363901</v>
      </c>
    </row>
    <row r="1029" spans="1:8" x14ac:dyDescent="0.3">
      <c r="A1029" s="2">
        <v>42665</v>
      </c>
      <c r="B1029" s="3">
        <v>105662.59415837259</v>
      </c>
      <c r="C1029" s="3">
        <v>95930.016514689429</v>
      </c>
      <c r="D1029">
        <v>2472</v>
      </c>
      <c r="E1029" s="3">
        <f t="shared" si="64"/>
        <v>42.743767863419336</v>
      </c>
      <c r="F1029" s="16">
        <f t="shared" si="65"/>
        <v>9732.5776436831657</v>
      </c>
      <c r="G1029" s="23">
        <f t="shared" si="66"/>
        <v>9.2109963049889457E-2</v>
      </c>
      <c r="H1029" s="3">
        <f t="shared" si="67"/>
        <v>3.9371268785126077</v>
      </c>
    </row>
    <row r="1030" spans="1:8" x14ac:dyDescent="0.3">
      <c r="A1030" s="2">
        <v>42666</v>
      </c>
      <c r="B1030" s="3">
        <v>54738.483516835127</v>
      </c>
      <c r="C1030" s="3">
        <v>49990.519289317977</v>
      </c>
      <c r="D1030">
        <v>1280</v>
      </c>
      <c r="E1030" s="3">
        <f t="shared" si="64"/>
        <v>42.764440247527446</v>
      </c>
      <c r="F1030" s="16">
        <f t="shared" si="65"/>
        <v>4747.96422751715</v>
      </c>
      <c r="G1030" s="23">
        <f t="shared" si="66"/>
        <v>8.6739053084232534E-2</v>
      </c>
      <c r="H1030" s="3">
        <f t="shared" si="67"/>
        <v>3.7093470527477734</v>
      </c>
    </row>
    <row r="1031" spans="1:8" x14ac:dyDescent="0.3">
      <c r="A1031" s="2">
        <v>42667</v>
      </c>
      <c r="B1031" s="3">
        <v>40131.573511264643</v>
      </c>
      <c r="C1031" s="3">
        <v>36347.698715160222</v>
      </c>
      <c r="D1031">
        <v>940</v>
      </c>
      <c r="E1031" s="3">
        <f t="shared" si="64"/>
        <v>42.693163309856004</v>
      </c>
      <c r="F1031" s="16">
        <f t="shared" si="65"/>
        <v>3783.874796104421</v>
      </c>
      <c r="G1031" s="23">
        <f t="shared" si="66"/>
        <v>9.4286729002597283E-2</v>
      </c>
      <c r="H1031" s="3">
        <f t="shared" si="67"/>
        <v>4.0253987192600222</v>
      </c>
    </row>
    <row r="1032" spans="1:8" x14ac:dyDescent="0.3">
      <c r="A1032" s="2">
        <v>42668</v>
      </c>
      <c r="B1032" s="3">
        <v>70402.991926425369</v>
      </c>
      <c r="C1032" s="3">
        <v>63452.761037813718</v>
      </c>
      <c r="D1032">
        <v>1650</v>
      </c>
      <c r="E1032" s="3">
        <f t="shared" si="64"/>
        <v>42.668479955409317</v>
      </c>
      <c r="F1032" s="16">
        <f t="shared" si="65"/>
        <v>6950.2308886116516</v>
      </c>
      <c r="G1032" s="23">
        <f t="shared" si="66"/>
        <v>9.8720675051352777E-2</v>
      </c>
      <c r="H1032" s="3">
        <f t="shared" si="67"/>
        <v>4.2122611446131222</v>
      </c>
    </row>
    <row r="1033" spans="1:8" x14ac:dyDescent="0.3">
      <c r="A1033" s="2">
        <v>42669</v>
      </c>
      <c r="B1033" s="3">
        <v>62501.740698760252</v>
      </c>
      <c r="C1033" s="3">
        <v>56100.874288607927</v>
      </c>
      <c r="D1033">
        <v>1467</v>
      </c>
      <c r="E1033" s="3">
        <f t="shared" si="64"/>
        <v>42.605140217287151</v>
      </c>
      <c r="F1033" s="16">
        <f t="shared" si="65"/>
        <v>6400.8664101523245</v>
      </c>
      <c r="G1033" s="23">
        <f t="shared" si="66"/>
        <v>0.10241101029493868</v>
      </c>
      <c r="H1033" s="3">
        <f t="shared" si="67"/>
        <v>4.3632354534099012</v>
      </c>
    </row>
    <row r="1034" spans="1:8" x14ac:dyDescent="0.3">
      <c r="A1034" s="2">
        <v>42670</v>
      </c>
      <c r="B1034" s="3">
        <v>53675.218280300003</v>
      </c>
      <c r="C1034" s="3">
        <v>48201.940975749021</v>
      </c>
      <c r="D1034">
        <v>1257</v>
      </c>
      <c r="E1034" s="3">
        <f t="shared" si="64"/>
        <v>42.701048751233095</v>
      </c>
      <c r="F1034" s="16">
        <f t="shared" si="65"/>
        <v>5473.2773045509821</v>
      </c>
      <c r="G1034" s="23">
        <f t="shared" si="66"/>
        <v>0.10197028498270302</v>
      </c>
      <c r="H1034" s="3">
        <f t="shared" si="67"/>
        <v>4.3542381102235339</v>
      </c>
    </row>
    <row r="1035" spans="1:8" x14ac:dyDescent="0.3">
      <c r="A1035" s="2">
        <v>42671</v>
      </c>
      <c r="B1035" s="3">
        <v>102606.3269819471</v>
      </c>
      <c r="C1035" s="3">
        <v>92657.699525096017</v>
      </c>
      <c r="D1035">
        <v>2405</v>
      </c>
      <c r="E1035" s="3">
        <f t="shared" si="64"/>
        <v>42.66375342284703</v>
      </c>
      <c r="F1035" s="16">
        <f t="shared" si="65"/>
        <v>9948.6274568510853</v>
      </c>
      <c r="G1035" s="23">
        <f t="shared" si="66"/>
        <v>9.6959200757683092E-2</v>
      </c>
      <c r="H1035" s="3">
        <f t="shared" si="67"/>
        <v>4.1366434332021145</v>
      </c>
    </row>
    <row r="1036" spans="1:8" x14ac:dyDescent="0.3">
      <c r="A1036" s="2">
        <v>42672</v>
      </c>
      <c r="B1036" s="3">
        <v>124988.1554671887</v>
      </c>
      <c r="C1036" s="3">
        <v>113187.8460229753</v>
      </c>
      <c r="D1036">
        <v>2929</v>
      </c>
      <c r="E1036" s="3">
        <f t="shared" si="64"/>
        <v>42.672637578418815</v>
      </c>
      <c r="F1036" s="16">
        <f t="shared" si="65"/>
        <v>11800.309444213402</v>
      </c>
      <c r="G1036" s="23">
        <f t="shared" si="66"/>
        <v>9.4411421627157016E-2</v>
      </c>
      <c r="H1036" s="3">
        <f t="shared" si="67"/>
        <v>4.0287843783589627</v>
      </c>
    </row>
    <row r="1037" spans="1:8" x14ac:dyDescent="0.3">
      <c r="A1037" s="2">
        <v>42673</v>
      </c>
      <c r="B1037" s="3">
        <v>67521.037488925373</v>
      </c>
      <c r="C1037" s="3">
        <v>61233.718874185091</v>
      </c>
      <c r="D1037">
        <v>1582</v>
      </c>
      <c r="E1037" s="3">
        <f t="shared" si="64"/>
        <v>42.680807515123497</v>
      </c>
      <c r="F1037" s="16">
        <f t="shared" si="65"/>
        <v>6287.3186147402812</v>
      </c>
      <c r="G1037" s="23">
        <f t="shared" si="66"/>
        <v>9.3116439684024568E-2</v>
      </c>
      <c r="H1037" s="3">
        <f t="shared" si="67"/>
        <v>3.9742848386474598</v>
      </c>
    </row>
    <row r="1038" spans="1:8" x14ac:dyDescent="0.3">
      <c r="A1038" s="2">
        <v>42674</v>
      </c>
      <c r="B1038" s="3">
        <v>70020.596009840374</v>
      </c>
      <c r="C1038" s="3">
        <v>62316.15133820178</v>
      </c>
      <c r="D1038">
        <v>1639</v>
      </c>
      <c r="E1038" s="3">
        <f t="shared" si="64"/>
        <v>42.721535088371184</v>
      </c>
      <c r="F1038" s="16">
        <f t="shared" si="65"/>
        <v>7704.4446716385937</v>
      </c>
      <c r="G1038" s="23">
        <f t="shared" si="66"/>
        <v>0.11003112099411216</v>
      </c>
      <c r="H1038" s="3">
        <f t="shared" si="67"/>
        <v>4.7006983963627782</v>
      </c>
    </row>
    <row r="1039" spans="1:8" x14ac:dyDescent="0.3">
      <c r="A1039" s="2">
        <v>42675</v>
      </c>
      <c r="B1039" s="3">
        <v>126954.1701789974</v>
      </c>
      <c r="C1039" s="3">
        <v>110698.74289754211</v>
      </c>
      <c r="D1039">
        <v>2971</v>
      </c>
      <c r="E1039" s="3">
        <f t="shared" si="64"/>
        <v>42.73112426085406</v>
      </c>
      <c r="F1039" s="16">
        <f t="shared" si="65"/>
        <v>16255.427281455297</v>
      </c>
      <c r="G1039" s="23">
        <f t="shared" si="66"/>
        <v>0.12804169613756025</v>
      </c>
      <c r="H1039" s="3">
        <f t="shared" si="67"/>
        <v>5.4713656282246035</v>
      </c>
    </row>
    <row r="1040" spans="1:8" x14ac:dyDescent="0.3">
      <c r="A1040" s="2">
        <v>42676</v>
      </c>
      <c r="B1040" s="3">
        <v>97558.247051041471</v>
      </c>
      <c r="C1040" s="3">
        <v>86203.875203719464</v>
      </c>
      <c r="D1040">
        <v>2284</v>
      </c>
      <c r="E1040" s="3">
        <f t="shared" si="64"/>
        <v>42.713768411139</v>
      </c>
      <c r="F1040" s="16">
        <f t="shared" si="65"/>
        <v>11354.371847322007</v>
      </c>
      <c r="G1040" s="23">
        <f t="shared" si="66"/>
        <v>0.1163855664747801</v>
      </c>
      <c r="H1040" s="3">
        <f t="shared" si="67"/>
        <v>4.9712661328029801</v>
      </c>
    </row>
    <row r="1041" spans="1:8" x14ac:dyDescent="0.3">
      <c r="A1041" s="2">
        <v>42677</v>
      </c>
      <c r="B1041" s="3">
        <v>97039.009870491587</v>
      </c>
      <c r="C1041" s="3">
        <v>89413.415966019093</v>
      </c>
      <c r="D1041">
        <v>2266</v>
      </c>
      <c r="E1041" s="3">
        <f t="shared" si="64"/>
        <v>42.823923155556749</v>
      </c>
      <c r="F1041" s="16">
        <f t="shared" si="65"/>
        <v>7625.5939044724946</v>
      </c>
      <c r="G1041" s="23">
        <f t="shared" si="66"/>
        <v>7.8582767019672026E-2</v>
      </c>
      <c r="H1041" s="3">
        <f t="shared" si="67"/>
        <v>3.3652223762014541</v>
      </c>
    </row>
    <row r="1042" spans="1:8" x14ac:dyDescent="0.3">
      <c r="A1042" s="2">
        <v>42678</v>
      </c>
      <c r="B1042" s="3">
        <v>168349.26532293609</v>
      </c>
      <c r="C1042" s="3">
        <v>156675.5901244042</v>
      </c>
      <c r="D1042">
        <v>3938</v>
      </c>
      <c r="E1042" s="3">
        <f t="shared" si="64"/>
        <v>42.749940407043191</v>
      </c>
      <c r="F1042" s="16">
        <f t="shared" si="65"/>
        <v>11673.675198531884</v>
      </c>
      <c r="G1042" s="23">
        <f t="shared" si="66"/>
        <v>6.9342002628516669E-2</v>
      </c>
      <c r="H1042" s="3">
        <f t="shared" si="67"/>
        <v>2.9643664800741201</v>
      </c>
    </row>
    <row r="1043" spans="1:8" x14ac:dyDescent="0.3">
      <c r="A1043" s="2">
        <v>42679</v>
      </c>
      <c r="B1043" s="3">
        <v>202017.4219781323</v>
      </c>
      <c r="C1043" s="3">
        <v>189394.69373774901</v>
      </c>
      <c r="D1043">
        <v>4720</v>
      </c>
      <c r="E1043" s="3">
        <f t="shared" si="64"/>
        <v>42.800301266553454</v>
      </c>
      <c r="F1043" s="16">
        <f t="shared" si="65"/>
        <v>12622.728240383294</v>
      </c>
      <c r="G1043" s="23">
        <f t="shared" si="66"/>
        <v>6.2483364636489923E-2</v>
      </c>
      <c r="H1043" s="3">
        <f t="shared" si="67"/>
        <v>2.6743068305896811</v>
      </c>
    </row>
    <row r="1044" spans="1:8" x14ac:dyDescent="0.3">
      <c r="A1044" s="2">
        <v>42680</v>
      </c>
      <c r="B1044" s="3">
        <v>108459.00005362221</v>
      </c>
      <c r="C1044" s="3">
        <v>102250.16777596821</v>
      </c>
      <c r="D1044">
        <v>2537</v>
      </c>
      <c r="E1044" s="3">
        <f t="shared" si="64"/>
        <v>42.750886895397009</v>
      </c>
      <c r="F1044" s="16">
        <f t="shared" si="65"/>
        <v>6208.8322776540008</v>
      </c>
      <c r="G1044" s="23">
        <f t="shared" si="66"/>
        <v>5.7245892683727026E-2</v>
      </c>
      <c r="H1044" s="3">
        <f t="shared" si="67"/>
        <v>2.447312683348049</v>
      </c>
    </row>
    <row r="1045" spans="1:8" x14ac:dyDescent="0.3">
      <c r="A1045" s="2">
        <v>42681</v>
      </c>
      <c r="B1045" s="3">
        <v>112536.3770572526</v>
      </c>
      <c r="C1045" s="3">
        <v>105978.4824783128</v>
      </c>
      <c r="D1045">
        <v>2621</v>
      </c>
      <c r="E1045" s="3">
        <f t="shared" si="64"/>
        <v>42.936427721195194</v>
      </c>
      <c r="F1045" s="16">
        <f t="shared" si="65"/>
        <v>6557.8945789397985</v>
      </c>
      <c r="G1045" s="23">
        <f t="shared" si="66"/>
        <v>5.8273553409343239E-2</v>
      </c>
      <c r="H1045" s="3">
        <f t="shared" si="67"/>
        <v>2.5020582140174739</v>
      </c>
    </row>
    <row r="1046" spans="1:8" x14ac:dyDescent="0.3">
      <c r="A1046" s="2">
        <v>42682</v>
      </c>
      <c r="B1046" s="3">
        <v>100479.92998887179</v>
      </c>
      <c r="C1046" s="3">
        <v>94692.479289428011</v>
      </c>
      <c r="D1046">
        <v>2341</v>
      </c>
      <c r="E1046" s="3">
        <f t="shared" si="64"/>
        <v>42.921798372008453</v>
      </c>
      <c r="F1046" s="16">
        <f t="shared" si="65"/>
        <v>5787.4506994437834</v>
      </c>
      <c r="G1046" s="23">
        <f t="shared" si="66"/>
        <v>5.7598076552051208E-2</v>
      </c>
      <c r="H1046" s="3">
        <f t="shared" si="67"/>
        <v>2.47221302838265</v>
      </c>
    </row>
    <row r="1047" spans="1:8" x14ac:dyDescent="0.3">
      <c r="A1047" s="2">
        <v>42683</v>
      </c>
      <c r="B1047" s="3">
        <v>81649.688672410848</v>
      </c>
      <c r="C1047" s="3">
        <v>77081.66057395043</v>
      </c>
      <c r="D1047">
        <v>1901</v>
      </c>
      <c r="E1047" s="3">
        <f t="shared" si="64"/>
        <v>42.9509146093692</v>
      </c>
      <c r="F1047" s="16">
        <f t="shared" si="65"/>
        <v>4568.0280984604178</v>
      </c>
      <c r="G1047" s="23">
        <f t="shared" si="66"/>
        <v>5.5946668906331529E-2</v>
      </c>
      <c r="H1047" s="3">
        <f t="shared" si="67"/>
        <v>2.4029605988744964</v>
      </c>
    </row>
    <row r="1048" spans="1:8" x14ac:dyDescent="0.3">
      <c r="A1048" s="2">
        <v>42684</v>
      </c>
      <c r="B1048" s="3">
        <v>71529.162644240496</v>
      </c>
      <c r="C1048" s="3">
        <v>67551.25097109293</v>
      </c>
      <c r="D1048">
        <v>1666</v>
      </c>
      <c r="E1048" s="3">
        <f t="shared" si="64"/>
        <v>42.934671455126349</v>
      </c>
      <c r="F1048" s="16">
        <f t="shared" si="65"/>
        <v>3977.911673147566</v>
      </c>
      <c r="G1048" s="23">
        <f t="shared" si="66"/>
        <v>5.5612445694803142E-2</v>
      </c>
      <c r="H1048" s="3">
        <f t="shared" si="67"/>
        <v>2.3877020847224286</v>
      </c>
    </row>
    <row r="1049" spans="1:8" x14ac:dyDescent="0.3">
      <c r="A1049" s="2">
        <v>42685</v>
      </c>
      <c r="B1049" s="3">
        <v>160938.60161507491</v>
      </c>
      <c r="C1049" s="3">
        <v>152555.41733723061</v>
      </c>
      <c r="D1049">
        <v>3748</v>
      </c>
      <c r="E1049" s="3">
        <f t="shared" si="64"/>
        <v>42.93986169025478</v>
      </c>
      <c r="F1049" s="16">
        <f t="shared" si="65"/>
        <v>8383.1842778442951</v>
      </c>
      <c r="G1049" s="23">
        <f t="shared" si="66"/>
        <v>5.2089332165907505E-2</v>
      </c>
      <c r="H1049" s="3">
        <f t="shared" si="67"/>
        <v>2.2367087187418075</v>
      </c>
    </row>
    <row r="1050" spans="1:8" x14ac:dyDescent="0.3">
      <c r="A1050" s="2">
        <v>42686</v>
      </c>
      <c r="B1050" s="3">
        <v>164998.84464116491</v>
      </c>
      <c r="C1050" s="3">
        <v>156263.1494739097</v>
      </c>
      <c r="D1050">
        <v>3843</v>
      </c>
      <c r="E1050" s="3">
        <f t="shared" si="64"/>
        <v>42.934906229811318</v>
      </c>
      <c r="F1050" s="16">
        <f t="shared" si="65"/>
        <v>8735.6951672552095</v>
      </c>
      <c r="G1050" s="23">
        <f t="shared" si="66"/>
        <v>5.2943977797258922E-2</v>
      </c>
      <c r="H1050" s="3">
        <f t="shared" si="67"/>
        <v>2.2731447221585244</v>
      </c>
    </row>
    <row r="1051" spans="1:8" x14ac:dyDescent="0.3">
      <c r="A1051" s="2">
        <v>42687</v>
      </c>
      <c r="B1051" s="3">
        <v>97946.783047396821</v>
      </c>
      <c r="C1051" s="3">
        <v>93112.608909273331</v>
      </c>
      <c r="D1051">
        <v>2281</v>
      </c>
      <c r="E1051" s="3">
        <f t="shared" si="64"/>
        <v>42.940281914685144</v>
      </c>
      <c r="F1051" s="16">
        <f t="shared" si="65"/>
        <v>4834.1741381234897</v>
      </c>
      <c r="G1051" s="23">
        <f t="shared" si="66"/>
        <v>4.9355108842974602E-2</v>
      </c>
      <c r="H1051" s="3">
        <f t="shared" si="67"/>
        <v>2.1193222876472992</v>
      </c>
    </row>
    <row r="1052" spans="1:8" x14ac:dyDescent="0.3">
      <c r="A1052" s="2">
        <v>42688</v>
      </c>
      <c r="B1052" s="3">
        <v>87834.253684381343</v>
      </c>
      <c r="C1052" s="3">
        <v>83068.269026507172</v>
      </c>
      <c r="D1052">
        <v>2046</v>
      </c>
      <c r="E1052" s="3">
        <f t="shared" si="64"/>
        <v>42.929742758739657</v>
      </c>
      <c r="F1052" s="16">
        <f t="shared" si="65"/>
        <v>4765.9846578741708</v>
      </c>
      <c r="G1052" s="23">
        <f t="shared" si="66"/>
        <v>5.4261116340784218E-2</v>
      </c>
      <c r="H1052" s="3">
        <f t="shared" si="67"/>
        <v>2.3294157663119113</v>
      </c>
    </row>
    <row r="1053" spans="1:8" x14ac:dyDescent="0.3">
      <c r="A1053" s="2">
        <v>42689</v>
      </c>
      <c r="B1053" s="3">
        <v>95509.134975070017</v>
      </c>
      <c r="C1053" s="3">
        <v>88104.204530400457</v>
      </c>
      <c r="D1053">
        <v>2181</v>
      </c>
      <c r="E1053" s="3">
        <f t="shared" si="64"/>
        <v>43.791441987652462</v>
      </c>
      <c r="F1053" s="16">
        <f t="shared" si="65"/>
        <v>7404.9304446695605</v>
      </c>
      <c r="G1053" s="23">
        <f t="shared" si="66"/>
        <v>7.7531122510976672E-2</v>
      </c>
      <c r="H1053" s="3">
        <f t="shared" si="67"/>
        <v>3.3951996536770106</v>
      </c>
    </row>
    <row r="1054" spans="1:8" x14ac:dyDescent="0.3">
      <c r="A1054" s="2">
        <v>42690</v>
      </c>
      <c r="B1054" s="3">
        <v>77229.971885239516</v>
      </c>
      <c r="C1054" s="3">
        <v>71428.870002172305</v>
      </c>
      <c r="D1054">
        <v>1763</v>
      </c>
      <c r="E1054" s="3">
        <f t="shared" si="64"/>
        <v>43.805996531616287</v>
      </c>
      <c r="F1054" s="16">
        <f t="shared" si="65"/>
        <v>5801.101883067211</v>
      </c>
      <c r="G1054" s="23">
        <f t="shared" si="66"/>
        <v>7.5114644502103464E-2</v>
      </c>
      <c r="H1054" s="3">
        <f t="shared" si="67"/>
        <v>3.2904718565327347</v>
      </c>
    </row>
    <row r="1055" spans="1:8" x14ac:dyDescent="0.3">
      <c r="G1055" s="23">
        <f>SUM(G2:G1054)</f>
        <v>-9.2135041617852913</v>
      </c>
    </row>
    <row r="1056" spans="1:8" x14ac:dyDescent="0.3">
      <c r="B1056" s="3">
        <f>SUM(B2:B1055)</f>
        <v>186909828.25648293</v>
      </c>
      <c r="F1056" s="16">
        <f>SUM(F2:F1055)</f>
        <v>-7116281.1900259992</v>
      </c>
      <c r="G1056" s="23">
        <f>F1056/B1056</f>
        <v>-3.8073338659649493E-2</v>
      </c>
    </row>
    <row r="1061" spans="6:6" x14ac:dyDescent="0.3">
      <c r="F1061" s="17">
        <f>F1056/B1056</f>
        <v>-3.8073338659649493E-2</v>
      </c>
    </row>
  </sheetData>
  <conditionalFormatting sqref="G2:G1054 G1056">
    <cfRule type="colorScale" priority="1">
      <colorScale>
        <cfvo type="min"/>
        <cfvo type="percentile" val="50"/>
        <cfvo type="max"/>
        <color rgb="FFF8696B"/>
        <color rgb="FFFFEB84"/>
        <color rgb="FF63BE7B"/>
      </colorScale>
    </cfRule>
  </conditionalFormatting>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0"/>
  <sheetViews>
    <sheetView workbookViewId="0">
      <pane ySplit="1" topLeftCell="A29" activePane="bottomLeft" state="frozen"/>
      <selection pane="bottomLeft" activeCell="E41" sqref="E41"/>
    </sheetView>
  </sheetViews>
  <sheetFormatPr defaultRowHeight="14.4" x14ac:dyDescent="0.3"/>
  <cols>
    <col min="1" max="7" width="19" customWidth="1"/>
  </cols>
  <sheetData>
    <row r="1" spans="1:7" x14ac:dyDescent="0.3">
      <c r="A1" s="6" t="s">
        <v>8</v>
      </c>
      <c r="B1" s="6" t="s">
        <v>9</v>
      </c>
      <c r="C1" s="6" t="s">
        <v>10</v>
      </c>
      <c r="D1" s="6" t="s">
        <v>11</v>
      </c>
      <c r="E1" s="6" t="s">
        <v>12</v>
      </c>
      <c r="F1" s="6" t="s">
        <v>5</v>
      </c>
      <c r="G1" s="6" t="s">
        <v>6</v>
      </c>
    </row>
    <row r="2" spans="1:7" x14ac:dyDescent="0.3">
      <c r="A2" s="7">
        <v>41609</v>
      </c>
      <c r="B2" s="3">
        <v>524283.4524337122</v>
      </c>
      <c r="C2" s="3">
        <v>537065.74149673129</v>
      </c>
      <c r="D2" s="8">
        <v>16095</v>
      </c>
      <c r="E2" s="3">
        <f t="shared" ref="E2:E37" si="0">B2/D2</f>
        <v>32.574305836204545</v>
      </c>
      <c r="F2" s="3">
        <f t="shared" ref="F2:F37" si="1">B2-C2</f>
        <v>-12782.289063019096</v>
      </c>
      <c r="G2" s="5">
        <f t="shared" ref="G2:G37" si="2">F2/B2</f>
        <v>-2.438049303994622E-2</v>
      </c>
    </row>
    <row r="3" spans="1:7" x14ac:dyDescent="0.3">
      <c r="A3" s="7">
        <v>41640</v>
      </c>
      <c r="B3" s="3">
        <v>4008180.4888402359</v>
      </c>
      <c r="C3" s="3">
        <v>3995719.8434368949</v>
      </c>
      <c r="D3" s="8">
        <v>119965</v>
      </c>
      <c r="E3" s="3">
        <f t="shared" si="0"/>
        <v>33.411249021299845</v>
      </c>
      <c r="F3" s="3">
        <f t="shared" si="1"/>
        <v>12460.645403340925</v>
      </c>
      <c r="G3" s="5">
        <f t="shared" si="2"/>
        <v>3.1088034678164911E-3</v>
      </c>
    </row>
    <row r="4" spans="1:7" x14ac:dyDescent="0.3">
      <c r="A4" s="7">
        <v>41671</v>
      </c>
      <c r="B4" s="3">
        <v>5780487.1753210258</v>
      </c>
      <c r="C4" s="3">
        <v>5913478.5608728398</v>
      </c>
      <c r="D4" s="8">
        <v>178035</v>
      </c>
      <c r="E4" s="3">
        <f t="shared" si="0"/>
        <v>32.468262843379257</v>
      </c>
      <c r="F4" s="3">
        <f t="shared" si="1"/>
        <v>-132991.38555181399</v>
      </c>
      <c r="G4" s="5">
        <f t="shared" si="2"/>
        <v>-2.3006951061080447E-2</v>
      </c>
    </row>
    <row r="5" spans="1:7" x14ac:dyDescent="0.3">
      <c r="A5" s="7">
        <v>41699</v>
      </c>
      <c r="B5" s="3">
        <v>8279517.1761284564</v>
      </c>
      <c r="C5" s="3">
        <v>8415654.0193928573</v>
      </c>
      <c r="D5" s="8">
        <v>252836</v>
      </c>
      <c r="E5" s="3">
        <f t="shared" si="0"/>
        <v>32.746591371989972</v>
      </c>
      <c r="F5" s="3">
        <f t="shared" si="1"/>
        <v>-136136.84326440096</v>
      </c>
      <c r="G5" s="5">
        <f t="shared" si="2"/>
        <v>-1.644260653953486E-2</v>
      </c>
    </row>
    <row r="6" spans="1:7" x14ac:dyDescent="0.3">
      <c r="A6" s="7">
        <v>41730</v>
      </c>
      <c r="B6" s="3">
        <v>6435743.2738555921</v>
      </c>
      <c r="C6" s="3">
        <v>6479643.6251466135</v>
      </c>
      <c r="D6" s="8">
        <v>190091</v>
      </c>
      <c r="E6" s="3">
        <f t="shared" si="0"/>
        <v>33.856117721804779</v>
      </c>
      <c r="F6" s="3">
        <f t="shared" si="1"/>
        <v>-43900.351291021332</v>
      </c>
      <c r="G6" s="5">
        <f t="shared" si="2"/>
        <v>-6.8213335154870235E-3</v>
      </c>
    </row>
    <row r="7" spans="1:7" x14ac:dyDescent="0.3">
      <c r="A7" s="7">
        <v>41760</v>
      </c>
      <c r="B7" s="3">
        <v>7694906.1536926767</v>
      </c>
      <c r="C7" s="3">
        <v>8017240.4173001051</v>
      </c>
      <c r="D7" s="8">
        <v>235793</v>
      </c>
      <c r="E7" s="3">
        <f t="shared" si="0"/>
        <v>32.634158578467883</v>
      </c>
      <c r="F7" s="3">
        <f t="shared" si="1"/>
        <v>-322334.26360742841</v>
      </c>
      <c r="G7" s="5">
        <f t="shared" si="2"/>
        <v>-4.1889304062889023E-2</v>
      </c>
    </row>
    <row r="8" spans="1:7" x14ac:dyDescent="0.3">
      <c r="A8" s="7">
        <v>41791</v>
      </c>
      <c r="B8" s="3">
        <v>6456943.6466363054</v>
      </c>
      <c r="C8" s="3">
        <v>6645843.6570064351</v>
      </c>
      <c r="D8" s="8">
        <v>198857</v>
      </c>
      <c r="E8" s="3">
        <f t="shared" si="0"/>
        <v>32.470285917198318</v>
      </c>
      <c r="F8" s="3">
        <f t="shared" si="1"/>
        <v>-188900.01037012972</v>
      </c>
      <c r="G8" s="5">
        <f t="shared" si="2"/>
        <v>-2.9255328946309715E-2</v>
      </c>
    </row>
    <row r="9" spans="1:7" x14ac:dyDescent="0.3">
      <c r="A9" s="7">
        <v>41821</v>
      </c>
      <c r="B9" s="3">
        <v>4933710.8007092178</v>
      </c>
      <c r="C9" s="3">
        <v>5004894.9019320263</v>
      </c>
      <c r="D9" s="8">
        <v>147449</v>
      </c>
      <c r="E9" s="3">
        <f t="shared" si="0"/>
        <v>33.460456162532253</v>
      </c>
      <c r="F9" s="3">
        <f t="shared" si="1"/>
        <v>-71184.101222808473</v>
      </c>
      <c r="G9" s="5">
        <f t="shared" si="2"/>
        <v>-1.4428105760186796E-2</v>
      </c>
    </row>
    <row r="10" spans="1:7" x14ac:dyDescent="0.3">
      <c r="A10" s="7">
        <v>41852</v>
      </c>
      <c r="B10" s="3">
        <v>10010378.28775781</v>
      </c>
      <c r="C10" s="3">
        <v>10524432.42472407</v>
      </c>
      <c r="D10" s="8">
        <v>310572</v>
      </c>
      <c r="E10" s="3">
        <f t="shared" si="0"/>
        <v>32.232069496792406</v>
      </c>
      <c r="F10" s="3">
        <f t="shared" si="1"/>
        <v>-514054.13696626015</v>
      </c>
      <c r="G10" s="5">
        <f t="shared" si="2"/>
        <v>-5.1352118989841024E-2</v>
      </c>
    </row>
    <row r="11" spans="1:7" x14ac:dyDescent="0.3">
      <c r="A11" s="7">
        <v>41883</v>
      </c>
      <c r="B11" s="3">
        <v>7643452.6856598929</v>
      </c>
      <c r="C11" s="3">
        <v>8193560.0391896991</v>
      </c>
      <c r="D11" s="8">
        <v>237742</v>
      </c>
      <c r="E11" s="3">
        <f t="shared" si="0"/>
        <v>32.150199315475987</v>
      </c>
      <c r="F11" s="3">
        <f t="shared" si="1"/>
        <v>-550107.35352980625</v>
      </c>
      <c r="G11" s="5">
        <f t="shared" si="2"/>
        <v>-7.1971054986953595E-2</v>
      </c>
    </row>
    <row r="12" spans="1:7" x14ac:dyDescent="0.3">
      <c r="A12" s="7">
        <v>41913</v>
      </c>
      <c r="B12" s="3">
        <v>5924683.3811629629</v>
      </c>
      <c r="C12" s="3">
        <v>6038461.3173097558</v>
      </c>
      <c r="D12" s="8">
        <v>171709</v>
      </c>
      <c r="E12" s="3">
        <f t="shared" si="0"/>
        <v>34.50420992005639</v>
      </c>
      <c r="F12" s="3">
        <f t="shared" si="1"/>
        <v>-113777.93614679296</v>
      </c>
      <c r="G12" s="5">
        <f t="shared" si="2"/>
        <v>-1.9204053419722044E-2</v>
      </c>
    </row>
    <row r="13" spans="1:7" x14ac:dyDescent="0.3">
      <c r="A13" s="7">
        <v>41944</v>
      </c>
      <c r="B13" s="3">
        <v>2631353.343112655</v>
      </c>
      <c r="C13" s="3">
        <v>2517124.8354863911</v>
      </c>
      <c r="D13" s="8">
        <v>68569</v>
      </c>
      <c r="E13" s="3">
        <f t="shared" si="0"/>
        <v>38.375262044256949</v>
      </c>
      <c r="F13" s="3">
        <f t="shared" si="1"/>
        <v>114228.50762626389</v>
      </c>
      <c r="G13" s="5">
        <f t="shared" si="2"/>
        <v>4.3410554468196888E-2</v>
      </c>
    </row>
    <row r="14" spans="1:7" x14ac:dyDescent="0.3">
      <c r="A14" s="7">
        <v>41974</v>
      </c>
      <c r="B14" s="3">
        <v>5615619.298823732</v>
      </c>
      <c r="C14" s="3">
        <v>5934796.0592754018</v>
      </c>
      <c r="D14" s="8">
        <v>142612</v>
      </c>
      <c r="E14" s="3">
        <f t="shared" si="0"/>
        <v>39.376905862225705</v>
      </c>
      <c r="F14" s="3">
        <f t="shared" si="1"/>
        <v>-319176.7604516698</v>
      </c>
      <c r="G14" s="5">
        <f t="shared" si="2"/>
        <v>-5.6837321667892571E-2</v>
      </c>
    </row>
    <row r="15" spans="1:7" x14ac:dyDescent="0.3">
      <c r="A15" s="7">
        <v>42005</v>
      </c>
      <c r="B15" s="3">
        <v>3696191.507908707</v>
      </c>
      <c r="C15" s="3">
        <v>3851260.466480996</v>
      </c>
      <c r="D15" s="8">
        <v>91740</v>
      </c>
      <c r="E15" s="3">
        <f t="shared" si="0"/>
        <v>40.28985729135281</v>
      </c>
      <c r="F15" s="3">
        <f t="shared" si="1"/>
        <v>-155068.95857228898</v>
      </c>
      <c r="G15" s="5">
        <f t="shared" si="2"/>
        <v>-4.1953713231711438E-2</v>
      </c>
    </row>
    <row r="16" spans="1:7" x14ac:dyDescent="0.3">
      <c r="A16" s="7">
        <v>42036</v>
      </c>
      <c r="B16" s="3">
        <v>4901504.8931298051</v>
      </c>
      <c r="C16" s="3">
        <v>5151756.2678887686</v>
      </c>
      <c r="D16" s="8">
        <v>127753</v>
      </c>
      <c r="E16" s="3">
        <f t="shared" si="0"/>
        <v>38.367043381602038</v>
      </c>
      <c r="F16" s="3">
        <f t="shared" si="1"/>
        <v>-250251.37475896347</v>
      </c>
      <c r="G16" s="5">
        <f t="shared" si="2"/>
        <v>-5.1056028753481066E-2</v>
      </c>
    </row>
    <row r="17" spans="1:7" x14ac:dyDescent="0.3">
      <c r="A17" s="7">
        <v>42064</v>
      </c>
      <c r="B17" s="3">
        <v>5269353.1526924446</v>
      </c>
      <c r="C17" s="3">
        <v>5599630.7200854784</v>
      </c>
      <c r="D17" s="8">
        <v>136673</v>
      </c>
      <c r="E17" s="3">
        <f t="shared" si="0"/>
        <v>38.554455910768361</v>
      </c>
      <c r="F17" s="3">
        <f t="shared" si="1"/>
        <v>-330277.56739303377</v>
      </c>
      <c r="G17" s="5">
        <f t="shared" si="2"/>
        <v>-6.267895846462182E-2</v>
      </c>
    </row>
    <row r="18" spans="1:7" x14ac:dyDescent="0.3">
      <c r="A18" s="7">
        <v>42095</v>
      </c>
      <c r="B18" s="3">
        <v>5963993.967762948</v>
      </c>
      <c r="C18" s="3">
        <v>6286673.6644070027</v>
      </c>
      <c r="D18" s="8">
        <v>153702</v>
      </c>
      <c r="E18" s="3">
        <f t="shared" si="0"/>
        <v>38.802318562952649</v>
      </c>
      <c r="F18" s="3">
        <f t="shared" si="1"/>
        <v>-322679.69664405473</v>
      </c>
      <c r="G18" s="5">
        <f t="shared" si="2"/>
        <v>-5.4104631625757599E-2</v>
      </c>
    </row>
    <row r="19" spans="1:7" x14ac:dyDescent="0.3">
      <c r="A19" s="7">
        <v>42125</v>
      </c>
      <c r="B19" s="3">
        <v>8384367.2411529198</v>
      </c>
      <c r="C19" s="3">
        <v>8973701.898615906</v>
      </c>
      <c r="D19" s="8">
        <v>220775</v>
      </c>
      <c r="E19" s="3">
        <f t="shared" si="0"/>
        <v>37.976977652147752</v>
      </c>
      <c r="F19" s="3">
        <f t="shared" si="1"/>
        <v>-589334.65746298619</v>
      </c>
      <c r="G19" s="5">
        <f t="shared" si="2"/>
        <v>-7.0289699927546093E-2</v>
      </c>
    </row>
    <row r="20" spans="1:7" x14ac:dyDescent="0.3">
      <c r="A20" s="7">
        <v>42156</v>
      </c>
      <c r="B20" s="3">
        <v>5332108.3233635398</v>
      </c>
      <c r="C20" s="3">
        <v>5520925.368956795</v>
      </c>
      <c r="D20" s="8">
        <v>136581</v>
      </c>
      <c r="E20" s="3">
        <f t="shared" si="0"/>
        <v>39.039898107083268</v>
      </c>
      <c r="F20" s="3">
        <f t="shared" si="1"/>
        <v>-188817.0455932552</v>
      </c>
      <c r="G20" s="5">
        <f t="shared" si="2"/>
        <v>-3.5411329654711103E-2</v>
      </c>
    </row>
    <row r="21" spans="1:7" x14ac:dyDescent="0.3">
      <c r="A21" s="7">
        <v>42186</v>
      </c>
      <c r="B21" s="3">
        <v>3677692.3940561218</v>
      </c>
      <c r="C21" s="3">
        <v>3829188.565022375</v>
      </c>
      <c r="D21" s="8">
        <v>95600</v>
      </c>
      <c r="E21" s="3">
        <f t="shared" si="0"/>
        <v>38.469585711884122</v>
      </c>
      <c r="F21" s="3">
        <f t="shared" si="1"/>
        <v>-151496.17096625315</v>
      </c>
      <c r="G21" s="5">
        <f t="shared" si="2"/>
        <v>-4.1193268695092856E-2</v>
      </c>
    </row>
    <row r="22" spans="1:7" x14ac:dyDescent="0.3">
      <c r="A22" s="7">
        <v>42217</v>
      </c>
      <c r="B22" s="3">
        <v>3934668.4080630001</v>
      </c>
      <c r="C22" s="3">
        <v>4210927.3348924406</v>
      </c>
      <c r="D22" s="8">
        <v>108899</v>
      </c>
      <c r="E22" s="3">
        <f t="shared" si="0"/>
        <v>36.131354815590591</v>
      </c>
      <c r="F22" s="3">
        <f t="shared" si="1"/>
        <v>-276258.92682944052</v>
      </c>
      <c r="G22" s="5">
        <f t="shared" si="2"/>
        <v>-7.0211488791107599E-2</v>
      </c>
    </row>
    <row r="23" spans="1:7" x14ac:dyDescent="0.3">
      <c r="A23" s="7">
        <v>42248</v>
      </c>
      <c r="B23" s="3">
        <v>4669899.8586166753</v>
      </c>
      <c r="C23" s="3">
        <v>5024494.6949344603</v>
      </c>
      <c r="D23" s="8">
        <v>134837</v>
      </c>
      <c r="E23" s="3">
        <f t="shared" si="0"/>
        <v>34.633667751556885</v>
      </c>
      <c r="F23" s="3">
        <f t="shared" si="1"/>
        <v>-354594.83631778508</v>
      </c>
      <c r="G23" s="5">
        <f t="shared" si="2"/>
        <v>-7.5932000054241777E-2</v>
      </c>
    </row>
    <row r="24" spans="1:7" x14ac:dyDescent="0.3">
      <c r="A24" s="7">
        <v>42278</v>
      </c>
      <c r="B24" s="3">
        <v>4828975.0795014314</v>
      </c>
      <c r="C24" s="3">
        <v>5175494.0774832303</v>
      </c>
      <c r="D24" s="8">
        <v>135328</v>
      </c>
      <c r="E24" s="3">
        <f t="shared" si="0"/>
        <v>35.683488114074187</v>
      </c>
      <c r="F24" s="3">
        <f t="shared" si="1"/>
        <v>-346518.99798179884</v>
      </c>
      <c r="G24" s="5">
        <f t="shared" si="2"/>
        <v>-7.1758290791920018E-2</v>
      </c>
    </row>
    <row r="25" spans="1:7" x14ac:dyDescent="0.3">
      <c r="A25" s="7">
        <v>42309</v>
      </c>
      <c r="B25" s="3">
        <v>6538148.8833287396</v>
      </c>
      <c r="C25" s="3">
        <v>7138833.4546662709</v>
      </c>
      <c r="D25" s="8">
        <v>185868</v>
      </c>
      <c r="E25" s="3">
        <f t="shared" si="0"/>
        <v>35.176301909574214</v>
      </c>
      <c r="F25" s="3">
        <f t="shared" si="1"/>
        <v>-600684.57133753132</v>
      </c>
      <c r="G25" s="5">
        <f t="shared" si="2"/>
        <v>-9.1873798235030002E-2</v>
      </c>
    </row>
    <row r="26" spans="1:7" x14ac:dyDescent="0.3">
      <c r="A26" s="7">
        <v>42339</v>
      </c>
      <c r="B26" s="3">
        <v>6820689.6776469126</v>
      </c>
      <c r="C26" s="3">
        <v>7154317.3205589298</v>
      </c>
      <c r="D26" s="8">
        <v>187333</v>
      </c>
      <c r="E26" s="3">
        <f t="shared" si="0"/>
        <v>36.409440288934213</v>
      </c>
      <c r="F26" s="3">
        <f t="shared" si="1"/>
        <v>-333627.64291201718</v>
      </c>
      <c r="G26" s="5">
        <f t="shared" si="2"/>
        <v>-4.8914062753125612E-2</v>
      </c>
    </row>
    <row r="27" spans="1:7" x14ac:dyDescent="0.3">
      <c r="A27" s="7">
        <v>42370</v>
      </c>
      <c r="B27" s="3">
        <v>5403090.5092575774</v>
      </c>
      <c r="C27" s="3">
        <v>5657342.7153318543</v>
      </c>
      <c r="D27" s="8">
        <v>150561</v>
      </c>
      <c r="E27" s="3">
        <f t="shared" si="0"/>
        <v>35.886388302798053</v>
      </c>
      <c r="F27" s="3">
        <f t="shared" si="1"/>
        <v>-254252.20607427694</v>
      </c>
      <c r="G27" s="5">
        <f t="shared" si="2"/>
        <v>-4.7056810475161366E-2</v>
      </c>
    </row>
    <row r="28" spans="1:7" x14ac:dyDescent="0.3">
      <c r="A28" s="7">
        <v>42401</v>
      </c>
      <c r="B28" s="3">
        <v>4891882.3081559967</v>
      </c>
      <c r="C28" s="3">
        <v>4889303.6437091287</v>
      </c>
      <c r="D28" s="8">
        <v>132990</v>
      </c>
      <c r="E28" s="3">
        <f t="shared" si="0"/>
        <v>36.783835688066745</v>
      </c>
      <c r="F28" s="3">
        <f t="shared" si="1"/>
        <v>2578.6644468680024</v>
      </c>
      <c r="G28" s="5">
        <f t="shared" si="2"/>
        <v>5.2713133399974097E-4</v>
      </c>
    </row>
    <row r="29" spans="1:7" x14ac:dyDescent="0.3">
      <c r="A29" s="7">
        <v>42430</v>
      </c>
      <c r="B29" s="3">
        <v>2951856.0057579</v>
      </c>
      <c r="C29" s="3">
        <v>2917801.491271894</v>
      </c>
      <c r="D29" s="8">
        <v>74185</v>
      </c>
      <c r="E29" s="3">
        <f t="shared" si="0"/>
        <v>39.79046984913257</v>
      </c>
      <c r="F29" s="3">
        <f t="shared" si="1"/>
        <v>34054.514486005995</v>
      </c>
      <c r="G29" s="5">
        <f t="shared" si="2"/>
        <v>1.1536644883618696E-2</v>
      </c>
    </row>
    <row r="30" spans="1:7" x14ac:dyDescent="0.3">
      <c r="A30" s="7">
        <v>42461</v>
      </c>
      <c r="B30" s="3">
        <v>6656880.1761649484</v>
      </c>
      <c r="C30" s="3">
        <v>7127731.9052308891</v>
      </c>
      <c r="D30" s="8">
        <v>190235</v>
      </c>
      <c r="E30" s="3">
        <f t="shared" si="0"/>
        <v>34.99293072339448</v>
      </c>
      <c r="F30" s="3">
        <f t="shared" si="1"/>
        <v>-470851.72906594072</v>
      </c>
      <c r="G30" s="5">
        <f t="shared" si="2"/>
        <v>-7.0731591467100743E-2</v>
      </c>
    </row>
    <row r="31" spans="1:7" x14ac:dyDescent="0.3">
      <c r="A31" s="7">
        <v>42491</v>
      </c>
      <c r="B31" s="3">
        <v>5170231.8549004067</v>
      </c>
      <c r="C31" s="3">
        <v>5338394.6319771335</v>
      </c>
      <c r="D31" s="8">
        <v>146298</v>
      </c>
      <c r="E31" s="3">
        <f t="shared" si="0"/>
        <v>35.340413778044855</v>
      </c>
      <c r="F31" s="3">
        <f t="shared" si="1"/>
        <v>-168162.77707672678</v>
      </c>
      <c r="G31" s="5">
        <f t="shared" si="2"/>
        <v>-3.2525190706358773E-2</v>
      </c>
    </row>
    <row r="32" spans="1:7" x14ac:dyDescent="0.3">
      <c r="A32" s="7">
        <v>42522</v>
      </c>
      <c r="B32" s="3">
        <v>6771134.9382742019</v>
      </c>
      <c r="C32" s="3">
        <v>7168349.6312059201</v>
      </c>
      <c r="D32" s="8">
        <v>197469</v>
      </c>
      <c r="E32" s="3">
        <f t="shared" si="0"/>
        <v>34.289609702151743</v>
      </c>
      <c r="F32" s="3">
        <f t="shared" si="1"/>
        <v>-397214.69293171819</v>
      </c>
      <c r="G32" s="5">
        <f t="shared" si="2"/>
        <v>-5.8662941523501613E-2</v>
      </c>
    </row>
    <row r="33" spans="1:7" x14ac:dyDescent="0.3">
      <c r="A33" s="7">
        <v>42552</v>
      </c>
      <c r="B33" s="3">
        <v>3324825.4316159771</v>
      </c>
      <c r="C33" s="3">
        <v>3268397.272577221</v>
      </c>
      <c r="D33" s="8">
        <v>90653</v>
      </c>
      <c r="E33" s="3">
        <f t="shared" si="0"/>
        <v>36.67639715857144</v>
      </c>
      <c r="F33" s="3">
        <f t="shared" si="1"/>
        <v>56428.159038756043</v>
      </c>
      <c r="G33" s="5">
        <f t="shared" si="2"/>
        <v>1.6971765946619959E-2</v>
      </c>
    </row>
    <row r="34" spans="1:7" x14ac:dyDescent="0.3">
      <c r="A34" s="7">
        <v>42583</v>
      </c>
      <c r="B34" s="3">
        <v>4343329.4138204996</v>
      </c>
      <c r="C34" s="3">
        <v>4479787.65500536</v>
      </c>
      <c r="D34" s="8">
        <v>123621</v>
      </c>
      <c r="E34" s="3">
        <f t="shared" si="0"/>
        <v>35.134236204370616</v>
      </c>
      <c r="F34" s="3">
        <f t="shared" si="1"/>
        <v>-136458.24118486047</v>
      </c>
      <c r="G34" s="5">
        <f t="shared" si="2"/>
        <v>-3.1417888947278448E-2</v>
      </c>
    </row>
    <row r="35" spans="1:7" x14ac:dyDescent="0.3">
      <c r="A35" s="7">
        <v>42614</v>
      </c>
      <c r="B35" s="3">
        <v>3259542.5017415122</v>
      </c>
      <c r="C35" s="3">
        <v>3210197.287541769</v>
      </c>
      <c r="D35" s="8">
        <v>88672</v>
      </c>
      <c r="E35" s="3">
        <f t="shared" si="0"/>
        <v>36.759546437900489</v>
      </c>
      <c r="F35" s="3">
        <f t="shared" si="1"/>
        <v>49345.214199743234</v>
      </c>
      <c r="G35" s="5">
        <f t="shared" si="2"/>
        <v>1.5138693290048837E-2</v>
      </c>
    </row>
    <row r="36" spans="1:7" x14ac:dyDescent="0.3">
      <c r="A36" s="7">
        <v>42644</v>
      </c>
      <c r="B36" s="3">
        <v>2329172.7027701712</v>
      </c>
      <c r="C36" s="3">
        <v>2109211.0577977141</v>
      </c>
      <c r="D36" s="8">
        <v>56667</v>
      </c>
      <c r="E36" s="3">
        <f t="shared" si="0"/>
        <v>41.102805914732933</v>
      </c>
      <c r="F36" s="3">
        <f t="shared" si="1"/>
        <v>219961.64497245708</v>
      </c>
      <c r="G36" s="5">
        <f t="shared" si="2"/>
        <v>9.4437670813696459E-2</v>
      </c>
    </row>
    <row r="37" spans="1:7" x14ac:dyDescent="0.3">
      <c r="A37" s="7">
        <v>42675</v>
      </c>
      <c r="B37" s="3">
        <v>1851029.862666324</v>
      </c>
      <c r="C37" s="3">
        <v>1724472.8782976801</v>
      </c>
      <c r="D37" s="8">
        <v>43107</v>
      </c>
      <c r="E37" s="3">
        <f t="shared" si="0"/>
        <v>42.940354528645557</v>
      </c>
      <c r="F37" s="3">
        <f t="shared" si="1"/>
        <v>126556.98436864396</v>
      </c>
      <c r="G37" s="5">
        <f t="shared" si="2"/>
        <v>6.8371119732419869E-2</v>
      </c>
    </row>
    <row r="39" spans="1:7" x14ac:dyDescent="0.3">
      <c r="E39" s="3">
        <f>SUM(E2:E38)</f>
        <v>1299.4914518770152</v>
      </c>
    </row>
    <row r="40" spans="1:7" x14ac:dyDescent="0.3">
      <c r="E40">
        <f>E39/37</f>
        <v>35.121390591270682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74202-0403-4881-AAEA-DEBFC9DC21AB}">
  <dimension ref="A3:D1056"/>
  <sheetViews>
    <sheetView topLeftCell="A7" workbookViewId="0">
      <selection activeCell="B11" sqref="B11"/>
    </sheetView>
  </sheetViews>
  <sheetFormatPr defaultRowHeight="14.4" x14ac:dyDescent="0.3"/>
  <cols>
    <col min="1" max="1" width="12.5546875" bestFit="1" customWidth="1"/>
    <col min="2" max="2" width="19.109375" bestFit="1" customWidth="1"/>
    <col min="3" max="23" width="12" bestFit="1" customWidth="1"/>
    <col min="24" max="24" width="11" bestFit="1" customWidth="1"/>
    <col min="25" max="32" width="12" bestFit="1" customWidth="1"/>
    <col min="33" max="33" width="11" bestFit="1" customWidth="1"/>
    <col min="34" max="40" width="12" bestFit="1" customWidth="1"/>
    <col min="41" max="41" width="11" bestFit="1" customWidth="1"/>
    <col min="42" max="44" width="12" bestFit="1" customWidth="1"/>
    <col min="45" max="45" width="11" bestFit="1" customWidth="1"/>
    <col min="46" max="54" width="12" bestFit="1" customWidth="1"/>
    <col min="55" max="55" width="10" bestFit="1" customWidth="1"/>
    <col min="56" max="56" width="12" bestFit="1" customWidth="1"/>
    <col min="57" max="57" width="11" bestFit="1" customWidth="1"/>
    <col min="58" max="93" width="12" bestFit="1" customWidth="1"/>
    <col min="94" max="96" width="11" bestFit="1" customWidth="1"/>
    <col min="97" max="108" width="12" bestFit="1" customWidth="1"/>
    <col min="109" max="109" width="11" bestFit="1" customWidth="1"/>
    <col min="110" max="112" width="12" bestFit="1" customWidth="1"/>
    <col min="113" max="113" width="11" bestFit="1" customWidth="1"/>
    <col min="114" max="117" width="12" bestFit="1" customWidth="1"/>
    <col min="118" max="118" width="11" bestFit="1" customWidth="1"/>
    <col min="119" max="131" width="12" bestFit="1" customWidth="1"/>
    <col min="132" max="132" width="11" bestFit="1" customWidth="1"/>
    <col min="133" max="143" width="12" bestFit="1" customWidth="1"/>
    <col min="144" max="144" width="11" bestFit="1" customWidth="1"/>
    <col min="145" max="146" width="12" bestFit="1" customWidth="1"/>
    <col min="147" max="147" width="11" bestFit="1" customWidth="1"/>
    <col min="148" max="149" width="12" bestFit="1" customWidth="1"/>
    <col min="150" max="150" width="11" bestFit="1" customWidth="1"/>
    <col min="151" max="173" width="12" bestFit="1" customWidth="1"/>
    <col min="174" max="174" width="11" bestFit="1" customWidth="1"/>
    <col min="175" max="217" width="12" bestFit="1" customWidth="1"/>
    <col min="218" max="218" width="11" bestFit="1" customWidth="1"/>
    <col min="219" max="239" width="12" bestFit="1" customWidth="1"/>
    <col min="240" max="240" width="11" bestFit="1" customWidth="1"/>
    <col min="241" max="252" width="12" bestFit="1" customWidth="1"/>
    <col min="253" max="253" width="11" bestFit="1" customWidth="1"/>
    <col min="254" max="266" width="12" bestFit="1" customWidth="1"/>
    <col min="267" max="268" width="11" bestFit="1" customWidth="1"/>
    <col min="269" max="276" width="12" bestFit="1" customWidth="1"/>
    <col min="277" max="277" width="11" bestFit="1" customWidth="1"/>
    <col min="278" max="292" width="12" bestFit="1" customWidth="1"/>
    <col min="293" max="293" width="10" bestFit="1" customWidth="1"/>
    <col min="294" max="298" width="12" bestFit="1" customWidth="1"/>
    <col min="299" max="299" width="11" bestFit="1" customWidth="1"/>
    <col min="300" max="305" width="12" bestFit="1" customWidth="1"/>
    <col min="306" max="306" width="11" bestFit="1" customWidth="1"/>
    <col min="307" max="339" width="12" bestFit="1" customWidth="1"/>
    <col min="340" max="340" width="10" bestFit="1" customWidth="1"/>
    <col min="341" max="348" width="12" bestFit="1" customWidth="1"/>
    <col min="349" max="349" width="11" bestFit="1" customWidth="1"/>
    <col min="350" max="368" width="12" bestFit="1" customWidth="1"/>
    <col min="369" max="369" width="11" bestFit="1" customWidth="1"/>
    <col min="370" max="370" width="12" bestFit="1" customWidth="1"/>
    <col min="371" max="371" width="10" bestFit="1" customWidth="1"/>
    <col min="372" max="389" width="12" bestFit="1" customWidth="1"/>
    <col min="390" max="390" width="11" bestFit="1" customWidth="1"/>
    <col min="391" max="416" width="12" bestFit="1" customWidth="1"/>
    <col min="417" max="417" width="10" bestFit="1" customWidth="1"/>
    <col min="418" max="424" width="12" bestFit="1" customWidth="1"/>
    <col min="425" max="425" width="11" bestFit="1" customWidth="1"/>
    <col min="426" max="426" width="12" bestFit="1" customWidth="1"/>
    <col min="427" max="427" width="11" bestFit="1" customWidth="1"/>
    <col min="428" max="429" width="12" bestFit="1" customWidth="1"/>
    <col min="430" max="430" width="11" bestFit="1" customWidth="1"/>
    <col min="431" max="441" width="12" bestFit="1" customWidth="1"/>
    <col min="442" max="442" width="11" bestFit="1" customWidth="1"/>
    <col min="443" max="470" width="12" bestFit="1" customWidth="1"/>
    <col min="471" max="471" width="11" bestFit="1" customWidth="1"/>
    <col min="472" max="478" width="12" bestFit="1" customWidth="1"/>
    <col min="479" max="479" width="10" bestFit="1" customWidth="1"/>
    <col min="480" max="482" width="12" bestFit="1" customWidth="1"/>
    <col min="483" max="483" width="11" bestFit="1" customWidth="1"/>
    <col min="484" max="486" width="12" bestFit="1" customWidth="1"/>
    <col min="487" max="487" width="11" bestFit="1" customWidth="1"/>
    <col min="488" max="489" width="12" bestFit="1" customWidth="1"/>
    <col min="490" max="490" width="9" bestFit="1" customWidth="1"/>
    <col min="491" max="498" width="12" bestFit="1" customWidth="1"/>
    <col min="499" max="499" width="11" bestFit="1" customWidth="1"/>
    <col min="500" max="517" width="12" bestFit="1" customWidth="1"/>
    <col min="518" max="518" width="10" bestFit="1" customWidth="1"/>
    <col min="519" max="522" width="12" bestFit="1" customWidth="1"/>
    <col min="523" max="523" width="11" bestFit="1" customWidth="1"/>
    <col min="524" max="536" width="12" bestFit="1" customWidth="1"/>
    <col min="537" max="537" width="10" bestFit="1" customWidth="1"/>
    <col min="538" max="542" width="12" bestFit="1" customWidth="1"/>
    <col min="543" max="544" width="11" bestFit="1" customWidth="1"/>
    <col min="545" max="563" width="12" bestFit="1" customWidth="1"/>
    <col min="564" max="564" width="11" bestFit="1" customWidth="1"/>
    <col min="565" max="573" width="12" bestFit="1" customWidth="1"/>
    <col min="574" max="574" width="11" bestFit="1" customWidth="1"/>
    <col min="575" max="576" width="12" bestFit="1" customWidth="1"/>
    <col min="577" max="577" width="11" bestFit="1" customWidth="1"/>
    <col min="578" max="600" width="12" bestFit="1" customWidth="1"/>
    <col min="601" max="601" width="11" bestFit="1" customWidth="1"/>
    <col min="602" max="606" width="12" bestFit="1" customWidth="1"/>
    <col min="607" max="607" width="11" bestFit="1" customWidth="1"/>
    <col min="608" max="611" width="12" bestFit="1" customWidth="1"/>
    <col min="612" max="613" width="11" bestFit="1" customWidth="1"/>
    <col min="614" max="614" width="12" bestFit="1" customWidth="1"/>
    <col min="615" max="615" width="11" bestFit="1" customWidth="1"/>
    <col min="616" max="635" width="12" bestFit="1" customWidth="1"/>
    <col min="636" max="636" width="11" bestFit="1" customWidth="1"/>
    <col min="637" max="651" width="12" bestFit="1" customWidth="1"/>
    <col min="652" max="652" width="11" bestFit="1" customWidth="1"/>
    <col min="653" max="657" width="12" bestFit="1" customWidth="1"/>
    <col min="658" max="658" width="11" bestFit="1" customWidth="1"/>
    <col min="659" max="660" width="12" bestFit="1" customWidth="1"/>
    <col min="661" max="661" width="11" bestFit="1" customWidth="1"/>
    <col min="662" max="667" width="12" bestFit="1" customWidth="1"/>
    <col min="668" max="668" width="11" bestFit="1" customWidth="1"/>
    <col min="669" max="669" width="12" bestFit="1" customWidth="1"/>
    <col min="670" max="670" width="10" bestFit="1" customWidth="1"/>
    <col min="671" max="684" width="12" bestFit="1" customWidth="1"/>
    <col min="685" max="685" width="11" bestFit="1" customWidth="1"/>
    <col min="686" max="697" width="12" bestFit="1" customWidth="1"/>
    <col min="698" max="698" width="11" bestFit="1" customWidth="1"/>
    <col min="699" max="717" width="12" bestFit="1" customWidth="1"/>
    <col min="718" max="718" width="11" bestFit="1" customWidth="1"/>
    <col min="719" max="721" width="12" bestFit="1" customWidth="1"/>
    <col min="722" max="722" width="11" bestFit="1" customWidth="1"/>
    <col min="723" max="741" width="12" bestFit="1" customWidth="1"/>
    <col min="742" max="742" width="11" bestFit="1" customWidth="1"/>
    <col min="743" max="748" width="12" bestFit="1" customWidth="1"/>
    <col min="749" max="749" width="11" bestFit="1" customWidth="1"/>
    <col min="750" max="760" width="12" bestFit="1" customWidth="1"/>
    <col min="761" max="761" width="11" bestFit="1" customWidth="1"/>
    <col min="762" max="771" width="12" bestFit="1" customWidth="1"/>
    <col min="772" max="772" width="10" bestFit="1" customWidth="1"/>
    <col min="773" max="795" width="12" bestFit="1" customWidth="1"/>
    <col min="796" max="796" width="11" bestFit="1" customWidth="1"/>
    <col min="797" max="804" width="12" bestFit="1" customWidth="1"/>
    <col min="805" max="805" width="10" bestFit="1" customWidth="1"/>
    <col min="806" max="809" width="12" bestFit="1" customWidth="1"/>
    <col min="810" max="810" width="11" bestFit="1" customWidth="1"/>
    <col min="811" max="818" width="12" bestFit="1" customWidth="1"/>
    <col min="819" max="819" width="11" bestFit="1" customWidth="1"/>
    <col min="820" max="824" width="12" bestFit="1" customWidth="1"/>
    <col min="825" max="825" width="11" bestFit="1" customWidth="1"/>
    <col min="826" max="830" width="12" bestFit="1" customWidth="1"/>
    <col min="831" max="831" width="11" bestFit="1" customWidth="1"/>
    <col min="832" max="840" width="12" bestFit="1" customWidth="1"/>
    <col min="841" max="841" width="11" bestFit="1" customWidth="1"/>
    <col min="842" max="849" width="12" bestFit="1" customWidth="1"/>
    <col min="850" max="850" width="11" bestFit="1" customWidth="1"/>
    <col min="851" max="877" width="12" bestFit="1" customWidth="1"/>
    <col min="878" max="878" width="11" bestFit="1" customWidth="1"/>
    <col min="879" max="901" width="12" bestFit="1" customWidth="1"/>
    <col min="902" max="902" width="11" bestFit="1" customWidth="1"/>
    <col min="903" max="909" width="12" bestFit="1" customWidth="1"/>
    <col min="910" max="910" width="11" bestFit="1" customWidth="1"/>
    <col min="911" max="920" width="12" bestFit="1" customWidth="1"/>
    <col min="921" max="921" width="11" bestFit="1" customWidth="1"/>
    <col min="922" max="924" width="12" bestFit="1" customWidth="1"/>
    <col min="925" max="925" width="10" bestFit="1" customWidth="1"/>
    <col min="926" max="940" width="12" bestFit="1" customWidth="1"/>
    <col min="941" max="941" width="11" bestFit="1" customWidth="1"/>
    <col min="942" max="947" width="12" bestFit="1" customWidth="1"/>
    <col min="948" max="950" width="11" bestFit="1" customWidth="1"/>
    <col min="951" max="955" width="12" bestFit="1" customWidth="1"/>
    <col min="956" max="957" width="11" bestFit="1" customWidth="1"/>
    <col min="958" max="984" width="12" bestFit="1" customWidth="1"/>
    <col min="985" max="985" width="11" bestFit="1" customWidth="1"/>
    <col min="986" max="997" width="12" bestFit="1" customWidth="1"/>
    <col min="998" max="998" width="11" bestFit="1" customWidth="1"/>
    <col min="999" max="1022" width="12" bestFit="1" customWidth="1"/>
    <col min="1023" max="1024" width="11" bestFit="1" customWidth="1"/>
    <col min="1025" max="1048" width="12" bestFit="1" customWidth="1"/>
    <col min="1049" max="1049" width="11" bestFit="1" customWidth="1"/>
    <col min="1050" max="1053" width="12" bestFit="1" customWidth="1"/>
    <col min="1054" max="1054" width="10.77734375" bestFit="1" customWidth="1"/>
  </cols>
  <sheetData>
    <row r="3" spans="1:2" x14ac:dyDescent="0.3">
      <c r="A3" s="12" t="s">
        <v>25</v>
      </c>
      <c r="B3" t="s">
        <v>20</v>
      </c>
    </row>
    <row r="4" spans="1:2" x14ac:dyDescent="0.3">
      <c r="A4" s="14">
        <v>43.805996531616287</v>
      </c>
      <c r="B4" s="38">
        <v>1763</v>
      </c>
    </row>
    <row r="5" spans="1:2" x14ac:dyDescent="0.3">
      <c r="A5" s="14">
        <v>43.791441987652462</v>
      </c>
      <c r="B5" s="38">
        <v>2181</v>
      </c>
    </row>
    <row r="6" spans="1:2" x14ac:dyDescent="0.3">
      <c r="A6" s="14">
        <v>42.956040244344088</v>
      </c>
      <c r="B6" s="38">
        <v>877</v>
      </c>
    </row>
    <row r="7" spans="1:2" x14ac:dyDescent="0.3">
      <c r="A7" s="14">
        <v>42.9509146093692</v>
      </c>
      <c r="B7" s="38">
        <v>1901</v>
      </c>
    </row>
    <row r="8" spans="1:2" x14ac:dyDescent="0.3">
      <c r="A8" s="14">
        <v>42.940281914685144</v>
      </c>
      <c r="B8" s="38">
        <v>2281</v>
      </c>
    </row>
    <row r="9" spans="1:2" x14ac:dyDescent="0.3">
      <c r="A9" s="14">
        <v>42.93986169025478</v>
      </c>
      <c r="B9" s="38">
        <v>3748</v>
      </c>
    </row>
    <row r="10" spans="1:2" x14ac:dyDescent="0.3">
      <c r="A10" s="14">
        <v>42.936427721195194</v>
      </c>
      <c r="B10" s="38">
        <v>2621</v>
      </c>
    </row>
    <row r="11" spans="1:2" x14ac:dyDescent="0.3">
      <c r="A11" s="14">
        <v>42.934906229811318</v>
      </c>
      <c r="B11" s="38">
        <v>3843</v>
      </c>
    </row>
    <row r="12" spans="1:2" x14ac:dyDescent="0.3">
      <c r="A12" s="14">
        <v>42.934671455126349</v>
      </c>
      <c r="B12" s="38">
        <v>1666</v>
      </c>
    </row>
    <row r="13" spans="1:2" x14ac:dyDescent="0.3">
      <c r="A13" s="14">
        <v>42.931637589211896</v>
      </c>
      <c r="B13" s="38">
        <v>1332</v>
      </c>
    </row>
    <row r="14" spans="1:2" x14ac:dyDescent="0.3">
      <c r="A14" s="14">
        <v>42.929742758739657</v>
      </c>
      <c r="B14" s="38">
        <v>2046</v>
      </c>
    </row>
    <row r="15" spans="1:2" x14ac:dyDescent="0.3">
      <c r="A15" s="14">
        <v>42.928021325852136</v>
      </c>
      <c r="B15" s="38">
        <v>880</v>
      </c>
    </row>
    <row r="16" spans="1:2" x14ac:dyDescent="0.3">
      <c r="A16" s="14">
        <v>42.925685824873838</v>
      </c>
      <c r="B16" s="38">
        <v>954</v>
      </c>
    </row>
    <row r="17" spans="1:4" x14ac:dyDescent="0.3">
      <c r="A17" s="14">
        <v>42.924559753829335</v>
      </c>
      <c r="B17" s="38">
        <v>2147</v>
      </c>
    </row>
    <row r="18" spans="1:4" x14ac:dyDescent="0.3">
      <c r="A18" s="14">
        <v>42.921798372008453</v>
      </c>
      <c r="B18" s="38">
        <v>2341</v>
      </c>
    </row>
    <row r="19" spans="1:4" x14ac:dyDescent="0.3">
      <c r="A19" s="14">
        <v>42.918567680711789</v>
      </c>
      <c r="B19" s="38">
        <v>1335</v>
      </c>
    </row>
    <row r="20" spans="1:4" x14ac:dyDescent="0.3">
      <c r="A20" s="14">
        <v>42.917755744864188</v>
      </c>
      <c r="B20" s="38">
        <v>1618</v>
      </c>
    </row>
    <row r="21" spans="1:4" x14ac:dyDescent="0.3">
      <c r="A21" s="14">
        <v>42.86797030836852</v>
      </c>
      <c r="B21" s="38">
        <v>521</v>
      </c>
      <c r="D21" t="s">
        <v>50</v>
      </c>
    </row>
    <row r="22" spans="1:4" x14ac:dyDescent="0.3">
      <c r="A22" s="14">
        <v>42.836997651692357</v>
      </c>
      <c r="B22" s="38">
        <v>709</v>
      </c>
      <c r="D22">
        <v>5014.1234567901238</v>
      </c>
    </row>
    <row r="23" spans="1:4" x14ac:dyDescent="0.3">
      <c r="A23" s="14">
        <v>42.823923155556749</v>
      </c>
      <c r="B23" s="38">
        <v>2266</v>
      </c>
    </row>
    <row r="24" spans="1:4" x14ac:dyDescent="0.3">
      <c r="A24" s="14">
        <v>42.800301266553454</v>
      </c>
      <c r="B24" s="38">
        <v>4720</v>
      </c>
    </row>
    <row r="25" spans="1:4" x14ac:dyDescent="0.3">
      <c r="A25" s="14">
        <v>42.764440247527446</v>
      </c>
      <c r="B25" s="38">
        <v>1280</v>
      </c>
      <c r="D25" t="s">
        <v>52</v>
      </c>
    </row>
    <row r="26" spans="1:4" x14ac:dyDescent="0.3">
      <c r="A26" s="14">
        <v>42.750886895397009</v>
      </c>
      <c r="B26" s="38">
        <v>2537</v>
      </c>
      <c r="D26">
        <v>39037.712715326947</v>
      </c>
    </row>
    <row r="27" spans="1:4" x14ac:dyDescent="0.3">
      <c r="A27" s="14">
        <v>42.749940407043191</v>
      </c>
      <c r="B27" s="38">
        <v>3938</v>
      </c>
    </row>
    <row r="28" spans="1:4" x14ac:dyDescent="0.3">
      <c r="A28" s="14">
        <v>42.743767863419336</v>
      </c>
      <c r="B28" s="38">
        <v>2472</v>
      </c>
    </row>
    <row r="29" spans="1:4" x14ac:dyDescent="0.3">
      <c r="A29" s="14">
        <v>42.73112426085406</v>
      </c>
      <c r="B29" s="38">
        <v>2971</v>
      </c>
    </row>
    <row r="30" spans="1:4" x14ac:dyDescent="0.3">
      <c r="A30" s="14">
        <v>42.721535088371184</v>
      </c>
      <c r="B30" s="38">
        <v>1639</v>
      </c>
    </row>
    <row r="31" spans="1:4" x14ac:dyDescent="0.3">
      <c r="A31" s="14">
        <v>42.717340622819343</v>
      </c>
      <c r="B31" s="38">
        <v>1096</v>
      </c>
    </row>
    <row r="32" spans="1:4" x14ac:dyDescent="0.3">
      <c r="A32" s="14">
        <v>42.713768411139</v>
      </c>
      <c r="B32" s="38">
        <v>2284</v>
      </c>
    </row>
    <row r="33" spans="1:2" x14ac:dyDescent="0.3">
      <c r="A33" s="14">
        <v>42.708716416712157</v>
      </c>
      <c r="B33" s="38">
        <v>2068</v>
      </c>
    </row>
    <row r="34" spans="1:2" x14ac:dyDescent="0.3">
      <c r="A34" s="14">
        <v>42.701048751233095</v>
      </c>
      <c r="B34" s="38">
        <v>1257</v>
      </c>
    </row>
    <row r="35" spans="1:2" x14ac:dyDescent="0.3">
      <c r="A35" s="14">
        <v>42.694773398886987</v>
      </c>
      <c r="B35" s="38">
        <v>2249</v>
      </c>
    </row>
    <row r="36" spans="1:2" x14ac:dyDescent="0.3">
      <c r="A36" s="14">
        <v>42.693163309856004</v>
      </c>
      <c r="B36" s="38">
        <v>940</v>
      </c>
    </row>
    <row r="37" spans="1:2" x14ac:dyDescent="0.3">
      <c r="A37" s="14">
        <v>42.680807515123497</v>
      </c>
      <c r="B37" s="38">
        <v>1582</v>
      </c>
    </row>
    <row r="38" spans="1:2" x14ac:dyDescent="0.3">
      <c r="A38" s="14">
        <v>42.672637578418815</v>
      </c>
      <c r="B38" s="38">
        <v>2929</v>
      </c>
    </row>
    <row r="39" spans="1:2" x14ac:dyDescent="0.3">
      <c r="A39" s="14">
        <v>42.668479955409317</v>
      </c>
      <c r="B39" s="38">
        <v>1650</v>
      </c>
    </row>
    <row r="40" spans="1:2" x14ac:dyDescent="0.3">
      <c r="A40" s="14">
        <v>42.66375342284703</v>
      </c>
      <c r="B40" s="38">
        <v>2405</v>
      </c>
    </row>
    <row r="41" spans="1:2" x14ac:dyDescent="0.3">
      <c r="A41" s="14">
        <v>42.657988432185022</v>
      </c>
      <c r="B41" s="38">
        <v>906</v>
      </c>
    </row>
    <row r="42" spans="1:2" x14ac:dyDescent="0.3">
      <c r="A42" s="14">
        <v>42.605140217287151</v>
      </c>
      <c r="B42" s="38">
        <v>1467</v>
      </c>
    </row>
    <row r="43" spans="1:2" x14ac:dyDescent="0.3">
      <c r="A43" s="14">
        <v>42.542243296754357</v>
      </c>
      <c r="B43" s="38">
        <v>2375</v>
      </c>
    </row>
    <row r="44" spans="1:2" x14ac:dyDescent="0.3">
      <c r="A44" s="14">
        <v>42.360856891071755</v>
      </c>
      <c r="B44" s="38">
        <v>737</v>
      </c>
    </row>
    <row r="45" spans="1:2" x14ac:dyDescent="0.3">
      <c r="A45" s="14">
        <v>42.333317766051586</v>
      </c>
      <c r="B45" s="38">
        <v>1122</v>
      </c>
    </row>
    <row r="46" spans="1:2" x14ac:dyDescent="0.3">
      <c r="A46" s="14">
        <v>42.175227788327248</v>
      </c>
      <c r="B46" s="38">
        <v>2492</v>
      </c>
    </row>
    <row r="47" spans="1:2" x14ac:dyDescent="0.3">
      <c r="A47" s="14">
        <v>42.134209398922721</v>
      </c>
      <c r="B47" s="38">
        <v>1281</v>
      </c>
    </row>
    <row r="48" spans="1:2" x14ac:dyDescent="0.3">
      <c r="A48" s="14">
        <v>42.084614760973857</v>
      </c>
      <c r="B48" s="38">
        <v>832</v>
      </c>
    </row>
    <row r="49" spans="1:2" x14ac:dyDescent="0.3">
      <c r="A49" s="14">
        <v>42.081986353700181</v>
      </c>
      <c r="B49" s="38">
        <v>946</v>
      </c>
    </row>
    <row r="50" spans="1:2" x14ac:dyDescent="0.3">
      <c r="A50" s="14">
        <v>42.07937960821593</v>
      </c>
      <c r="B50" s="38">
        <v>723</v>
      </c>
    </row>
    <row r="51" spans="1:2" x14ac:dyDescent="0.3">
      <c r="A51" s="14">
        <v>42.078809155787368</v>
      </c>
      <c r="B51" s="38">
        <v>883</v>
      </c>
    </row>
    <row r="52" spans="1:2" x14ac:dyDescent="0.3">
      <c r="A52" s="14">
        <v>42.077910035933733</v>
      </c>
      <c r="B52" s="38">
        <v>900</v>
      </c>
    </row>
    <row r="53" spans="1:2" x14ac:dyDescent="0.3">
      <c r="A53" s="14">
        <v>42.07620555565876</v>
      </c>
      <c r="B53" s="38">
        <v>1548</v>
      </c>
    </row>
    <row r="54" spans="1:2" x14ac:dyDescent="0.3">
      <c r="A54" s="14">
        <v>42.075776378437745</v>
      </c>
      <c r="B54" s="38">
        <v>1024</v>
      </c>
    </row>
    <row r="55" spans="1:2" x14ac:dyDescent="0.3">
      <c r="A55" s="14">
        <v>42.073698874282762</v>
      </c>
      <c r="B55" s="38">
        <v>1611</v>
      </c>
    </row>
    <row r="56" spans="1:2" x14ac:dyDescent="0.3">
      <c r="A56" s="14">
        <v>42.073605919961544</v>
      </c>
      <c r="B56" s="38">
        <v>1303</v>
      </c>
    </row>
    <row r="57" spans="1:2" x14ac:dyDescent="0.3">
      <c r="A57" s="14">
        <v>42.073409003871284</v>
      </c>
      <c r="B57" s="38">
        <v>1679</v>
      </c>
    </row>
    <row r="58" spans="1:2" x14ac:dyDescent="0.3">
      <c r="A58" s="14">
        <v>42.072906320612752</v>
      </c>
      <c r="B58" s="38">
        <v>1224</v>
      </c>
    </row>
    <row r="59" spans="1:2" x14ac:dyDescent="0.3">
      <c r="A59" s="14">
        <v>42.072456199019008</v>
      </c>
      <c r="B59" s="38">
        <v>1019</v>
      </c>
    </row>
    <row r="60" spans="1:2" x14ac:dyDescent="0.3">
      <c r="A60" s="14">
        <v>42.072059510699951</v>
      </c>
      <c r="B60" s="38">
        <v>1029</v>
      </c>
    </row>
    <row r="61" spans="1:2" x14ac:dyDescent="0.3">
      <c r="A61" s="14">
        <v>42.070290368357369</v>
      </c>
      <c r="B61" s="38">
        <v>1644</v>
      </c>
    </row>
    <row r="62" spans="1:2" x14ac:dyDescent="0.3">
      <c r="A62" s="14">
        <v>42.07004491890558</v>
      </c>
      <c r="B62" s="38">
        <v>1206</v>
      </c>
    </row>
    <row r="63" spans="1:2" x14ac:dyDescent="0.3">
      <c r="A63" s="14">
        <v>42.069383328848588</v>
      </c>
      <c r="B63" s="38">
        <v>1746</v>
      </c>
    </row>
    <row r="64" spans="1:2" x14ac:dyDescent="0.3">
      <c r="A64" s="14">
        <v>42.069277284509724</v>
      </c>
      <c r="B64" s="38">
        <v>836</v>
      </c>
    </row>
    <row r="65" spans="1:2" x14ac:dyDescent="0.3">
      <c r="A65" s="14">
        <v>42.06822345530864</v>
      </c>
      <c r="B65" s="38">
        <v>876</v>
      </c>
    </row>
    <row r="66" spans="1:2" x14ac:dyDescent="0.3">
      <c r="A66" s="14">
        <v>42.067151424105056</v>
      </c>
      <c r="B66" s="38">
        <v>1654</v>
      </c>
    </row>
    <row r="67" spans="1:2" x14ac:dyDescent="0.3">
      <c r="A67" s="14">
        <v>42.065778879287514</v>
      </c>
      <c r="B67" s="38">
        <v>1910</v>
      </c>
    </row>
    <row r="68" spans="1:2" x14ac:dyDescent="0.3">
      <c r="A68" s="14">
        <v>42.065437834029225</v>
      </c>
      <c r="B68" s="38">
        <v>1035</v>
      </c>
    </row>
    <row r="69" spans="1:2" x14ac:dyDescent="0.3">
      <c r="A69" s="14">
        <v>42.065378422365335</v>
      </c>
      <c r="B69" s="38">
        <v>1898</v>
      </c>
    </row>
    <row r="70" spans="1:2" x14ac:dyDescent="0.3">
      <c r="A70" s="14">
        <v>42.064783749189822</v>
      </c>
      <c r="B70" s="38">
        <v>1234</v>
      </c>
    </row>
    <row r="71" spans="1:2" x14ac:dyDescent="0.3">
      <c r="A71" s="14">
        <v>42.064162791888961</v>
      </c>
      <c r="B71" s="38">
        <v>2223</v>
      </c>
    </row>
    <row r="72" spans="1:2" x14ac:dyDescent="0.3">
      <c r="A72" s="14">
        <v>42.064057620052658</v>
      </c>
      <c r="B72" s="38">
        <v>1700</v>
      </c>
    </row>
    <row r="73" spans="1:2" x14ac:dyDescent="0.3">
      <c r="A73" s="14">
        <v>42.064023889129899</v>
      </c>
      <c r="B73" s="38">
        <v>2128</v>
      </c>
    </row>
    <row r="74" spans="1:2" x14ac:dyDescent="0.3">
      <c r="A74" s="14">
        <v>42.063815127601409</v>
      </c>
      <c r="B74" s="38">
        <v>2302</v>
      </c>
    </row>
    <row r="75" spans="1:2" x14ac:dyDescent="0.3">
      <c r="A75" s="14">
        <v>42.063300934441024</v>
      </c>
      <c r="B75" s="38">
        <v>1871</v>
      </c>
    </row>
    <row r="76" spans="1:2" x14ac:dyDescent="0.3">
      <c r="A76" s="14">
        <v>42.062441760351433</v>
      </c>
      <c r="B76" s="38">
        <v>1961</v>
      </c>
    </row>
    <row r="77" spans="1:2" x14ac:dyDescent="0.3">
      <c r="A77" s="14">
        <v>42.062339190859824</v>
      </c>
      <c r="B77" s="38">
        <v>733</v>
      </c>
    </row>
    <row r="78" spans="1:2" x14ac:dyDescent="0.3">
      <c r="A78" s="14">
        <v>42.062041571772909</v>
      </c>
      <c r="B78" s="38">
        <v>818</v>
      </c>
    </row>
    <row r="79" spans="1:2" x14ac:dyDescent="0.3">
      <c r="A79" s="14">
        <v>42.060236428039438</v>
      </c>
      <c r="B79" s="38">
        <v>1071</v>
      </c>
    </row>
    <row r="80" spans="1:2" x14ac:dyDescent="0.3">
      <c r="A80" s="14">
        <v>42.060065251335601</v>
      </c>
      <c r="B80" s="38">
        <v>1415</v>
      </c>
    </row>
    <row r="81" spans="1:2" x14ac:dyDescent="0.3">
      <c r="A81" s="14">
        <v>42.059654369839144</v>
      </c>
      <c r="B81" s="38">
        <v>1304</v>
      </c>
    </row>
    <row r="82" spans="1:2" x14ac:dyDescent="0.3">
      <c r="A82" s="14">
        <v>42.05900711138915</v>
      </c>
      <c r="B82" s="38">
        <v>972</v>
      </c>
    </row>
    <row r="83" spans="1:2" x14ac:dyDescent="0.3">
      <c r="A83" s="14">
        <v>42.058657640100606</v>
      </c>
      <c r="B83" s="38">
        <v>897</v>
      </c>
    </row>
    <row r="84" spans="1:2" x14ac:dyDescent="0.3">
      <c r="A84" s="14">
        <v>42.058004021490426</v>
      </c>
      <c r="B84" s="38">
        <v>1992</v>
      </c>
    </row>
    <row r="85" spans="1:2" x14ac:dyDescent="0.3">
      <c r="A85" s="14">
        <v>42.057810723759644</v>
      </c>
      <c r="B85" s="38">
        <v>790</v>
      </c>
    </row>
    <row r="86" spans="1:2" x14ac:dyDescent="0.3">
      <c r="A86" s="14">
        <v>42.057422465259044</v>
      </c>
      <c r="B86" s="38">
        <v>1466</v>
      </c>
    </row>
    <row r="87" spans="1:2" x14ac:dyDescent="0.3">
      <c r="A87" s="14">
        <v>42.057419071213396</v>
      </c>
      <c r="B87" s="38">
        <v>1434</v>
      </c>
    </row>
    <row r="88" spans="1:2" x14ac:dyDescent="0.3">
      <c r="A88" s="14">
        <v>42.057279319203523</v>
      </c>
      <c r="B88" s="38">
        <v>2073</v>
      </c>
    </row>
    <row r="89" spans="1:2" x14ac:dyDescent="0.3">
      <c r="A89" s="14">
        <v>42.057166083890131</v>
      </c>
      <c r="B89" s="38">
        <v>2267</v>
      </c>
    </row>
    <row r="90" spans="1:2" x14ac:dyDescent="0.3">
      <c r="A90" s="14">
        <v>42.057146217432958</v>
      </c>
      <c r="B90" s="38">
        <v>1227</v>
      </c>
    </row>
    <row r="91" spans="1:2" x14ac:dyDescent="0.3">
      <c r="A91" s="14">
        <v>42.056874565098731</v>
      </c>
      <c r="B91" s="38">
        <v>2363</v>
      </c>
    </row>
    <row r="92" spans="1:2" x14ac:dyDescent="0.3">
      <c r="A92" s="14">
        <v>42.056269909799255</v>
      </c>
      <c r="B92" s="38">
        <v>647</v>
      </c>
    </row>
    <row r="93" spans="1:2" x14ac:dyDescent="0.3">
      <c r="A93" s="14">
        <v>42.05542332433216</v>
      </c>
      <c r="B93" s="38">
        <v>1835</v>
      </c>
    </row>
    <row r="94" spans="1:2" x14ac:dyDescent="0.3">
      <c r="A94" s="14">
        <v>42.055312721376296</v>
      </c>
      <c r="B94" s="38">
        <v>2266</v>
      </c>
    </row>
    <row r="95" spans="1:2" x14ac:dyDescent="0.3">
      <c r="A95" s="14">
        <v>42.05516163086633</v>
      </c>
      <c r="B95" s="38">
        <v>1454</v>
      </c>
    </row>
    <row r="96" spans="1:2" x14ac:dyDescent="0.3">
      <c r="A96" s="14">
        <v>42.054870096859339</v>
      </c>
      <c r="B96" s="38">
        <v>1675</v>
      </c>
    </row>
    <row r="97" spans="1:2" x14ac:dyDescent="0.3">
      <c r="A97" s="14">
        <v>42.054347495587386</v>
      </c>
      <c r="B97" s="38">
        <v>1090</v>
      </c>
    </row>
    <row r="98" spans="1:2" x14ac:dyDescent="0.3">
      <c r="A98" s="14">
        <v>42.052997396318304</v>
      </c>
      <c r="B98" s="38">
        <v>937</v>
      </c>
    </row>
    <row r="99" spans="1:2" x14ac:dyDescent="0.3">
      <c r="A99" s="14">
        <v>42.052961941885044</v>
      </c>
      <c r="B99" s="38">
        <v>1830</v>
      </c>
    </row>
    <row r="100" spans="1:2" x14ac:dyDescent="0.3">
      <c r="A100" s="14">
        <v>42.05212352581983</v>
      </c>
      <c r="B100" s="38">
        <v>1579</v>
      </c>
    </row>
    <row r="101" spans="1:2" x14ac:dyDescent="0.3">
      <c r="A101" s="14">
        <v>42.050713049025831</v>
      </c>
      <c r="B101" s="38">
        <v>2032</v>
      </c>
    </row>
    <row r="102" spans="1:2" x14ac:dyDescent="0.3">
      <c r="A102" s="14">
        <v>42.050526129860323</v>
      </c>
      <c r="B102" s="38">
        <v>715</v>
      </c>
    </row>
    <row r="103" spans="1:2" x14ac:dyDescent="0.3">
      <c r="A103" s="14">
        <v>42.050496076354385</v>
      </c>
      <c r="B103" s="38">
        <v>1152</v>
      </c>
    </row>
    <row r="104" spans="1:2" x14ac:dyDescent="0.3">
      <c r="A104" s="14">
        <v>42.049889449621851</v>
      </c>
      <c r="B104" s="38">
        <v>2012</v>
      </c>
    </row>
    <row r="105" spans="1:2" x14ac:dyDescent="0.3">
      <c r="A105" s="14">
        <v>42.047999034903491</v>
      </c>
      <c r="B105" s="38">
        <v>930</v>
      </c>
    </row>
    <row r="106" spans="1:2" x14ac:dyDescent="0.3">
      <c r="A106" s="14">
        <v>42.047934750137237</v>
      </c>
      <c r="B106" s="38">
        <v>3690</v>
      </c>
    </row>
    <row r="107" spans="1:2" x14ac:dyDescent="0.3">
      <c r="A107" s="14">
        <v>42.046924535239562</v>
      </c>
      <c r="B107" s="38">
        <v>1855</v>
      </c>
    </row>
    <row r="108" spans="1:2" x14ac:dyDescent="0.3">
      <c r="A108" s="14">
        <v>42.045012866005976</v>
      </c>
      <c r="B108" s="38">
        <v>1044</v>
      </c>
    </row>
    <row r="109" spans="1:2" x14ac:dyDescent="0.3">
      <c r="A109" s="14">
        <v>42.04484279463238</v>
      </c>
      <c r="B109" s="38">
        <v>1101</v>
      </c>
    </row>
    <row r="110" spans="1:2" x14ac:dyDescent="0.3">
      <c r="A110" s="14">
        <v>42.044577483924165</v>
      </c>
      <c r="B110" s="38">
        <v>1078</v>
      </c>
    </row>
    <row r="111" spans="1:2" x14ac:dyDescent="0.3">
      <c r="A111" s="14">
        <v>42.043180704995002</v>
      </c>
      <c r="B111" s="38">
        <v>953</v>
      </c>
    </row>
    <row r="112" spans="1:2" x14ac:dyDescent="0.3">
      <c r="A112" s="14">
        <v>42.042284152847081</v>
      </c>
      <c r="B112" s="38">
        <v>4027</v>
      </c>
    </row>
    <row r="113" spans="1:2" x14ac:dyDescent="0.3">
      <c r="A113" s="14">
        <v>42.042232790342879</v>
      </c>
      <c r="B113" s="38">
        <v>817</v>
      </c>
    </row>
    <row r="114" spans="1:2" x14ac:dyDescent="0.3">
      <c r="A114" s="14">
        <v>42.04126656722682</v>
      </c>
      <c r="B114" s="38">
        <v>1897</v>
      </c>
    </row>
    <row r="115" spans="1:2" x14ac:dyDescent="0.3">
      <c r="A115" s="14">
        <v>42.037373301363822</v>
      </c>
      <c r="B115" s="38">
        <v>1320</v>
      </c>
    </row>
    <row r="116" spans="1:2" x14ac:dyDescent="0.3">
      <c r="A116" s="14">
        <v>42.03595451112156</v>
      </c>
      <c r="B116" s="38">
        <v>3376</v>
      </c>
    </row>
    <row r="117" spans="1:2" x14ac:dyDescent="0.3">
      <c r="A117" s="14">
        <v>42.035732043614196</v>
      </c>
      <c r="B117" s="38">
        <v>1353</v>
      </c>
    </row>
    <row r="118" spans="1:2" x14ac:dyDescent="0.3">
      <c r="A118" s="14">
        <v>42.032135137605337</v>
      </c>
      <c r="B118" s="38">
        <v>4404</v>
      </c>
    </row>
    <row r="119" spans="1:2" x14ac:dyDescent="0.3">
      <c r="A119" s="14">
        <v>42.032036036424827</v>
      </c>
      <c r="B119" s="38">
        <v>4105</v>
      </c>
    </row>
    <row r="120" spans="1:2" x14ac:dyDescent="0.3">
      <c r="A120" s="14">
        <v>42.030453602148476</v>
      </c>
      <c r="B120" s="38">
        <v>1694</v>
      </c>
    </row>
    <row r="121" spans="1:2" x14ac:dyDescent="0.3">
      <c r="A121" s="14">
        <v>42.030243050536299</v>
      </c>
      <c r="B121" s="38">
        <v>3557</v>
      </c>
    </row>
    <row r="122" spans="1:2" x14ac:dyDescent="0.3">
      <c r="A122" s="14">
        <v>42.027821436903103</v>
      </c>
      <c r="B122" s="38">
        <v>1143</v>
      </c>
    </row>
    <row r="123" spans="1:2" x14ac:dyDescent="0.3">
      <c r="A123" s="14">
        <v>42.025452267418949</v>
      </c>
      <c r="B123" s="38">
        <v>2046</v>
      </c>
    </row>
    <row r="124" spans="1:2" x14ac:dyDescent="0.3">
      <c r="A124" s="14">
        <v>42.024701751135893</v>
      </c>
      <c r="B124" s="38">
        <v>2613</v>
      </c>
    </row>
    <row r="125" spans="1:2" x14ac:dyDescent="0.3">
      <c r="A125" s="14">
        <v>42.02390389113846</v>
      </c>
      <c r="B125" s="38">
        <v>2028</v>
      </c>
    </row>
    <row r="126" spans="1:2" x14ac:dyDescent="0.3">
      <c r="A126" s="14">
        <v>42.021449708714066</v>
      </c>
      <c r="B126" s="38">
        <v>3542</v>
      </c>
    </row>
    <row r="127" spans="1:2" x14ac:dyDescent="0.3">
      <c r="A127" s="14">
        <v>42.020851481431968</v>
      </c>
      <c r="B127" s="38">
        <v>2094</v>
      </c>
    </row>
    <row r="128" spans="1:2" x14ac:dyDescent="0.3">
      <c r="A128" s="14">
        <v>42.01936124172542</v>
      </c>
      <c r="B128" s="38">
        <v>997</v>
      </c>
    </row>
    <row r="129" spans="1:2" x14ac:dyDescent="0.3">
      <c r="A129" s="14">
        <v>42.015822817528871</v>
      </c>
      <c r="B129" s="38">
        <v>1546</v>
      </c>
    </row>
    <row r="130" spans="1:2" x14ac:dyDescent="0.3">
      <c r="A130" s="14">
        <v>42.015427050509047</v>
      </c>
      <c r="B130" s="38">
        <v>2120</v>
      </c>
    </row>
    <row r="131" spans="1:2" x14ac:dyDescent="0.3">
      <c r="A131" s="14">
        <v>42.014827448431653</v>
      </c>
      <c r="B131" s="38">
        <v>1642</v>
      </c>
    </row>
    <row r="132" spans="1:2" x14ac:dyDescent="0.3">
      <c r="A132" s="14">
        <v>42.012325841210973</v>
      </c>
      <c r="B132" s="38">
        <v>1841</v>
      </c>
    </row>
    <row r="133" spans="1:2" x14ac:dyDescent="0.3">
      <c r="A133" s="14">
        <v>42.009226969002633</v>
      </c>
      <c r="B133" s="38">
        <v>2308</v>
      </c>
    </row>
    <row r="134" spans="1:2" x14ac:dyDescent="0.3">
      <c r="A134" s="14">
        <v>42.006164400098299</v>
      </c>
      <c r="B134" s="38">
        <v>1825</v>
      </c>
    </row>
    <row r="135" spans="1:2" x14ac:dyDescent="0.3">
      <c r="A135" s="14">
        <v>41.998184457343747</v>
      </c>
      <c r="B135" s="38">
        <v>1875</v>
      </c>
    </row>
    <row r="136" spans="1:2" x14ac:dyDescent="0.3">
      <c r="A136" s="14">
        <v>41.995206992346809</v>
      </c>
      <c r="B136" s="38">
        <v>2211</v>
      </c>
    </row>
    <row r="137" spans="1:2" x14ac:dyDescent="0.3">
      <c r="A137" s="14">
        <v>41.994085006659624</v>
      </c>
      <c r="B137" s="38">
        <v>913</v>
      </c>
    </row>
    <row r="138" spans="1:2" x14ac:dyDescent="0.3">
      <c r="A138" s="14">
        <v>41.99012489148182</v>
      </c>
      <c r="B138" s="38">
        <v>1525</v>
      </c>
    </row>
    <row r="139" spans="1:2" x14ac:dyDescent="0.3">
      <c r="A139" s="14">
        <v>41.988225017152246</v>
      </c>
      <c r="B139" s="38">
        <v>2940</v>
      </c>
    </row>
    <row r="140" spans="1:2" x14ac:dyDescent="0.3">
      <c r="A140" s="14">
        <v>41.98792038500526</v>
      </c>
      <c r="B140" s="38">
        <v>3841</v>
      </c>
    </row>
    <row r="141" spans="1:2" x14ac:dyDescent="0.3">
      <c r="A141" s="14">
        <v>41.987675092500282</v>
      </c>
      <c r="B141" s="38">
        <v>892</v>
      </c>
    </row>
    <row r="142" spans="1:2" x14ac:dyDescent="0.3">
      <c r="A142" s="14">
        <v>41.977616327086764</v>
      </c>
      <c r="B142" s="38">
        <v>1301</v>
      </c>
    </row>
    <row r="143" spans="1:2" x14ac:dyDescent="0.3">
      <c r="A143" s="14">
        <v>41.977123735186758</v>
      </c>
      <c r="B143" s="38">
        <v>1658</v>
      </c>
    </row>
    <row r="144" spans="1:2" x14ac:dyDescent="0.3">
      <c r="A144" s="14">
        <v>41.95294229336271</v>
      </c>
      <c r="B144" s="38">
        <v>2395</v>
      </c>
    </row>
    <row r="145" spans="1:2" x14ac:dyDescent="0.3">
      <c r="A145" s="14">
        <v>41.948998508539397</v>
      </c>
      <c r="B145" s="38">
        <v>1866</v>
      </c>
    </row>
    <row r="146" spans="1:2" x14ac:dyDescent="0.3">
      <c r="A146" s="14">
        <v>41.941624099652643</v>
      </c>
      <c r="B146" s="38">
        <v>1497</v>
      </c>
    </row>
    <row r="147" spans="1:2" x14ac:dyDescent="0.3">
      <c r="A147" s="14">
        <v>41.929235634842584</v>
      </c>
      <c r="B147" s="38">
        <v>1365</v>
      </c>
    </row>
    <row r="148" spans="1:2" x14ac:dyDescent="0.3">
      <c r="A148" s="14">
        <v>41.919382017893916</v>
      </c>
      <c r="B148" s="38">
        <v>641</v>
      </c>
    </row>
    <row r="149" spans="1:2" x14ac:dyDescent="0.3">
      <c r="A149" s="14">
        <v>41.898107604678962</v>
      </c>
      <c r="B149" s="38">
        <v>1573</v>
      </c>
    </row>
    <row r="150" spans="1:2" x14ac:dyDescent="0.3">
      <c r="A150" s="14">
        <v>41.879956688706301</v>
      </c>
      <c r="B150" s="38">
        <v>3172</v>
      </c>
    </row>
    <row r="151" spans="1:2" x14ac:dyDescent="0.3">
      <c r="A151" s="14">
        <v>41.870498236239676</v>
      </c>
      <c r="B151" s="38">
        <v>968</v>
      </c>
    </row>
    <row r="152" spans="1:2" x14ac:dyDescent="0.3">
      <c r="A152" s="14">
        <v>41.815661602466072</v>
      </c>
      <c r="B152" s="38">
        <v>2485</v>
      </c>
    </row>
    <row r="153" spans="1:2" x14ac:dyDescent="0.3">
      <c r="A153" s="14">
        <v>41.736311722387512</v>
      </c>
      <c r="B153" s="38">
        <v>1198</v>
      </c>
    </row>
    <row r="154" spans="1:2" x14ac:dyDescent="0.3">
      <c r="A154" s="14">
        <v>41.6870228369459</v>
      </c>
      <c r="B154" s="38">
        <v>1398</v>
      </c>
    </row>
    <row r="155" spans="1:2" x14ac:dyDescent="0.3">
      <c r="A155" s="14">
        <v>41.650691584954288</v>
      </c>
      <c r="B155" s="38">
        <v>979</v>
      </c>
    </row>
    <row r="156" spans="1:2" x14ac:dyDescent="0.3">
      <c r="A156" s="14">
        <v>41.194826909219813</v>
      </c>
      <c r="B156" s="38">
        <v>1230</v>
      </c>
    </row>
    <row r="157" spans="1:2" x14ac:dyDescent="0.3">
      <c r="A157" s="14">
        <v>41.186570818244427</v>
      </c>
      <c r="B157" s="38">
        <v>1122</v>
      </c>
    </row>
    <row r="158" spans="1:2" x14ac:dyDescent="0.3">
      <c r="A158" s="14">
        <v>41.184914267648857</v>
      </c>
      <c r="B158" s="38">
        <v>1446</v>
      </c>
    </row>
    <row r="159" spans="1:2" x14ac:dyDescent="0.3">
      <c r="A159" s="14">
        <v>41.183365767652795</v>
      </c>
      <c r="B159" s="38">
        <v>1934</v>
      </c>
    </row>
    <row r="160" spans="1:2" x14ac:dyDescent="0.3">
      <c r="A160" s="14">
        <v>41.183214628870012</v>
      </c>
      <c r="B160" s="38">
        <v>1628</v>
      </c>
    </row>
    <row r="161" spans="1:2" x14ac:dyDescent="0.3">
      <c r="A161" s="14">
        <v>41.18254320982696</v>
      </c>
      <c r="B161" s="38">
        <v>1616</v>
      </c>
    </row>
    <row r="162" spans="1:2" x14ac:dyDescent="0.3">
      <c r="A162" s="14">
        <v>41.182381514620822</v>
      </c>
      <c r="B162" s="38">
        <v>3237</v>
      </c>
    </row>
    <row r="163" spans="1:2" x14ac:dyDescent="0.3">
      <c r="A163" s="14">
        <v>41.181874171201407</v>
      </c>
      <c r="B163" s="38">
        <v>1690</v>
      </c>
    </row>
    <row r="164" spans="1:2" x14ac:dyDescent="0.3">
      <c r="A164" s="14">
        <v>41.181423222733052</v>
      </c>
      <c r="B164" s="38">
        <v>1815</v>
      </c>
    </row>
    <row r="165" spans="1:2" x14ac:dyDescent="0.3">
      <c r="A165" s="14">
        <v>41.18116224677177</v>
      </c>
      <c r="B165" s="38">
        <v>2947</v>
      </c>
    </row>
    <row r="166" spans="1:2" x14ac:dyDescent="0.3">
      <c r="A166" s="14">
        <v>41.180924785535936</v>
      </c>
      <c r="B166" s="38">
        <v>3072</v>
      </c>
    </row>
    <row r="167" spans="1:2" x14ac:dyDescent="0.3">
      <c r="A167" s="14">
        <v>41.180873973337818</v>
      </c>
      <c r="B167" s="38">
        <v>1570</v>
      </c>
    </row>
    <row r="168" spans="1:2" x14ac:dyDescent="0.3">
      <c r="A168" s="14">
        <v>41.180521425988928</v>
      </c>
      <c r="B168" s="38">
        <v>2189</v>
      </c>
    </row>
    <row r="169" spans="1:2" x14ac:dyDescent="0.3">
      <c r="A169" s="14">
        <v>41.180506141486333</v>
      </c>
      <c r="B169" s="38">
        <v>3629</v>
      </c>
    </row>
    <row r="170" spans="1:2" x14ac:dyDescent="0.3">
      <c r="A170" s="14">
        <v>41.179552485999942</v>
      </c>
      <c r="B170" s="38">
        <v>2230</v>
      </c>
    </row>
    <row r="171" spans="1:2" x14ac:dyDescent="0.3">
      <c r="A171" s="14">
        <v>41.179450217230141</v>
      </c>
      <c r="B171" s="38">
        <v>2770</v>
      </c>
    </row>
    <row r="172" spans="1:2" x14ac:dyDescent="0.3">
      <c r="A172" s="14">
        <v>41.178984933233579</v>
      </c>
      <c r="B172" s="38">
        <v>3657</v>
      </c>
    </row>
    <row r="173" spans="1:2" x14ac:dyDescent="0.3">
      <c r="A173" s="14">
        <v>41.177691243226469</v>
      </c>
      <c r="B173" s="38">
        <v>1525</v>
      </c>
    </row>
    <row r="174" spans="1:2" x14ac:dyDescent="0.3">
      <c r="A174" s="14">
        <v>41.177529681817852</v>
      </c>
      <c r="B174" s="38">
        <v>2019</v>
      </c>
    </row>
    <row r="175" spans="1:2" x14ac:dyDescent="0.3">
      <c r="A175" s="14">
        <v>41.177347092232701</v>
      </c>
      <c r="B175" s="38">
        <v>1626</v>
      </c>
    </row>
    <row r="176" spans="1:2" x14ac:dyDescent="0.3">
      <c r="A176" s="14">
        <v>41.176992898905077</v>
      </c>
      <c r="B176" s="38">
        <v>3685</v>
      </c>
    </row>
    <row r="177" spans="1:2" x14ac:dyDescent="0.3">
      <c r="A177" s="14">
        <v>41.176952358530322</v>
      </c>
      <c r="B177" s="38">
        <v>2082</v>
      </c>
    </row>
    <row r="178" spans="1:2" x14ac:dyDescent="0.3">
      <c r="A178" s="14">
        <v>41.176658230298401</v>
      </c>
      <c r="B178" s="38">
        <v>3008</v>
      </c>
    </row>
    <row r="179" spans="1:2" x14ac:dyDescent="0.3">
      <c r="A179" s="14">
        <v>41.176475937326856</v>
      </c>
      <c r="B179" s="38">
        <v>2020</v>
      </c>
    </row>
    <row r="180" spans="1:2" x14ac:dyDescent="0.3">
      <c r="A180" s="14">
        <v>41.175514068825507</v>
      </c>
      <c r="B180" s="38">
        <v>1677</v>
      </c>
    </row>
    <row r="181" spans="1:2" x14ac:dyDescent="0.3">
      <c r="A181" s="14">
        <v>41.175156725454606</v>
      </c>
      <c r="B181" s="38">
        <v>4862</v>
      </c>
    </row>
    <row r="182" spans="1:2" x14ac:dyDescent="0.3">
      <c r="A182" s="14">
        <v>41.175070170680335</v>
      </c>
      <c r="B182" s="38">
        <v>2058</v>
      </c>
    </row>
    <row r="183" spans="1:2" x14ac:dyDescent="0.3">
      <c r="A183" s="14">
        <v>41.175042317084973</v>
      </c>
      <c r="B183" s="38">
        <v>2934</v>
      </c>
    </row>
    <row r="184" spans="1:2" x14ac:dyDescent="0.3">
      <c r="A184" s="14">
        <v>41.174846069212947</v>
      </c>
      <c r="B184" s="38">
        <v>2479</v>
      </c>
    </row>
    <row r="185" spans="1:2" x14ac:dyDescent="0.3">
      <c r="A185" s="14">
        <v>41.174571515683844</v>
      </c>
      <c r="B185" s="38">
        <v>1814</v>
      </c>
    </row>
    <row r="186" spans="1:2" x14ac:dyDescent="0.3">
      <c r="A186" s="14">
        <v>41.174555016820023</v>
      </c>
      <c r="B186" s="38">
        <v>11809</v>
      </c>
    </row>
    <row r="187" spans="1:2" x14ac:dyDescent="0.3">
      <c r="A187" s="14">
        <v>41.174202183195689</v>
      </c>
      <c r="B187" s="38">
        <v>3344</v>
      </c>
    </row>
    <row r="188" spans="1:2" x14ac:dyDescent="0.3">
      <c r="A188" s="14">
        <v>41.174080605956263</v>
      </c>
      <c r="B188" s="38">
        <v>2451</v>
      </c>
    </row>
    <row r="189" spans="1:2" x14ac:dyDescent="0.3">
      <c r="A189" s="14">
        <v>41.173764463294283</v>
      </c>
      <c r="B189" s="38">
        <v>4144</v>
      </c>
    </row>
    <row r="190" spans="1:2" x14ac:dyDescent="0.3">
      <c r="A190" s="14">
        <v>41.173655953396441</v>
      </c>
      <c r="B190" s="38">
        <v>1166</v>
      </c>
    </row>
    <row r="191" spans="1:2" x14ac:dyDescent="0.3">
      <c r="A191" s="14">
        <v>41.173427774081446</v>
      </c>
      <c r="B191" s="38">
        <v>1774</v>
      </c>
    </row>
    <row r="192" spans="1:2" x14ac:dyDescent="0.3">
      <c r="A192" s="14">
        <v>41.173403355116612</v>
      </c>
      <c r="B192" s="38">
        <v>2353</v>
      </c>
    </row>
    <row r="193" spans="1:2" x14ac:dyDescent="0.3">
      <c r="A193" s="14">
        <v>41.173049448862237</v>
      </c>
      <c r="B193" s="38">
        <v>3855</v>
      </c>
    </row>
    <row r="194" spans="1:2" x14ac:dyDescent="0.3">
      <c r="A194" s="14">
        <v>41.172899327011379</v>
      </c>
      <c r="B194" s="38">
        <v>2376</v>
      </c>
    </row>
    <row r="195" spans="1:2" x14ac:dyDescent="0.3">
      <c r="A195" s="14">
        <v>41.172692878722181</v>
      </c>
      <c r="B195" s="38">
        <v>1870</v>
      </c>
    </row>
    <row r="196" spans="1:2" x14ac:dyDescent="0.3">
      <c r="A196" s="14">
        <v>41.172643858746291</v>
      </c>
      <c r="B196" s="38">
        <v>2378</v>
      </c>
    </row>
    <row r="197" spans="1:2" x14ac:dyDescent="0.3">
      <c r="A197" s="14">
        <v>41.172578144476006</v>
      </c>
      <c r="B197" s="38">
        <v>1631</v>
      </c>
    </row>
    <row r="198" spans="1:2" x14ac:dyDescent="0.3">
      <c r="A198" s="14">
        <v>41.172463222371789</v>
      </c>
      <c r="B198" s="38">
        <v>1518</v>
      </c>
    </row>
    <row r="199" spans="1:2" x14ac:dyDescent="0.3">
      <c r="A199" s="14">
        <v>41.171705717366791</v>
      </c>
      <c r="B199" s="38">
        <v>1386</v>
      </c>
    </row>
    <row r="200" spans="1:2" x14ac:dyDescent="0.3">
      <c r="A200" s="14">
        <v>41.171116409712901</v>
      </c>
      <c r="B200" s="38">
        <v>1392</v>
      </c>
    </row>
    <row r="201" spans="1:2" x14ac:dyDescent="0.3">
      <c r="A201" s="14">
        <v>41.16925102753008</v>
      </c>
      <c r="B201" s="38">
        <v>4165</v>
      </c>
    </row>
    <row r="202" spans="1:2" x14ac:dyDescent="0.3">
      <c r="A202" s="14">
        <v>41.169097548127048</v>
      </c>
      <c r="B202" s="38">
        <v>2858</v>
      </c>
    </row>
    <row r="203" spans="1:2" x14ac:dyDescent="0.3">
      <c r="A203" s="14">
        <v>41.168976274705507</v>
      </c>
      <c r="B203" s="38">
        <v>3268</v>
      </c>
    </row>
    <row r="204" spans="1:2" x14ac:dyDescent="0.3">
      <c r="A204" s="14">
        <v>41.168845455963051</v>
      </c>
      <c r="B204" s="38">
        <v>2966</v>
      </c>
    </row>
    <row r="205" spans="1:2" x14ac:dyDescent="0.3">
      <c r="A205" s="14">
        <v>41.168722571401091</v>
      </c>
      <c r="B205" s="38">
        <v>3757</v>
      </c>
    </row>
    <row r="206" spans="1:2" x14ac:dyDescent="0.3">
      <c r="A206" s="14">
        <v>41.166815037759704</v>
      </c>
      <c r="B206" s="38">
        <v>1455</v>
      </c>
    </row>
    <row r="207" spans="1:2" x14ac:dyDescent="0.3">
      <c r="A207" s="14">
        <v>41.166715987499295</v>
      </c>
      <c r="B207" s="38">
        <v>2676</v>
      </c>
    </row>
    <row r="208" spans="1:2" x14ac:dyDescent="0.3">
      <c r="A208" s="14">
        <v>41.16645338767848</v>
      </c>
      <c r="B208" s="38">
        <v>1921</v>
      </c>
    </row>
    <row r="209" spans="1:2" x14ac:dyDescent="0.3">
      <c r="A209" s="14">
        <v>41.16619763944675</v>
      </c>
      <c r="B209" s="38">
        <v>1897</v>
      </c>
    </row>
    <row r="210" spans="1:2" x14ac:dyDescent="0.3">
      <c r="A210" s="14">
        <v>41.166084512200598</v>
      </c>
      <c r="B210" s="38">
        <v>2853</v>
      </c>
    </row>
    <row r="211" spans="1:2" x14ac:dyDescent="0.3">
      <c r="A211" s="14">
        <v>41.165290824177383</v>
      </c>
      <c r="B211" s="38">
        <v>2573</v>
      </c>
    </row>
    <row r="212" spans="1:2" x14ac:dyDescent="0.3">
      <c r="A212" s="14">
        <v>41.165056054620635</v>
      </c>
      <c r="B212" s="38">
        <v>1976</v>
      </c>
    </row>
    <row r="213" spans="1:2" x14ac:dyDescent="0.3">
      <c r="A213" s="14">
        <v>41.164228773396879</v>
      </c>
      <c r="B213" s="38">
        <v>1868</v>
      </c>
    </row>
    <row r="214" spans="1:2" x14ac:dyDescent="0.3">
      <c r="A214" s="14">
        <v>41.16145444032184</v>
      </c>
      <c r="B214" s="38">
        <v>1959</v>
      </c>
    </row>
    <row r="215" spans="1:2" x14ac:dyDescent="0.3">
      <c r="A215" s="14">
        <v>41.158200224145723</v>
      </c>
      <c r="B215" s="38">
        <v>1182</v>
      </c>
    </row>
    <row r="216" spans="1:2" x14ac:dyDescent="0.3">
      <c r="A216" s="14">
        <v>41.157364606448425</v>
      </c>
      <c r="B216" s="38">
        <v>2949</v>
      </c>
    </row>
    <row r="217" spans="1:2" x14ac:dyDescent="0.3">
      <c r="A217" s="14">
        <v>41.15692482593284</v>
      </c>
      <c r="B217" s="38">
        <v>2053</v>
      </c>
    </row>
    <row r="218" spans="1:2" x14ac:dyDescent="0.3">
      <c r="A218" s="14">
        <v>41.155407254905001</v>
      </c>
      <c r="B218" s="38">
        <v>1050</v>
      </c>
    </row>
    <row r="219" spans="1:2" x14ac:dyDescent="0.3">
      <c r="A219" s="14">
        <v>41.154167142159793</v>
      </c>
      <c r="B219" s="38">
        <v>2005</v>
      </c>
    </row>
    <row r="220" spans="1:2" x14ac:dyDescent="0.3">
      <c r="A220" s="14">
        <v>41.152082299483993</v>
      </c>
      <c r="B220" s="38">
        <v>1937</v>
      </c>
    </row>
    <row r="221" spans="1:2" x14ac:dyDescent="0.3">
      <c r="A221" s="14">
        <v>41.151391086331131</v>
      </c>
      <c r="B221" s="38">
        <v>1499</v>
      </c>
    </row>
    <row r="222" spans="1:2" x14ac:dyDescent="0.3">
      <c r="A222" s="14">
        <v>41.151114653219295</v>
      </c>
      <c r="B222" s="38">
        <v>1808</v>
      </c>
    </row>
    <row r="223" spans="1:2" x14ac:dyDescent="0.3">
      <c r="A223" s="14">
        <v>41.150973219769554</v>
      </c>
      <c r="B223" s="38">
        <v>2848</v>
      </c>
    </row>
    <row r="224" spans="1:2" x14ac:dyDescent="0.3">
      <c r="A224" s="14">
        <v>41.148813010291065</v>
      </c>
      <c r="B224" s="38">
        <v>1169</v>
      </c>
    </row>
    <row r="225" spans="1:2" x14ac:dyDescent="0.3">
      <c r="A225" s="14">
        <v>41.147226282315629</v>
      </c>
      <c r="B225" s="38">
        <v>2198</v>
      </c>
    </row>
    <row r="226" spans="1:2" x14ac:dyDescent="0.3">
      <c r="A226" s="14">
        <v>41.144210634662464</v>
      </c>
      <c r="B226" s="38">
        <v>2417</v>
      </c>
    </row>
    <row r="227" spans="1:2" x14ac:dyDescent="0.3">
      <c r="A227" s="14">
        <v>41.132118984342178</v>
      </c>
      <c r="B227" s="38">
        <v>3234</v>
      </c>
    </row>
    <row r="228" spans="1:2" x14ac:dyDescent="0.3">
      <c r="A228" s="14">
        <v>41.131546155485431</v>
      </c>
      <c r="B228" s="38">
        <v>2357</v>
      </c>
    </row>
    <row r="229" spans="1:2" x14ac:dyDescent="0.3">
      <c r="A229" s="14">
        <v>41.12988357857234</v>
      </c>
      <c r="B229" s="38">
        <v>2207</v>
      </c>
    </row>
    <row r="230" spans="1:2" x14ac:dyDescent="0.3">
      <c r="A230" s="14">
        <v>41.121929482518809</v>
      </c>
      <c r="B230" s="38">
        <v>2013</v>
      </c>
    </row>
    <row r="231" spans="1:2" x14ac:dyDescent="0.3">
      <c r="A231" s="14">
        <v>41.120848563509526</v>
      </c>
      <c r="B231" s="38">
        <v>3274</v>
      </c>
    </row>
    <row r="232" spans="1:2" x14ac:dyDescent="0.3">
      <c r="A232" s="14">
        <v>41.120320666618397</v>
      </c>
      <c r="B232" s="38">
        <v>3648</v>
      </c>
    </row>
    <row r="233" spans="1:2" x14ac:dyDescent="0.3">
      <c r="A233" s="14">
        <v>41.119379511071131</v>
      </c>
      <c r="B233" s="38">
        <v>4652</v>
      </c>
    </row>
    <row r="234" spans="1:2" x14ac:dyDescent="0.3">
      <c r="A234" s="14">
        <v>41.116989714448998</v>
      </c>
      <c r="B234" s="38">
        <v>2252</v>
      </c>
    </row>
    <row r="235" spans="1:2" x14ac:dyDescent="0.3">
      <c r="A235" s="14">
        <v>41.115390379294752</v>
      </c>
      <c r="B235" s="38">
        <v>1715</v>
      </c>
    </row>
    <row r="236" spans="1:2" x14ac:dyDescent="0.3">
      <c r="A236" s="14">
        <v>41.11406058265014</v>
      </c>
      <c r="B236" s="38">
        <v>9540</v>
      </c>
    </row>
    <row r="237" spans="1:2" x14ac:dyDescent="0.3">
      <c r="A237" s="14">
        <v>41.111646551137696</v>
      </c>
      <c r="B237" s="38">
        <v>1644</v>
      </c>
    </row>
    <row r="238" spans="1:2" x14ac:dyDescent="0.3">
      <c r="A238" s="14">
        <v>41.099298450784389</v>
      </c>
      <c r="B238" s="38">
        <v>2065</v>
      </c>
    </row>
    <row r="239" spans="1:2" x14ac:dyDescent="0.3">
      <c r="A239" s="14">
        <v>41.091882419532723</v>
      </c>
      <c r="B239" s="38">
        <v>2594</v>
      </c>
    </row>
    <row r="240" spans="1:2" x14ac:dyDescent="0.3">
      <c r="A240" s="14">
        <v>41.089147147718897</v>
      </c>
      <c r="B240" s="38">
        <v>1692</v>
      </c>
    </row>
    <row r="241" spans="1:2" x14ac:dyDescent="0.3">
      <c r="A241" s="14">
        <v>41.085790377979507</v>
      </c>
      <c r="B241" s="38">
        <v>2401</v>
      </c>
    </row>
    <row r="242" spans="1:2" x14ac:dyDescent="0.3">
      <c r="A242" s="14">
        <v>41.071555199278684</v>
      </c>
      <c r="B242" s="38">
        <v>3256</v>
      </c>
    </row>
    <row r="243" spans="1:2" x14ac:dyDescent="0.3">
      <c r="A243" s="14">
        <v>41.066787986687402</v>
      </c>
      <c r="B243" s="38">
        <v>6534</v>
      </c>
    </row>
    <row r="244" spans="1:2" x14ac:dyDescent="0.3">
      <c r="A244" s="14">
        <v>40.798779783687969</v>
      </c>
      <c r="B244" s="38">
        <v>5014</v>
      </c>
    </row>
    <row r="245" spans="1:2" x14ac:dyDescent="0.3">
      <c r="A245" s="14">
        <v>40.691839921538921</v>
      </c>
      <c r="B245" s="38">
        <v>1914</v>
      </c>
    </row>
    <row r="246" spans="1:2" x14ac:dyDescent="0.3">
      <c r="A246" s="14">
        <v>40.678160305645306</v>
      </c>
      <c r="B246" s="38">
        <v>7778</v>
      </c>
    </row>
    <row r="247" spans="1:2" x14ac:dyDescent="0.3">
      <c r="A247" s="14">
        <v>40.665639965379555</v>
      </c>
      <c r="B247" s="38">
        <v>4348</v>
      </c>
    </row>
    <row r="248" spans="1:2" x14ac:dyDescent="0.3">
      <c r="A248" s="14">
        <v>40.654159211119762</v>
      </c>
      <c r="B248" s="38">
        <v>2170</v>
      </c>
    </row>
    <row r="249" spans="1:2" x14ac:dyDescent="0.3">
      <c r="A249" s="14">
        <v>40.558744588237964</v>
      </c>
      <c r="B249" s="38">
        <v>2222</v>
      </c>
    </row>
    <row r="250" spans="1:2" x14ac:dyDescent="0.3">
      <c r="A250" s="14">
        <v>40.529523749753082</v>
      </c>
      <c r="B250" s="38">
        <v>1861</v>
      </c>
    </row>
    <row r="251" spans="1:2" x14ac:dyDescent="0.3">
      <c r="A251" s="14">
        <v>40.394999694238436</v>
      </c>
      <c r="B251" s="38">
        <v>768</v>
      </c>
    </row>
    <row r="252" spans="1:2" x14ac:dyDescent="0.3">
      <c r="A252" s="14">
        <v>40.390502524637725</v>
      </c>
      <c r="B252" s="38">
        <v>1740</v>
      </c>
    </row>
    <row r="253" spans="1:2" x14ac:dyDescent="0.3">
      <c r="A253" s="14">
        <v>40.36171231940444</v>
      </c>
      <c r="B253" s="38">
        <v>5652</v>
      </c>
    </row>
    <row r="254" spans="1:2" x14ac:dyDescent="0.3">
      <c r="A254" s="14">
        <v>40.358430863872073</v>
      </c>
      <c r="B254" s="38">
        <v>1241</v>
      </c>
    </row>
    <row r="255" spans="1:2" x14ac:dyDescent="0.3">
      <c r="A255" s="14">
        <v>40.355898904048345</v>
      </c>
      <c r="B255" s="38">
        <v>2108</v>
      </c>
    </row>
    <row r="256" spans="1:2" x14ac:dyDescent="0.3">
      <c r="A256" s="14">
        <v>40.351033486804518</v>
      </c>
      <c r="B256" s="38">
        <v>3758</v>
      </c>
    </row>
    <row r="257" spans="1:2" x14ac:dyDescent="0.3">
      <c r="A257" s="14">
        <v>40.344710679143702</v>
      </c>
      <c r="B257" s="38">
        <v>508</v>
      </c>
    </row>
    <row r="258" spans="1:2" x14ac:dyDescent="0.3">
      <c r="A258" s="14">
        <v>40.3444317614738</v>
      </c>
      <c r="B258" s="38">
        <v>940</v>
      </c>
    </row>
    <row r="259" spans="1:2" x14ac:dyDescent="0.3">
      <c r="A259" s="14">
        <v>40.344208125854358</v>
      </c>
      <c r="B259" s="38">
        <v>1235</v>
      </c>
    </row>
    <row r="260" spans="1:2" x14ac:dyDescent="0.3">
      <c r="A260" s="14">
        <v>40.342158892871232</v>
      </c>
      <c r="B260" s="38">
        <v>1917</v>
      </c>
    </row>
    <row r="261" spans="1:2" x14ac:dyDescent="0.3">
      <c r="A261" s="14">
        <v>40.33878384269331</v>
      </c>
      <c r="B261" s="38">
        <v>1010</v>
      </c>
    </row>
    <row r="262" spans="1:2" x14ac:dyDescent="0.3">
      <c r="A262" s="14">
        <v>40.338723228538633</v>
      </c>
      <c r="B262" s="38">
        <v>2482</v>
      </c>
    </row>
    <row r="263" spans="1:2" x14ac:dyDescent="0.3">
      <c r="A263" s="14">
        <v>40.338411734263062</v>
      </c>
      <c r="B263" s="38">
        <v>1955</v>
      </c>
    </row>
    <row r="264" spans="1:2" x14ac:dyDescent="0.3">
      <c r="A264" s="14">
        <v>40.337069850193743</v>
      </c>
      <c r="B264" s="38">
        <v>1291</v>
      </c>
    </row>
    <row r="265" spans="1:2" x14ac:dyDescent="0.3">
      <c r="A265" s="14">
        <v>40.334583855161384</v>
      </c>
      <c r="B265" s="38">
        <v>3657</v>
      </c>
    </row>
    <row r="266" spans="1:2" x14ac:dyDescent="0.3">
      <c r="A266" s="14">
        <v>40.328569432981091</v>
      </c>
      <c r="B266" s="38">
        <v>1263</v>
      </c>
    </row>
    <row r="267" spans="1:2" x14ac:dyDescent="0.3">
      <c r="A267" s="14">
        <v>40.327367548449544</v>
      </c>
      <c r="B267" s="38">
        <v>3540</v>
      </c>
    </row>
    <row r="268" spans="1:2" x14ac:dyDescent="0.3">
      <c r="A268" s="14">
        <v>40.327122832734496</v>
      </c>
      <c r="B268" s="38">
        <v>2150</v>
      </c>
    </row>
    <row r="269" spans="1:2" x14ac:dyDescent="0.3">
      <c r="A269" s="14">
        <v>40.325764196329757</v>
      </c>
      <c r="B269" s="38">
        <v>2176</v>
      </c>
    </row>
    <row r="270" spans="1:2" x14ac:dyDescent="0.3">
      <c r="A270" s="14">
        <v>40.323423703856513</v>
      </c>
      <c r="B270" s="38">
        <v>1211</v>
      </c>
    </row>
    <row r="271" spans="1:2" x14ac:dyDescent="0.3">
      <c r="A271" s="14">
        <v>40.321256309212309</v>
      </c>
      <c r="B271" s="38">
        <v>1797</v>
      </c>
    </row>
    <row r="272" spans="1:2" x14ac:dyDescent="0.3">
      <c r="A272" s="14">
        <v>40.321211462975555</v>
      </c>
      <c r="B272" s="38">
        <v>2283</v>
      </c>
    </row>
    <row r="273" spans="1:2" x14ac:dyDescent="0.3">
      <c r="A273" s="14">
        <v>40.317283161939613</v>
      </c>
      <c r="B273" s="38">
        <v>1155</v>
      </c>
    </row>
    <row r="274" spans="1:2" x14ac:dyDescent="0.3">
      <c r="A274" s="14">
        <v>40.315863767766686</v>
      </c>
      <c r="B274" s="38">
        <v>1462</v>
      </c>
    </row>
    <row r="275" spans="1:2" x14ac:dyDescent="0.3">
      <c r="A275" s="14">
        <v>40.314389492336716</v>
      </c>
      <c r="B275" s="38">
        <v>1733</v>
      </c>
    </row>
    <row r="276" spans="1:2" x14ac:dyDescent="0.3">
      <c r="A276" s="14">
        <v>40.313597957921438</v>
      </c>
      <c r="B276" s="38">
        <v>1039</v>
      </c>
    </row>
    <row r="277" spans="1:2" x14ac:dyDescent="0.3">
      <c r="A277" s="14">
        <v>40.309437779270127</v>
      </c>
      <c r="B277" s="38">
        <v>2338</v>
      </c>
    </row>
    <row r="278" spans="1:2" x14ac:dyDescent="0.3">
      <c r="A278" s="14">
        <v>40.30913096778611</v>
      </c>
      <c r="B278" s="38">
        <v>2397</v>
      </c>
    </row>
    <row r="279" spans="1:2" x14ac:dyDescent="0.3">
      <c r="A279" s="14">
        <v>40.308235297674827</v>
      </c>
      <c r="B279" s="38">
        <v>1671</v>
      </c>
    </row>
    <row r="280" spans="1:2" x14ac:dyDescent="0.3">
      <c r="A280" s="14">
        <v>40.305730884676606</v>
      </c>
      <c r="B280" s="38">
        <v>896</v>
      </c>
    </row>
    <row r="281" spans="1:2" x14ac:dyDescent="0.3">
      <c r="A281" s="14">
        <v>40.304815612858263</v>
      </c>
      <c r="B281" s="38">
        <v>1284</v>
      </c>
    </row>
    <row r="282" spans="1:2" x14ac:dyDescent="0.3">
      <c r="A282" s="14">
        <v>40.297650671112756</v>
      </c>
      <c r="B282" s="38">
        <v>755</v>
      </c>
    </row>
    <row r="283" spans="1:2" x14ac:dyDescent="0.3">
      <c r="A283" s="14">
        <v>40.202208839634686</v>
      </c>
      <c r="B283" s="38">
        <v>1368</v>
      </c>
    </row>
    <row r="284" spans="1:2" x14ac:dyDescent="0.3">
      <c r="A284" s="14">
        <v>40.129130767500207</v>
      </c>
      <c r="B284" s="38">
        <v>1784</v>
      </c>
    </row>
    <row r="285" spans="1:2" x14ac:dyDescent="0.3">
      <c r="A285" s="14">
        <v>39.995543270990922</v>
      </c>
      <c r="B285" s="38">
        <v>2048</v>
      </c>
    </row>
    <row r="286" spans="1:2" x14ac:dyDescent="0.3">
      <c r="A286" s="14">
        <v>39.938942024880845</v>
      </c>
      <c r="B286" s="38">
        <v>3765</v>
      </c>
    </row>
    <row r="287" spans="1:2" x14ac:dyDescent="0.3">
      <c r="A287" s="14">
        <v>39.936854026504029</v>
      </c>
      <c r="B287" s="38">
        <v>2114</v>
      </c>
    </row>
    <row r="288" spans="1:2" x14ac:dyDescent="0.3">
      <c r="A288" s="14">
        <v>39.839026363282315</v>
      </c>
      <c r="B288" s="38">
        <v>6588</v>
      </c>
    </row>
    <row r="289" spans="1:2" x14ac:dyDescent="0.3">
      <c r="A289" s="14">
        <v>39.808889621296132</v>
      </c>
      <c r="B289" s="38">
        <v>1466</v>
      </c>
    </row>
    <row r="290" spans="1:2" x14ac:dyDescent="0.3">
      <c r="A290" s="14">
        <v>39.70984453914852</v>
      </c>
      <c r="B290" s="38">
        <v>4103</v>
      </c>
    </row>
    <row r="291" spans="1:2" x14ac:dyDescent="0.3">
      <c r="A291" s="14">
        <v>39.604501819534462</v>
      </c>
      <c r="B291" s="38">
        <v>3595</v>
      </c>
    </row>
    <row r="292" spans="1:2" x14ac:dyDescent="0.3">
      <c r="A292" s="14">
        <v>39.595435670952433</v>
      </c>
      <c r="B292" s="38">
        <v>2162</v>
      </c>
    </row>
    <row r="293" spans="1:2" x14ac:dyDescent="0.3">
      <c r="A293" s="14">
        <v>39.522541986733501</v>
      </c>
      <c r="B293" s="38">
        <v>4095</v>
      </c>
    </row>
    <row r="294" spans="1:2" x14ac:dyDescent="0.3">
      <c r="A294" s="14">
        <v>39.440249161851767</v>
      </c>
      <c r="B294" s="38">
        <v>1361</v>
      </c>
    </row>
    <row r="295" spans="1:2" x14ac:dyDescent="0.3">
      <c r="A295" s="14">
        <v>39.437967003813419</v>
      </c>
      <c r="B295" s="38">
        <v>1622</v>
      </c>
    </row>
    <row r="296" spans="1:2" x14ac:dyDescent="0.3">
      <c r="A296" s="14">
        <v>39.43534333163575</v>
      </c>
      <c r="B296" s="38">
        <v>1070</v>
      </c>
    </row>
    <row r="297" spans="1:2" x14ac:dyDescent="0.3">
      <c r="A297" s="14">
        <v>39.433920215508003</v>
      </c>
      <c r="B297" s="38">
        <v>2810</v>
      </c>
    </row>
    <row r="298" spans="1:2" x14ac:dyDescent="0.3">
      <c r="A298" s="14">
        <v>39.432613458245449</v>
      </c>
      <c r="B298" s="38">
        <v>1399</v>
      </c>
    </row>
    <row r="299" spans="1:2" x14ac:dyDescent="0.3">
      <c r="A299" s="14">
        <v>39.43228741901811</v>
      </c>
      <c r="B299" s="38">
        <v>1456</v>
      </c>
    </row>
    <row r="300" spans="1:2" x14ac:dyDescent="0.3">
      <c r="A300" s="14">
        <v>39.432009084781335</v>
      </c>
      <c r="B300" s="38">
        <v>3037</v>
      </c>
    </row>
    <row r="301" spans="1:2" x14ac:dyDescent="0.3">
      <c r="A301" s="14">
        <v>39.431346401735958</v>
      </c>
      <c r="B301" s="38">
        <v>3195</v>
      </c>
    </row>
    <row r="302" spans="1:2" x14ac:dyDescent="0.3">
      <c r="A302" s="14">
        <v>39.431060937677053</v>
      </c>
      <c r="B302" s="38">
        <v>1018</v>
      </c>
    </row>
    <row r="303" spans="1:2" x14ac:dyDescent="0.3">
      <c r="A303" s="14">
        <v>39.425272688695038</v>
      </c>
      <c r="B303" s="38">
        <v>1517</v>
      </c>
    </row>
    <row r="304" spans="1:2" x14ac:dyDescent="0.3">
      <c r="A304" s="14">
        <v>39.424302053756861</v>
      </c>
      <c r="B304" s="38">
        <v>1512</v>
      </c>
    </row>
    <row r="305" spans="1:2" x14ac:dyDescent="0.3">
      <c r="A305" s="14">
        <v>39.424110093748098</v>
      </c>
      <c r="B305" s="38">
        <v>1182</v>
      </c>
    </row>
    <row r="306" spans="1:2" x14ac:dyDescent="0.3">
      <c r="A306" s="14">
        <v>39.423311421524886</v>
      </c>
      <c r="B306" s="38">
        <v>3211</v>
      </c>
    </row>
    <row r="307" spans="1:2" x14ac:dyDescent="0.3">
      <c r="A307" s="14">
        <v>39.422768988901595</v>
      </c>
      <c r="B307" s="38">
        <v>2829</v>
      </c>
    </row>
    <row r="308" spans="1:2" x14ac:dyDescent="0.3">
      <c r="A308" s="14">
        <v>39.419206101437112</v>
      </c>
      <c r="B308" s="38">
        <v>1465</v>
      </c>
    </row>
    <row r="309" spans="1:2" x14ac:dyDescent="0.3">
      <c r="A309" s="14">
        <v>39.41842112409018</v>
      </c>
      <c r="B309" s="38">
        <v>1357</v>
      </c>
    </row>
    <row r="310" spans="1:2" x14ac:dyDescent="0.3">
      <c r="A310" s="14">
        <v>39.415895450089181</v>
      </c>
      <c r="B310" s="38">
        <v>1124</v>
      </c>
    </row>
    <row r="311" spans="1:2" x14ac:dyDescent="0.3">
      <c r="A311" s="14">
        <v>39.415199889432955</v>
      </c>
      <c r="B311" s="38">
        <v>1419</v>
      </c>
    </row>
    <row r="312" spans="1:2" x14ac:dyDescent="0.3">
      <c r="A312" s="14">
        <v>39.413946084306701</v>
      </c>
      <c r="B312" s="38">
        <v>1067</v>
      </c>
    </row>
    <row r="313" spans="1:2" x14ac:dyDescent="0.3">
      <c r="A313" s="14">
        <v>39.407451466627847</v>
      </c>
      <c r="B313" s="38">
        <v>1797</v>
      </c>
    </row>
    <row r="314" spans="1:2" x14ac:dyDescent="0.3">
      <c r="A314" s="14">
        <v>39.398444559765444</v>
      </c>
      <c r="B314" s="38">
        <v>2519</v>
      </c>
    </row>
    <row r="315" spans="1:2" x14ac:dyDescent="0.3">
      <c r="A315" s="14">
        <v>39.39191288579886</v>
      </c>
      <c r="B315" s="38">
        <v>1847</v>
      </c>
    </row>
    <row r="316" spans="1:2" x14ac:dyDescent="0.3">
      <c r="A316" s="14">
        <v>39.390428811410352</v>
      </c>
      <c r="B316" s="38">
        <v>1882</v>
      </c>
    </row>
    <row r="317" spans="1:2" x14ac:dyDescent="0.3">
      <c r="A317" s="14">
        <v>39.367245634398742</v>
      </c>
      <c r="B317" s="38">
        <v>2155</v>
      </c>
    </row>
    <row r="318" spans="1:2" x14ac:dyDescent="0.3">
      <c r="A318" s="14">
        <v>39.353668043998923</v>
      </c>
      <c r="B318" s="38">
        <v>3345</v>
      </c>
    </row>
    <row r="319" spans="1:2" x14ac:dyDescent="0.3">
      <c r="A319" s="14">
        <v>39.336230436167931</v>
      </c>
      <c r="B319" s="38">
        <v>1610</v>
      </c>
    </row>
    <row r="320" spans="1:2" x14ac:dyDescent="0.3">
      <c r="A320" s="14">
        <v>39.291223333393049</v>
      </c>
      <c r="B320" s="38">
        <v>1232</v>
      </c>
    </row>
    <row r="321" spans="1:2" x14ac:dyDescent="0.3">
      <c r="A321" s="14">
        <v>39.247692952156036</v>
      </c>
      <c r="B321" s="38">
        <v>1329</v>
      </c>
    </row>
    <row r="322" spans="1:2" x14ac:dyDescent="0.3">
      <c r="A322" s="14">
        <v>39.232953514996339</v>
      </c>
      <c r="B322" s="38">
        <v>1300</v>
      </c>
    </row>
    <row r="323" spans="1:2" x14ac:dyDescent="0.3">
      <c r="A323" s="14">
        <v>39.205071578653687</v>
      </c>
      <c r="B323" s="38">
        <v>1307</v>
      </c>
    </row>
    <row r="324" spans="1:2" x14ac:dyDescent="0.3">
      <c r="A324" s="14">
        <v>39.183629663048904</v>
      </c>
      <c r="B324" s="38">
        <v>2050</v>
      </c>
    </row>
    <row r="325" spans="1:2" x14ac:dyDescent="0.3">
      <c r="A325" s="14">
        <v>39.179489015989297</v>
      </c>
      <c r="B325" s="38">
        <v>829</v>
      </c>
    </row>
    <row r="326" spans="1:2" x14ac:dyDescent="0.3">
      <c r="A326" s="14">
        <v>39.17545405404654</v>
      </c>
      <c r="B326" s="38">
        <v>1982</v>
      </c>
    </row>
    <row r="327" spans="1:2" x14ac:dyDescent="0.3">
      <c r="A327" s="14">
        <v>39.17047718358706</v>
      </c>
      <c r="B327" s="38">
        <v>2194</v>
      </c>
    </row>
    <row r="328" spans="1:2" x14ac:dyDescent="0.3">
      <c r="A328" s="14">
        <v>39.146345533625158</v>
      </c>
      <c r="B328" s="38">
        <v>760</v>
      </c>
    </row>
    <row r="329" spans="1:2" x14ac:dyDescent="0.3">
      <c r="A329" s="14">
        <v>39.146339950245483</v>
      </c>
      <c r="B329" s="38">
        <v>1467</v>
      </c>
    </row>
    <row r="330" spans="1:2" x14ac:dyDescent="0.3">
      <c r="A330" s="14">
        <v>39.130750062926694</v>
      </c>
      <c r="B330" s="38">
        <v>1787</v>
      </c>
    </row>
    <row r="331" spans="1:2" x14ac:dyDescent="0.3">
      <c r="A331" s="14">
        <v>39.123446406842035</v>
      </c>
      <c r="B331" s="38">
        <v>2074</v>
      </c>
    </row>
    <row r="332" spans="1:2" x14ac:dyDescent="0.3">
      <c r="A332" s="14">
        <v>39.11658727033366</v>
      </c>
      <c r="B332" s="38">
        <v>3889</v>
      </c>
    </row>
    <row r="333" spans="1:2" x14ac:dyDescent="0.3">
      <c r="A333" s="14">
        <v>39.106562716089975</v>
      </c>
      <c r="B333" s="38">
        <v>3452</v>
      </c>
    </row>
    <row r="334" spans="1:2" x14ac:dyDescent="0.3">
      <c r="A334" s="14">
        <v>39.069400768567661</v>
      </c>
      <c r="B334" s="38">
        <v>1766</v>
      </c>
    </row>
    <row r="335" spans="1:2" x14ac:dyDescent="0.3">
      <c r="A335" s="14">
        <v>39.061777708771523</v>
      </c>
      <c r="B335" s="38">
        <v>1469</v>
      </c>
    </row>
    <row r="336" spans="1:2" x14ac:dyDescent="0.3">
      <c r="A336" s="14">
        <v>39.061728274534438</v>
      </c>
      <c r="B336" s="38">
        <v>773</v>
      </c>
    </row>
    <row r="337" spans="1:2" x14ac:dyDescent="0.3">
      <c r="A337" s="14">
        <v>39.040894026744908</v>
      </c>
      <c r="B337" s="38">
        <v>2258</v>
      </c>
    </row>
    <row r="338" spans="1:2" x14ac:dyDescent="0.3">
      <c r="A338" s="14">
        <v>39.033982585490243</v>
      </c>
      <c r="B338" s="38">
        <v>1755</v>
      </c>
    </row>
    <row r="339" spans="1:2" x14ac:dyDescent="0.3">
      <c r="A339" s="14">
        <v>38.988648050021737</v>
      </c>
      <c r="B339" s="38">
        <v>1846</v>
      </c>
    </row>
    <row r="340" spans="1:2" x14ac:dyDescent="0.3">
      <c r="A340" s="14">
        <v>38.96595734867163</v>
      </c>
      <c r="B340" s="38">
        <v>3088</v>
      </c>
    </row>
    <row r="341" spans="1:2" x14ac:dyDescent="0.3">
      <c r="A341" s="14">
        <v>38.964864135080191</v>
      </c>
      <c r="B341" s="38">
        <v>3322</v>
      </c>
    </row>
    <row r="342" spans="1:2" x14ac:dyDescent="0.3">
      <c r="A342" s="14">
        <v>38.922076004727387</v>
      </c>
      <c r="B342" s="38">
        <v>3388</v>
      </c>
    </row>
    <row r="343" spans="1:2" x14ac:dyDescent="0.3">
      <c r="A343" s="14">
        <v>38.919134626081899</v>
      </c>
      <c r="B343" s="38">
        <v>4453</v>
      </c>
    </row>
    <row r="344" spans="1:2" x14ac:dyDescent="0.3">
      <c r="A344" s="14">
        <v>38.902310939244352</v>
      </c>
      <c r="B344" s="38">
        <v>1528</v>
      </c>
    </row>
    <row r="345" spans="1:2" x14ac:dyDescent="0.3">
      <c r="A345" s="14">
        <v>38.892680220692398</v>
      </c>
      <c r="B345" s="38">
        <v>1849</v>
      </c>
    </row>
    <row r="346" spans="1:2" x14ac:dyDescent="0.3">
      <c r="A346" s="14">
        <v>38.839507583652512</v>
      </c>
      <c r="B346" s="38">
        <v>1944</v>
      </c>
    </row>
    <row r="347" spans="1:2" x14ac:dyDescent="0.3">
      <c r="A347" s="14">
        <v>38.837674182542855</v>
      </c>
      <c r="B347" s="38">
        <v>1467</v>
      </c>
    </row>
    <row r="348" spans="1:2" x14ac:dyDescent="0.3">
      <c r="A348" s="14">
        <v>38.832595475563807</v>
      </c>
      <c r="B348" s="38">
        <v>1810</v>
      </c>
    </row>
    <row r="349" spans="1:2" x14ac:dyDescent="0.3">
      <c r="A349" s="14">
        <v>38.828765320764298</v>
      </c>
      <c r="B349" s="38">
        <v>3070</v>
      </c>
    </row>
    <row r="350" spans="1:2" x14ac:dyDescent="0.3">
      <c r="A350" s="14">
        <v>38.827392170130103</v>
      </c>
      <c r="B350" s="38">
        <v>1078</v>
      </c>
    </row>
    <row r="351" spans="1:2" x14ac:dyDescent="0.3">
      <c r="A351" s="14">
        <v>38.808775196986339</v>
      </c>
      <c r="B351" s="38">
        <v>3572</v>
      </c>
    </row>
    <row r="352" spans="1:2" x14ac:dyDescent="0.3">
      <c r="A352" s="14">
        <v>38.795882979168347</v>
      </c>
      <c r="B352" s="38">
        <v>1142</v>
      </c>
    </row>
    <row r="353" spans="1:2" x14ac:dyDescent="0.3">
      <c r="A353" s="14">
        <v>38.779711348052544</v>
      </c>
      <c r="B353" s="38">
        <v>3665</v>
      </c>
    </row>
    <row r="354" spans="1:2" x14ac:dyDescent="0.3">
      <c r="A354" s="14">
        <v>38.779040318894438</v>
      </c>
      <c r="B354" s="38">
        <v>3740</v>
      </c>
    </row>
    <row r="355" spans="1:2" x14ac:dyDescent="0.3">
      <c r="A355" s="14">
        <v>38.762711831570876</v>
      </c>
      <c r="B355" s="38">
        <v>1961</v>
      </c>
    </row>
    <row r="356" spans="1:2" x14ac:dyDescent="0.3">
      <c r="A356" s="14">
        <v>38.753512865603327</v>
      </c>
      <c r="B356" s="38">
        <v>6191</v>
      </c>
    </row>
    <row r="357" spans="1:2" x14ac:dyDescent="0.3">
      <c r="A357" s="14">
        <v>38.749190222946865</v>
      </c>
      <c r="B357" s="38">
        <v>1948</v>
      </c>
    </row>
    <row r="358" spans="1:2" x14ac:dyDescent="0.3">
      <c r="A358" s="14">
        <v>38.74587260871521</v>
      </c>
      <c r="B358" s="38">
        <v>2109</v>
      </c>
    </row>
    <row r="359" spans="1:2" x14ac:dyDescent="0.3">
      <c r="A359" s="14">
        <v>38.744962627111988</v>
      </c>
      <c r="B359" s="38">
        <v>1423</v>
      </c>
    </row>
    <row r="360" spans="1:2" x14ac:dyDescent="0.3">
      <c r="A360" s="14">
        <v>38.734550115022358</v>
      </c>
      <c r="B360" s="38">
        <v>2242</v>
      </c>
    </row>
    <row r="361" spans="1:2" x14ac:dyDescent="0.3">
      <c r="A361" s="14">
        <v>38.700987931111356</v>
      </c>
      <c r="B361" s="38">
        <v>2007</v>
      </c>
    </row>
    <row r="362" spans="1:2" x14ac:dyDescent="0.3">
      <c r="A362" s="14">
        <v>38.697260035743163</v>
      </c>
      <c r="B362" s="38">
        <v>5014</v>
      </c>
    </row>
    <row r="363" spans="1:2" x14ac:dyDescent="0.3">
      <c r="A363" s="14">
        <v>38.692011605742486</v>
      </c>
      <c r="B363" s="38">
        <v>1381</v>
      </c>
    </row>
    <row r="364" spans="1:2" x14ac:dyDescent="0.3">
      <c r="A364" s="14">
        <v>38.688903236466729</v>
      </c>
      <c r="B364" s="38">
        <v>5179</v>
      </c>
    </row>
    <row r="365" spans="1:2" x14ac:dyDescent="0.3">
      <c r="A365" s="14">
        <v>38.686040635817115</v>
      </c>
      <c r="B365" s="38">
        <v>1922</v>
      </c>
    </row>
    <row r="366" spans="1:2" x14ac:dyDescent="0.3">
      <c r="A366" s="14">
        <v>38.670683858696933</v>
      </c>
      <c r="B366" s="38">
        <v>8283</v>
      </c>
    </row>
    <row r="367" spans="1:2" x14ac:dyDescent="0.3">
      <c r="A367" s="14">
        <v>38.654535470760095</v>
      </c>
      <c r="B367" s="38">
        <v>1474</v>
      </c>
    </row>
    <row r="368" spans="1:2" x14ac:dyDescent="0.3">
      <c r="A368" s="14">
        <v>38.64001444879883</v>
      </c>
      <c r="B368" s="38">
        <v>8892</v>
      </c>
    </row>
    <row r="369" spans="1:2" x14ac:dyDescent="0.3">
      <c r="A369" s="14">
        <v>38.637941674293671</v>
      </c>
      <c r="B369" s="38">
        <v>5150</v>
      </c>
    </row>
    <row r="370" spans="1:2" x14ac:dyDescent="0.3">
      <c r="A370" s="14">
        <v>38.62591131777306</v>
      </c>
      <c r="B370" s="38">
        <v>12937</v>
      </c>
    </row>
    <row r="371" spans="1:2" x14ac:dyDescent="0.3">
      <c r="A371" s="14">
        <v>38.61651669714535</v>
      </c>
      <c r="B371" s="38">
        <v>6721</v>
      </c>
    </row>
    <row r="372" spans="1:2" x14ac:dyDescent="0.3">
      <c r="A372" s="14">
        <v>38.613729414503581</v>
      </c>
      <c r="B372" s="38">
        <v>1812</v>
      </c>
    </row>
    <row r="373" spans="1:2" x14ac:dyDescent="0.3">
      <c r="A373" s="14">
        <v>38.609783000603443</v>
      </c>
      <c r="B373" s="38">
        <v>2905</v>
      </c>
    </row>
    <row r="374" spans="1:2" x14ac:dyDescent="0.3">
      <c r="A374" s="14">
        <v>38.606276171359887</v>
      </c>
      <c r="B374" s="38">
        <v>4936</v>
      </c>
    </row>
    <row r="375" spans="1:2" x14ac:dyDescent="0.3">
      <c r="A375" s="14">
        <v>38.602330465222131</v>
      </c>
      <c r="B375" s="38">
        <v>9986</v>
      </c>
    </row>
    <row r="376" spans="1:2" x14ac:dyDescent="0.3">
      <c r="A376" s="14">
        <v>38.6019452755678</v>
      </c>
      <c r="B376" s="38">
        <v>7023</v>
      </c>
    </row>
    <row r="377" spans="1:2" x14ac:dyDescent="0.3">
      <c r="A377" s="14">
        <v>38.597771740883573</v>
      </c>
      <c r="B377" s="38">
        <v>3439</v>
      </c>
    </row>
    <row r="378" spans="1:2" x14ac:dyDescent="0.3">
      <c r="A378" s="14">
        <v>38.597115086780676</v>
      </c>
      <c r="B378" s="38">
        <v>2712</v>
      </c>
    </row>
    <row r="379" spans="1:2" x14ac:dyDescent="0.3">
      <c r="A379" s="14">
        <v>38.592741977680575</v>
      </c>
      <c r="B379" s="38">
        <v>5607</v>
      </c>
    </row>
    <row r="380" spans="1:2" x14ac:dyDescent="0.3">
      <c r="A380" s="14">
        <v>38.583249452216492</v>
      </c>
      <c r="B380" s="38">
        <v>4705</v>
      </c>
    </row>
    <row r="381" spans="1:2" x14ac:dyDescent="0.3">
      <c r="A381" s="14">
        <v>38.583156225415792</v>
      </c>
      <c r="B381" s="38">
        <v>6371</v>
      </c>
    </row>
    <row r="382" spans="1:2" x14ac:dyDescent="0.3">
      <c r="A382" s="14">
        <v>38.580192906044267</v>
      </c>
      <c r="B382" s="38">
        <v>4624</v>
      </c>
    </row>
    <row r="383" spans="1:2" x14ac:dyDescent="0.3">
      <c r="A383" s="14">
        <v>38.573046493313797</v>
      </c>
      <c r="B383" s="38">
        <v>9464</v>
      </c>
    </row>
    <row r="384" spans="1:2" x14ac:dyDescent="0.3">
      <c r="A384" s="14">
        <v>38.566920172109974</v>
      </c>
      <c r="B384" s="38">
        <v>3259</v>
      </c>
    </row>
    <row r="385" spans="1:2" x14ac:dyDescent="0.3">
      <c r="A385" s="14">
        <v>38.560954377625983</v>
      </c>
      <c r="B385" s="38">
        <v>3364</v>
      </c>
    </row>
    <row r="386" spans="1:2" x14ac:dyDescent="0.3">
      <c r="A386" s="14">
        <v>38.559319832825786</v>
      </c>
      <c r="B386" s="38">
        <v>5717</v>
      </c>
    </row>
    <row r="387" spans="1:2" x14ac:dyDescent="0.3">
      <c r="A387" s="14">
        <v>38.541765489673558</v>
      </c>
      <c r="B387" s="38">
        <v>4308</v>
      </c>
    </row>
    <row r="388" spans="1:2" x14ac:dyDescent="0.3">
      <c r="A388" s="14">
        <v>38.528072020739614</v>
      </c>
      <c r="B388" s="38">
        <v>3865</v>
      </c>
    </row>
    <row r="389" spans="1:2" x14ac:dyDescent="0.3">
      <c r="A389" s="14">
        <v>38.523485427041813</v>
      </c>
      <c r="B389" s="38">
        <v>1734</v>
      </c>
    </row>
    <row r="390" spans="1:2" x14ac:dyDescent="0.3">
      <c r="A390" s="14">
        <v>38.507453005297741</v>
      </c>
      <c r="B390" s="38">
        <v>1563</v>
      </c>
    </row>
    <row r="391" spans="1:2" x14ac:dyDescent="0.3">
      <c r="A391" s="14">
        <v>38.500892827076839</v>
      </c>
      <c r="B391" s="38">
        <v>5609</v>
      </c>
    </row>
    <row r="392" spans="1:2" x14ac:dyDescent="0.3">
      <c r="A392" s="14">
        <v>38.499155803732691</v>
      </c>
      <c r="B392" s="38">
        <v>643</v>
      </c>
    </row>
    <row r="393" spans="1:2" x14ac:dyDescent="0.3">
      <c r="A393" s="14">
        <v>38.467190720414109</v>
      </c>
      <c r="B393" s="38">
        <v>604</v>
      </c>
    </row>
    <row r="394" spans="1:2" x14ac:dyDescent="0.3">
      <c r="A394" s="14">
        <v>38.462407367887309</v>
      </c>
      <c r="B394" s="38">
        <v>4451</v>
      </c>
    </row>
    <row r="395" spans="1:2" x14ac:dyDescent="0.3">
      <c r="A395" s="14">
        <v>38.44798102142591</v>
      </c>
      <c r="B395" s="38">
        <v>7341</v>
      </c>
    </row>
    <row r="396" spans="1:2" x14ac:dyDescent="0.3">
      <c r="A396" s="14">
        <v>38.44773329059791</v>
      </c>
      <c r="B396" s="38">
        <v>7259</v>
      </c>
    </row>
    <row r="397" spans="1:2" x14ac:dyDescent="0.3">
      <c r="A397" s="14">
        <v>38.418100314414481</v>
      </c>
      <c r="B397" s="38">
        <v>7141</v>
      </c>
    </row>
    <row r="398" spans="1:2" x14ac:dyDescent="0.3">
      <c r="A398" s="14">
        <v>38.381796676058975</v>
      </c>
      <c r="B398" s="38">
        <v>1577</v>
      </c>
    </row>
    <row r="399" spans="1:2" x14ac:dyDescent="0.3">
      <c r="A399" s="14">
        <v>38.320403222281669</v>
      </c>
      <c r="B399" s="38">
        <v>4632</v>
      </c>
    </row>
    <row r="400" spans="1:2" x14ac:dyDescent="0.3">
      <c r="A400" s="14">
        <v>38.319278256373465</v>
      </c>
      <c r="B400" s="38">
        <v>4719</v>
      </c>
    </row>
    <row r="401" spans="1:2" x14ac:dyDescent="0.3">
      <c r="A401" s="14">
        <v>38.280863274259787</v>
      </c>
      <c r="B401" s="38">
        <v>4541</v>
      </c>
    </row>
    <row r="402" spans="1:2" x14ac:dyDescent="0.3">
      <c r="A402" s="14">
        <v>38.267614012834947</v>
      </c>
      <c r="B402" s="38">
        <v>5288</v>
      </c>
    </row>
    <row r="403" spans="1:2" x14ac:dyDescent="0.3">
      <c r="A403" s="14">
        <v>38.258855342956103</v>
      </c>
      <c r="B403" s="38">
        <v>9654</v>
      </c>
    </row>
    <row r="404" spans="1:2" x14ac:dyDescent="0.3">
      <c r="A404" s="14">
        <v>38.244427034941261</v>
      </c>
      <c r="B404" s="38">
        <v>4935</v>
      </c>
    </row>
    <row r="405" spans="1:2" x14ac:dyDescent="0.3">
      <c r="A405" s="14">
        <v>38.239849378153444</v>
      </c>
      <c r="B405" s="38">
        <v>8268</v>
      </c>
    </row>
    <row r="406" spans="1:2" x14ac:dyDescent="0.3">
      <c r="A406" s="14">
        <v>38.230948668522181</v>
      </c>
      <c r="B406" s="38">
        <v>2006</v>
      </c>
    </row>
    <row r="407" spans="1:2" x14ac:dyDescent="0.3">
      <c r="A407" s="14">
        <v>38.22946872679325</v>
      </c>
      <c r="B407" s="38">
        <v>3068</v>
      </c>
    </row>
    <row r="408" spans="1:2" x14ac:dyDescent="0.3">
      <c r="A408" s="14">
        <v>38.191891813575545</v>
      </c>
      <c r="B408" s="38">
        <v>4270</v>
      </c>
    </row>
    <row r="409" spans="1:2" x14ac:dyDescent="0.3">
      <c r="A409" s="14">
        <v>38.188723120044003</v>
      </c>
      <c r="B409" s="38">
        <v>2677</v>
      </c>
    </row>
    <row r="410" spans="1:2" x14ac:dyDescent="0.3">
      <c r="A410" s="14">
        <v>38.181618559243546</v>
      </c>
      <c r="B410" s="38">
        <v>2247</v>
      </c>
    </row>
    <row r="411" spans="1:2" x14ac:dyDescent="0.3">
      <c r="A411" s="14">
        <v>38.171392614086464</v>
      </c>
      <c r="B411" s="38">
        <v>1171</v>
      </c>
    </row>
    <row r="412" spans="1:2" x14ac:dyDescent="0.3">
      <c r="A412" s="14">
        <v>38.153321377917628</v>
      </c>
      <c r="B412" s="38">
        <v>4157</v>
      </c>
    </row>
    <row r="413" spans="1:2" x14ac:dyDescent="0.3">
      <c r="A413" s="14">
        <v>38.140967551762749</v>
      </c>
      <c r="B413" s="38">
        <v>922</v>
      </c>
    </row>
    <row r="414" spans="1:2" x14ac:dyDescent="0.3">
      <c r="A414" s="14">
        <v>38.128897642444684</v>
      </c>
      <c r="B414" s="38">
        <v>1035</v>
      </c>
    </row>
    <row r="415" spans="1:2" x14ac:dyDescent="0.3">
      <c r="A415" s="14">
        <v>38.103002635106726</v>
      </c>
      <c r="B415" s="38">
        <v>1690</v>
      </c>
    </row>
    <row r="416" spans="1:2" x14ac:dyDescent="0.3">
      <c r="A416" s="14">
        <v>38.07934673300133</v>
      </c>
      <c r="B416" s="38">
        <v>1866</v>
      </c>
    </row>
    <row r="417" spans="1:2" x14ac:dyDescent="0.3">
      <c r="A417" s="14">
        <v>37.916677340243325</v>
      </c>
      <c r="B417" s="38">
        <v>3638</v>
      </c>
    </row>
    <row r="418" spans="1:2" x14ac:dyDescent="0.3">
      <c r="A418" s="14">
        <v>37.897309192394708</v>
      </c>
      <c r="B418" s="38">
        <v>2405</v>
      </c>
    </row>
    <row r="419" spans="1:2" x14ac:dyDescent="0.3">
      <c r="A419" s="14">
        <v>37.837203004887606</v>
      </c>
      <c r="B419" s="38">
        <v>4146</v>
      </c>
    </row>
    <row r="420" spans="1:2" x14ac:dyDescent="0.3">
      <c r="A420" s="14">
        <v>37.837178315921484</v>
      </c>
      <c r="B420" s="38">
        <v>3858</v>
      </c>
    </row>
    <row r="421" spans="1:2" x14ac:dyDescent="0.3">
      <c r="A421" s="14">
        <v>37.82466508110857</v>
      </c>
      <c r="B421" s="38">
        <v>8364</v>
      </c>
    </row>
    <row r="422" spans="1:2" x14ac:dyDescent="0.3">
      <c r="A422" s="14">
        <v>37.820093975663397</v>
      </c>
      <c r="B422" s="38">
        <v>8450</v>
      </c>
    </row>
    <row r="423" spans="1:2" x14ac:dyDescent="0.3">
      <c r="A423" s="14">
        <v>37.818908468728424</v>
      </c>
      <c r="B423" s="38">
        <v>4394</v>
      </c>
    </row>
    <row r="424" spans="1:2" x14ac:dyDescent="0.3">
      <c r="A424" s="14">
        <v>37.815203551576069</v>
      </c>
      <c r="B424" s="38">
        <v>4601</v>
      </c>
    </row>
    <row r="425" spans="1:2" x14ac:dyDescent="0.3">
      <c r="A425" s="14">
        <v>37.802975884335261</v>
      </c>
      <c r="B425" s="38">
        <v>13144</v>
      </c>
    </row>
    <row r="426" spans="1:2" x14ac:dyDescent="0.3">
      <c r="A426" s="14">
        <v>37.793834053904781</v>
      </c>
      <c r="B426" s="38">
        <v>9770</v>
      </c>
    </row>
    <row r="427" spans="1:2" x14ac:dyDescent="0.3">
      <c r="A427" s="14">
        <v>37.790803199668893</v>
      </c>
      <c r="B427" s="38">
        <v>13503</v>
      </c>
    </row>
    <row r="428" spans="1:2" x14ac:dyDescent="0.3">
      <c r="A428" s="14">
        <v>37.790260609609021</v>
      </c>
      <c r="B428" s="38">
        <v>8748</v>
      </c>
    </row>
    <row r="429" spans="1:2" x14ac:dyDescent="0.3">
      <c r="A429" s="14">
        <v>37.789068303235915</v>
      </c>
      <c r="B429" s="38">
        <v>4865</v>
      </c>
    </row>
    <row r="430" spans="1:2" x14ac:dyDescent="0.3">
      <c r="A430" s="14">
        <v>37.788901029795582</v>
      </c>
      <c r="B430" s="38">
        <v>12217</v>
      </c>
    </row>
    <row r="431" spans="1:2" x14ac:dyDescent="0.3">
      <c r="A431" s="14">
        <v>37.78300685557565</v>
      </c>
      <c r="B431" s="38">
        <v>7104</v>
      </c>
    </row>
    <row r="432" spans="1:2" x14ac:dyDescent="0.3">
      <c r="A432" s="14">
        <v>37.782846101334925</v>
      </c>
      <c r="B432" s="38">
        <v>3593</v>
      </c>
    </row>
    <row r="433" spans="1:2" x14ac:dyDescent="0.3">
      <c r="A433" s="14">
        <v>37.779505717690334</v>
      </c>
      <c r="B433" s="38">
        <v>4914</v>
      </c>
    </row>
    <row r="434" spans="1:2" x14ac:dyDescent="0.3">
      <c r="A434" s="14">
        <v>37.779387964379339</v>
      </c>
      <c r="B434" s="38">
        <v>2822</v>
      </c>
    </row>
    <row r="435" spans="1:2" x14ac:dyDescent="0.3">
      <c r="A435" s="14">
        <v>37.774993861600393</v>
      </c>
      <c r="B435" s="38">
        <v>13207</v>
      </c>
    </row>
    <row r="436" spans="1:2" x14ac:dyDescent="0.3">
      <c r="A436" s="14">
        <v>37.774914815720827</v>
      </c>
      <c r="B436" s="38">
        <v>5253</v>
      </c>
    </row>
    <row r="437" spans="1:2" x14ac:dyDescent="0.3">
      <c r="A437" s="14">
        <v>37.772145424195877</v>
      </c>
      <c r="B437" s="38">
        <v>7128</v>
      </c>
    </row>
    <row r="438" spans="1:2" x14ac:dyDescent="0.3">
      <c r="A438" s="14">
        <v>37.771305376190959</v>
      </c>
      <c r="B438" s="38">
        <v>6704</v>
      </c>
    </row>
    <row r="439" spans="1:2" x14ac:dyDescent="0.3">
      <c r="A439" s="14">
        <v>37.76815904374282</v>
      </c>
      <c r="B439" s="38">
        <v>4489</v>
      </c>
    </row>
    <row r="440" spans="1:2" x14ac:dyDescent="0.3">
      <c r="A440" s="14">
        <v>37.766896222273807</v>
      </c>
      <c r="B440" s="38">
        <v>5326</v>
      </c>
    </row>
    <row r="441" spans="1:2" x14ac:dyDescent="0.3">
      <c r="A441" s="14">
        <v>37.765499151137206</v>
      </c>
      <c r="B441" s="38">
        <v>8127</v>
      </c>
    </row>
    <row r="442" spans="1:2" x14ac:dyDescent="0.3">
      <c r="A442" s="14">
        <v>37.76434334834066</v>
      </c>
      <c r="B442" s="38">
        <v>10600</v>
      </c>
    </row>
    <row r="443" spans="1:2" x14ac:dyDescent="0.3">
      <c r="A443" s="14">
        <v>37.763265365888962</v>
      </c>
      <c r="B443" s="38">
        <v>4410</v>
      </c>
    </row>
    <row r="444" spans="1:2" x14ac:dyDescent="0.3">
      <c r="A444" s="14">
        <v>37.760466300709915</v>
      </c>
      <c r="B444" s="38">
        <v>18936</v>
      </c>
    </row>
    <row r="445" spans="1:2" x14ac:dyDescent="0.3">
      <c r="A445" s="14">
        <v>37.759875577215098</v>
      </c>
      <c r="B445" s="38">
        <v>3312</v>
      </c>
    </row>
    <row r="446" spans="1:2" x14ac:dyDescent="0.3">
      <c r="A446" s="14">
        <v>37.758145229241428</v>
      </c>
      <c r="B446" s="38">
        <v>5627</v>
      </c>
    </row>
    <row r="447" spans="1:2" x14ac:dyDescent="0.3">
      <c r="A447" s="14">
        <v>37.757038944479845</v>
      </c>
      <c r="B447" s="38">
        <v>5959</v>
      </c>
    </row>
    <row r="448" spans="1:2" x14ac:dyDescent="0.3">
      <c r="A448" s="14">
        <v>37.756793448382169</v>
      </c>
      <c r="B448" s="38">
        <v>7009</v>
      </c>
    </row>
    <row r="449" spans="1:2" x14ac:dyDescent="0.3">
      <c r="A449" s="14">
        <v>37.755475891414527</v>
      </c>
      <c r="B449" s="38">
        <v>4385</v>
      </c>
    </row>
    <row r="450" spans="1:2" x14ac:dyDescent="0.3">
      <c r="A450" s="14">
        <v>37.755070167074258</v>
      </c>
      <c r="B450" s="38">
        <v>10329</v>
      </c>
    </row>
    <row r="451" spans="1:2" x14ac:dyDescent="0.3">
      <c r="A451" s="14">
        <v>37.754999566983457</v>
      </c>
      <c r="B451" s="38">
        <v>3591</v>
      </c>
    </row>
    <row r="452" spans="1:2" x14ac:dyDescent="0.3">
      <c r="A452" s="14">
        <v>37.753971887678802</v>
      </c>
      <c r="B452" s="38">
        <v>9255</v>
      </c>
    </row>
    <row r="453" spans="1:2" x14ac:dyDescent="0.3">
      <c r="A453" s="14">
        <v>37.751719206024525</v>
      </c>
      <c r="B453" s="38">
        <v>12507</v>
      </c>
    </row>
    <row r="454" spans="1:2" x14ac:dyDescent="0.3">
      <c r="A454" s="14">
        <v>37.749836125741886</v>
      </c>
      <c r="B454" s="38">
        <v>7148</v>
      </c>
    </row>
    <row r="455" spans="1:2" x14ac:dyDescent="0.3">
      <c r="A455" s="14">
        <v>37.749648569710068</v>
      </c>
      <c r="B455" s="38">
        <v>2016</v>
      </c>
    </row>
    <row r="456" spans="1:2" x14ac:dyDescent="0.3">
      <c r="A456" s="14">
        <v>37.748318937384042</v>
      </c>
      <c r="B456" s="38">
        <v>5257</v>
      </c>
    </row>
    <row r="457" spans="1:2" x14ac:dyDescent="0.3">
      <c r="A457" s="14">
        <v>37.748195410135814</v>
      </c>
      <c r="B457" s="38">
        <v>8086</v>
      </c>
    </row>
    <row r="458" spans="1:2" x14ac:dyDescent="0.3">
      <c r="A458" s="14">
        <v>37.74762183224545</v>
      </c>
      <c r="B458" s="38">
        <v>3952</v>
      </c>
    </row>
    <row r="459" spans="1:2" x14ac:dyDescent="0.3">
      <c r="A459" s="14">
        <v>37.7475651877239</v>
      </c>
      <c r="B459" s="38">
        <v>4758</v>
      </c>
    </row>
    <row r="460" spans="1:2" x14ac:dyDescent="0.3">
      <c r="A460" s="14">
        <v>37.747285231311281</v>
      </c>
      <c r="B460" s="38">
        <v>9296</v>
      </c>
    </row>
    <row r="461" spans="1:2" x14ac:dyDescent="0.3">
      <c r="A461" s="14">
        <v>37.746823053867985</v>
      </c>
      <c r="B461" s="38">
        <v>5937</v>
      </c>
    </row>
    <row r="462" spans="1:2" x14ac:dyDescent="0.3">
      <c r="A462" s="14">
        <v>37.745838644940285</v>
      </c>
      <c r="B462" s="38">
        <v>8526</v>
      </c>
    </row>
    <row r="463" spans="1:2" x14ac:dyDescent="0.3">
      <c r="A463" s="14">
        <v>37.745633167782884</v>
      </c>
      <c r="B463" s="38">
        <v>5118</v>
      </c>
    </row>
    <row r="464" spans="1:2" x14ac:dyDescent="0.3">
      <c r="A464" s="14">
        <v>37.744190860216825</v>
      </c>
      <c r="B464" s="38">
        <v>7775</v>
      </c>
    </row>
    <row r="465" spans="1:2" x14ac:dyDescent="0.3">
      <c r="A465" s="14">
        <v>37.742790072610475</v>
      </c>
      <c r="B465" s="38">
        <v>6453</v>
      </c>
    </row>
    <row r="466" spans="1:2" x14ac:dyDescent="0.3">
      <c r="A466" s="14">
        <v>37.742223084433476</v>
      </c>
      <c r="B466" s="38">
        <v>10084</v>
      </c>
    </row>
    <row r="467" spans="1:2" x14ac:dyDescent="0.3">
      <c r="A467" s="14">
        <v>37.74103963938488</v>
      </c>
      <c r="B467" s="38">
        <v>5283</v>
      </c>
    </row>
    <row r="468" spans="1:2" x14ac:dyDescent="0.3">
      <c r="A468" s="14">
        <v>37.738706392358246</v>
      </c>
      <c r="B468" s="38">
        <v>6795</v>
      </c>
    </row>
    <row r="469" spans="1:2" x14ac:dyDescent="0.3">
      <c r="A469" s="14">
        <v>37.738553448897882</v>
      </c>
      <c r="B469" s="38">
        <v>9421</v>
      </c>
    </row>
    <row r="470" spans="1:2" x14ac:dyDescent="0.3">
      <c r="A470" s="14">
        <v>37.737610558032358</v>
      </c>
      <c r="B470" s="38">
        <v>5770</v>
      </c>
    </row>
    <row r="471" spans="1:2" x14ac:dyDescent="0.3">
      <c r="A471" s="14">
        <v>37.73693823954811</v>
      </c>
      <c r="B471" s="38">
        <v>5205</v>
      </c>
    </row>
    <row r="472" spans="1:2" x14ac:dyDescent="0.3">
      <c r="A472" s="14">
        <v>37.736900145889187</v>
      </c>
      <c r="B472" s="38">
        <v>2530</v>
      </c>
    </row>
    <row r="473" spans="1:2" x14ac:dyDescent="0.3">
      <c r="A473" s="14">
        <v>37.736133704514138</v>
      </c>
      <c r="B473" s="38">
        <v>9386</v>
      </c>
    </row>
    <row r="474" spans="1:2" x14ac:dyDescent="0.3">
      <c r="A474" s="14">
        <v>37.735707520721881</v>
      </c>
      <c r="B474" s="38">
        <v>11096</v>
      </c>
    </row>
    <row r="475" spans="1:2" x14ac:dyDescent="0.3">
      <c r="A475" s="14">
        <v>37.733689683837937</v>
      </c>
      <c r="B475" s="38">
        <v>4695</v>
      </c>
    </row>
    <row r="476" spans="1:2" x14ac:dyDescent="0.3">
      <c r="A476" s="14">
        <v>37.73366128418791</v>
      </c>
      <c r="B476" s="38">
        <v>6843</v>
      </c>
    </row>
    <row r="477" spans="1:2" x14ac:dyDescent="0.3">
      <c r="A477" s="14">
        <v>37.733579705033165</v>
      </c>
      <c r="B477" s="38">
        <v>6803</v>
      </c>
    </row>
    <row r="478" spans="1:2" x14ac:dyDescent="0.3">
      <c r="A478" s="14">
        <v>37.733370340576769</v>
      </c>
      <c r="B478" s="38">
        <v>11237</v>
      </c>
    </row>
    <row r="479" spans="1:2" x14ac:dyDescent="0.3">
      <c r="A479" s="14">
        <v>37.73313537320243</v>
      </c>
      <c r="B479" s="38">
        <v>4410</v>
      </c>
    </row>
    <row r="480" spans="1:2" x14ac:dyDescent="0.3">
      <c r="A480" s="14">
        <v>37.732595670589312</v>
      </c>
      <c r="B480" s="38">
        <v>10964</v>
      </c>
    </row>
    <row r="481" spans="1:2" x14ac:dyDescent="0.3">
      <c r="A481" s="14">
        <v>37.730822003445056</v>
      </c>
      <c r="B481" s="38">
        <v>4836</v>
      </c>
    </row>
    <row r="482" spans="1:2" x14ac:dyDescent="0.3">
      <c r="A482" s="14">
        <v>37.729565624531887</v>
      </c>
      <c r="B482" s="38">
        <v>14475</v>
      </c>
    </row>
    <row r="483" spans="1:2" x14ac:dyDescent="0.3">
      <c r="A483" s="14">
        <v>37.728817240133182</v>
      </c>
      <c r="B483" s="38">
        <v>6639</v>
      </c>
    </row>
    <row r="484" spans="1:2" x14ac:dyDescent="0.3">
      <c r="A484" s="14">
        <v>37.727952544462788</v>
      </c>
      <c r="B484" s="38">
        <v>6221</v>
      </c>
    </row>
    <row r="485" spans="1:2" x14ac:dyDescent="0.3">
      <c r="A485" s="14">
        <v>37.727241295019304</v>
      </c>
      <c r="B485" s="38">
        <v>9505</v>
      </c>
    </row>
    <row r="486" spans="1:2" x14ac:dyDescent="0.3">
      <c r="A486" s="14">
        <v>37.722963612762662</v>
      </c>
      <c r="B486" s="38">
        <v>11688</v>
      </c>
    </row>
    <row r="487" spans="1:2" x14ac:dyDescent="0.3">
      <c r="A487" s="14">
        <v>37.722064051970833</v>
      </c>
      <c r="B487" s="38">
        <v>6611</v>
      </c>
    </row>
    <row r="488" spans="1:2" x14ac:dyDescent="0.3">
      <c r="A488" s="14">
        <v>37.721424073186633</v>
      </c>
      <c r="B488" s="38">
        <v>12181</v>
      </c>
    </row>
    <row r="489" spans="1:2" x14ac:dyDescent="0.3">
      <c r="A489" s="14">
        <v>37.720889397144454</v>
      </c>
      <c r="B489" s="38">
        <v>4299</v>
      </c>
    </row>
    <row r="490" spans="1:2" x14ac:dyDescent="0.3">
      <c r="A490" s="14">
        <v>37.720737654648772</v>
      </c>
      <c r="B490" s="38">
        <v>8863</v>
      </c>
    </row>
    <row r="491" spans="1:2" x14ac:dyDescent="0.3">
      <c r="A491" s="14">
        <v>37.720082516366254</v>
      </c>
      <c r="B491" s="38">
        <v>4270</v>
      </c>
    </row>
    <row r="492" spans="1:2" x14ac:dyDescent="0.3">
      <c r="A492" s="14">
        <v>37.719159995349898</v>
      </c>
      <c r="B492" s="38">
        <v>5846</v>
      </c>
    </row>
    <row r="493" spans="1:2" x14ac:dyDescent="0.3">
      <c r="A493" s="14">
        <v>37.718373126950233</v>
      </c>
      <c r="B493" s="38">
        <v>7770</v>
      </c>
    </row>
    <row r="494" spans="1:2" x14ac:dyDescent="0.3">
      <c r="A494" s="14">
        <v>37.715309986392903</v>
      </c>
      <c r="B494" s="38">
        <v>5706</v>
      </c>
    </row>
    <row r="495" spans="1:2" x14ac:dyDescent="0.3">
      <c r="A495" s="14">
        <v>37.713423050924256</v>
      </c>
      <c r="B495" s="38">
        <v>6077</v>
      </c>
    </row>
    <row r="496" spans="1:2" x14ac:dyDescent="0.3">
      <c r="A496" s="14">
        <v>37.713233652988031</v>
      </c>
      <c r="B496" s="38">
        <v>3827</v>
      </c>
    </row>
    <row r="497" spans="1:2" x14ac:dyDescent="0.3">
      <c r="A497" s="14">
        <v>37.712106584480935</v>
      </c>
      <c r="B497" s="38">
        <v>3677</v>
      </c>
    </row>
    <row r="498" spans="1:2" x14ac:dyDescent="0.3">
      <c r="A498" s="14">
        <v>37.71079693093867</v>
      </c>
      <c r="B498" s="38">
        <v>4171</v>
      </c>
    </row>
    <row r="499" spans="1:2" x14ac:dyDescent="0.3">
      <c r="A499" s="14">
        <v>37.710224265284019</v>
      </c>
      <c r="B499" s="38">
        <v>5406</v>
      </c>
    </row>
    <row r="500" spans="1:2" x14ac:dyDescent="0.3">
      <c r="A500" s="14">
        <v>37.708616525395009</v>
      </c>
      <c r="B500" s="38">
        <v>3608</v>
      </c>
    </row>
    <row r="501" spans="1:2" x14ac:dyDescent="0.3">
      <c r="A501" s="14">
        <v>37.707292196694084</v>
      </c>
      <c r="B501" s="38">
        <v>8156</v>
      </c>
    </row>
    <row r="502" spans="1:2" x14ac:dyDescent="0.3">
      <c r="A502" s="14">
        <v>37.705175156562682</v>
      </c>
      <c r="B502" s="38">
        <v>7102</v>
      </c>
    </row>
    <row r="503" spans="1:2" x14ac:dyDescent="0.3">
      <c r="A503" s="14">
        <v>37.702810779511815</v>
      </c>
      <c r="B503" s="38">
        <v>3674</v>
      </c>
    </row>
    <row r="504" spans="1:2" x14ac:dyDescent="0.3">
      <c r="A504" s="14">
        <v>37.688105837959924</v>
      </c>
      <c r="B504" s="38">
        <v>3713</v>
      </c>
    </row>
    <row r="505" spans="1:2" x14ac:dyDescent="0.3">
      <c r="A505" s="14">
        <v>37.660380475836121</v>
      </c>
      <c r="B505" s="38">
        <v>1968</v>
      </c>
    </row>
    <row r="506" spans="1:2" x14ac:dyDescent="0.3">
      <c r="A506" s="14">
        <v>37.659270247771417</v>
      </c>
      <c r="B506" s="38">
        <v>3722</v>
      </c>
    </row>
    <row r="507" spans="1:2" x14ac:dyDescent="0.3">
      <c r="A507" s="14">
        <v>37.658693248120642</v>
      </c>
      <c r="B507" s="38">
        <v>4268</v>
      </c>
    </row>
    <row r="508" spans="1:2" x14ac:dyDescent="0.3">
      <c r="A508" s="14">
        <v>37.627136761747252</v>
      </c>
      <c r="B508" s="38">
        <v>4802</v>
      </c>
    </row>
    <row r="509" spans="1:2" x14ac:dyDescent="0.3">
      <c r="A509" s="14">
        <v>37.623147537686741</v>
      </c>
      <c r="B509" s="38">
        <v>1314</v>
      </c>
    </row>
    <row r="510" spans="1:2" x14ac:dyDescent="0.3">
      <c r="A510" s="14">
        <v>37.621246461929466</v>
      </c>
      <c r="B510" s="38">
        <v>2309</v>
      </c>
    </row>
    <row r="511" spans="1:2" x14ac:dyDescent="0.3">
      <c r="A511" s="14">
        <v>37.616695947189413</v>
      </c>
      <c r="B511" s="38">
        <v>1665</v>
      </c>
    </row>
    <row r="512" spans="1:2" x14ac:dyDescent="0.3">
      <c r="A512" s="14">
        <v>37.615982531095923</v>
      </c>
      <c r="B512" s="38">
        <v>2017</v>
      </c>
    </row>
    <row r="513" spans="1:2" x14ac:dyDescent="0.3">
      <c r="A513" s="14">
        <v>37.610799315016948</v>
      </c>
      <c r="B513" s="38">
        <v>1497</v>
      </c>
    </row>
    <row r="514" spans="1:2" x14ac:dyDescent="0.3">
      <c r="A514" s="14">
        <v>37.602451291346988</v>
      </c>
      <c r="B514" s="38">
        <v>3984</v>
      </c>
    </row>
    <row r="515" spans="1:2" x14ac:dyDescent="0.3">
      <c r="A515" s="14">
        <v>37.590320186165954</v>
      </c>
      <c r="B515" s="38">
        <v>1291</v>
      </c>
    </row>
    <row r="516" spans="1:2" x14ac:dyDescent="0.3">
      <c r="A516" s="14">
        <v>37.576549448485032</v>
      </c>
      <c r="B516" s="38">
        <v>2297</v>
      </c>
    </row>
    <row r="517" spans="1:2" x14ac:dyDescent="0.3">
      <c r="A517" s="14">
        <v>37.539646933138044</v>
      </c>
      <c r="B517" s="38">
        <v>1466</v>
      </c>
    </row>
    <row r="518" spans="1:2" x14ac:dyDescent="0.3">
      <c r="A518" s="14">
        <v>37.502484473233103</v>
      </c>
      <c r="B518" s="38">
        <v>1361</v>
      </c>
    </row>
    <row r="519" spans="1:2" x14ac:dyDescent="0.3">
      <c r="A519" s="14">
        <v>37.371721580932146</v>
      </c>
      <c r="B519" s="38">
        <v>3173</v>
      </c>
    </row>
    <row r="520" spans="1:2" x14ac:dyDescent="0.3">
      <c r="A520" s="14">
        <v>37.237326004395875</v>
      </c>
      <c r="B520" s="38">
        <v>5259</v>
      </c>
    </row>
    <row r="521" spans="1:2" x14ac:dyDescent="0.3">
      <c r="A521" s="14">
        <v>37.189617340749301</v>
      </c>
      <c r="B521" s="38">
        <v>1581</v>
      </c>
    </row>
    <row r="522" spans="1:2" x14ac:dyDescent="0.3">
      <c r="A522" s="14">
        <v>37.170397438979556</v>
      </c>
      <c r="B522" s="38">
        <v>1534</v>
      </c>
    </row>
    <row r="523" spans="1:2" x14ac:dyDescent="0.3">
      <c r="A523" s="14">
        <v>37.087713773156125</v>
      </c>
      <c r="B523" s="38">
        <v>2446</v>
      </c>
    </row>
    <row r="524" spans="1:2" x14ac:dyDescent="0.3">
      <c r="A524" s="14">
        <v>37.04388973694644</v>
      </c>
      <c r="B524" s="38">
        <v>3814</v>
      </c>
    </row>
    <row r="525" spans="1:2" x14ac:dyDescent="0.3">
      <c r="A525" s="14">
        <v>37.018659503691438</v>
      </c>
      <c r="B525" s="38">
        <v>5632</v>
      </c>
    </row>
    <row r="526" spans="1:2" x14ac:dyDescent="0.3">
      <c r="A526" s="14">
        <v>36.996211075742679</v>
      </c>
      <c r="B526" s="38">
        <v>6282</v>
      </c>
    </row>
    <row r="527" spans="1:2" x14ac:dyDescent="0.3">
      <c r="A527" s="14">
        <v>36.982538567239708</v>
      </c>
      <c r="B527" s="38">
        <v>4216</v>
      </c>
    </row>
    <row r="528" spans="1:2" x14ac:dyDescent="0.3">
      <c r="A528" s="14">
        <v>36.981030242541607</v>
      </c>
      <c r="B528" s="38">
        <v>5014</v>
      </c>
    </row>
    <row r="529" spans="1:2" x14ac:dyDescent="0.3">
      <c r="A529" s="14">
        <v>36.907283489855821</v>
      </c>
      <c r="B529" s="38">
        <v>3554</v>
      </c>
    </row>
    <row r="530" spans="1:2" x14ac:dyDescent="0.3">
      <c r="A530" s="14">
        <v>36.892989939111828</v>
      </c>
      <c r="B530" s="38">
        <v>3610</v>
      </c>
    </row>
    <row r="531" spans="1:2" x14ac:dyDescent="0.3">
      <c r="A531" s="14">
        <v>36.883291524071367</v>
      </c>
      <c r="B531" s="38">
        <v>6227</v>
      </c>
    </row>
    <row r="532" spans="1:2" x14ac:dyDescent="0.3">
      <c r="A532" s="14">
        <v>36.880564461759526</v>
      </c>
      <c r="B532" s="38">
        <v>3190</v>
      </c>
    </row>
    <row r="533" spans="1:2" x14ac:dyDescent="0.3">
      <c r="A533" s="14">
        <v>36.875174534786616</v>
      </c>
      <c r="B533" s="38">
        <v>7731</v>
      </c>
    </row>
    <row r="534" spans="1:2" x14ac:dyDescent="0.3">
      <c r="A534" s="14">
        <v>36.868108837417537</v>
      </c>
      <c r="B534" s="38">
        <v>4715</v>
      </c>
    </row>
    <row r="535" spans="1:2" x14ac:dyDescent="0.3">
      <c r="A535" s="14">
        <v>36.860924083950557</v>
      </c>
      <c r="B535" s="38">
        <v>3218</v>
      </c>
    </row>
    <row r="536" spans="1:2" x14ac:dyDescent="0.3">
      <c r="A536" s="14">
        <v>36.850749645590604</v>
      </c>
      <c r="B536" s="38">
        <v>3640</v>
      </c>
    </row>
    <row r="537" spans="1:2" x14ac:dyDescent="0.3">
      <c r="A537" s="14">
        <v>36.849936978847062</v>
      </c>
      <c r="B537" s="38">
        <v>5822</v>
      </c>
    </row>
    <row r="538" spans="1:2" x14ac:dyDescent="0.3">
      <c r="A538" s="14">
        <v>36.849327724951479</v>
      </c>
      <c r="B538" s="38">
        <v>3036</v>
      </c>
    </row>
    <row r="539" spans="1:2" x14ac:dyDescent="0.3">
      <c r="A539" s="14">
        <v>36.845376003683967</v>
      </c>
      <c r="B539" s="38">
        <v>3231</v>
      </c>
    </row>
    <row r="540" spans="1:2" x14ac:dyDescent="0.3">
      <c r="A540" s="14">
        <v>36.845333835184917</v>
      </c>
      <c r="B540" s="38">
        <v>5211</v>
      </c>
    </row>
    <row r="541" spans="1:2" x14ac:dyDescent="0.3">
      <c r="A541" s="14">
        <v>36.845170015647923</v>
      </c>
      <c r="B541" s="38">
        <v>3347</v>
      </c>
    </row>
    <row r="542" spans="1:2" x14ac:dyDescent="0.3">
      <c r="A542" s="14">
        <v>36.844704772523528</v>
      </c>
      <c r="B542" s="38">
        <v>5042</v>
      </c>
    </row>
    <row r="543" spans="1:2" x14ac:dyDescent="0.3">
      <c r="A543" s="14">
        <v>36.844590366452664</v>
      </c>
      <c r="B543" s="38">
        <v>7316</v>
      </c>
    </row>
    <row r="544" spans="1:2" x14ac:dyDescent="0.3">
      <c r="A544" s="14">
        <v>36.843380889509369</v>
      </c>
      <c r="B544" s="38">
        <v>7459</v>
      </c>
    </row>
    <row r="545" spans="1:2" x14ac:dyDescent="0.3">
      <c r="A545" s="14">
        <v>36.843335604470475</v>
      </c>
      <c r="B545" s="38">
        <v>3177</v>
      </c>
    </row>
    <row r="546" spans="1:2" x14ac:dyDescent="0.3">
      <c r="A546" s="14">
        <v>36.841668496305758</v>
      </c>
      <c r="B546" s="38">
        <v>2213</v>
      </c>
    </row>
    <row r="547" spans="1:2" x14ac:dyDescent="0.3">
      <c r="A547" s="14">
        <v>36.833078172080938</v>
      </c>
      <c r="B547" s="38">
        <v>6872</v>
      </c>
    </row>
    <row r="548" spans="1:2" x14ac:dyDescent="0.3">
      <c r="A548" s="14">
        <v>36.832138726529493</v>
      </c>
      <c r="B548" s="38">
        <v>1746</v>
      </c>
    </row>
    <row r="549" spans="1:2" x14ac:dyDescent="0.3">
      <c r="A549" s="14">
        <v>36.797871821250887</v>
      </c>
      <c r="B549" s="38">
        <v>5581</v>
      </c>
    </row>
    <row r="550" spans="1:2" x14ac:dyDescent="0.3">
      <c r="A550" s="14">
        <v>36.779559090695642</v>
      </c>
      <c r="B550" s="38">
        <v>2360</v>
      </c>
    </row>
    <row r="551" spans="1:2" x14ac:dyDescent="0.3">
      <c r="A551" s="14">
        <v>36.77462101049673</v>
      </c>
      <c r="B551" s="38">
        <v>3548</v>
      </c>
    </row>
    <row r="552" spans="1:2" x14ac:dyDescent="0.3">
      <c r="A552" s="14">
        <v>36.769869511290864</v>
      </c>
      <c r="B552" s="38">
        <v>4891</v>
      </c>
    </row>
    <row r="553" spans="1:2" x14ac:dyDescent="0.3">
      <c r="A553" s="14">
        <v>36.769732840310766</v>
      </c>
      <c r="B553" s="38">
        <v>4038</v>
      </c>
    </row>
    <row r="554" spans="1:2" x14ac:dyDescent="0.3">
      <c r="A554" s="14">
        <v>36.7695755260551</v>
      </c>
      <c r="B554" s="38">
        <v>2651</v>
      </c>
    </row>
    <row r="555" spans="1:2" x14ac:dyDescent="0.3">
      <c r="A555" s="14">
        <v>36.768663029011535</v>
      </c>
      <c r="B555" s="38">
        <v>6730</v>
      </c>
    </row>
    <row r="556" spans="1:2" x14ac:dyDescent="0.3">
      <c r="A556" s="14">
        <v>36.767999660937022</v>
      </c>
      <c r="B556" s="38">
        <v>2809</v>
      </c>
    </row>
    <row r="557" spans="1:2" x14ac:dyDescent="0.3">
      <c r="A557" s="14">
        <v>36.76696370918345</v>
      </c>
      <c r="B557" s="38">
        <v>2435</v>
      </c>
    </row>
    <row r="558" spans="1:2" x14ac:dyDescent="0.3">
      <c r="A558" s="14">
        <v>36.765071748818663</v>
      </c>
      <c r="B558" s="38">
        <v>3949</v>
      </c>
    </row>
    <row r="559" spans="1:2" x14ac:dyDescent="0.3">
      <c r="A559" s="14">
        <v>36.762180772396931</v>
      </c>
      <c r="B559" s="38">
        <v>3293</v>
      </c>
    </row>
    <row r="560" spans="1:2" x14ac:dyDescent="0.3">
      <c r="A560" s="14">
        <v>36.759686919393822</v>
      </c>
      <c r="B560" s="38">
        <v>4611</v>
      </c>
    </row>
    <row r="561" spans="1:2" x14ac:dyDescent="0.3">
      <c r="A561" s="14">
        <v>36.754061551555857</v>
      </c>
      <c r="B561" s="38">
        <v>2591</v>
      </c>
    </row>
    <row r="562" spans="1:2" x14ac:dyDescent="0.3">
      <c r="A562" s="14">
        <v>36.747478765785893</v>
      </c>
      <c r="B562" s="38">
        <v>1661</v>
      </c>
    </row>
    <row r="563" spans="1:2" x14ac:dyDescent="0.3">
      <c r="A563" s="14">
        <v>36.74731599493596</v>
      </c>
      <c r="B563" s="38">
        <v>2468</v>
      </c>
    </row>
    <row r="564" spans="1:2" x14ac:dyDescent="0.3">
      <c r="A564" s="14">
        <v>36.734714534682389</v>
      </c>
      <c r="B564" s="38">
        <v>2232</v>
      </c>
    </row>
    <row r="565" spans="1:2" x14ac:dyDescent="0.3">
      <c r="A565" s="14">
        <v>36.732049348838828</v>
      </c>
      <c r="B565" s="38">
        <v>1894</v>
      </c>
    </row>
    <row r="566" spans="1:2" x14ac:dyDescent="0.3">
      <c r="A566" s="14">
        <v>36.7318480976909</v>
      </c>
      <c r="B566" s="38">
        <v>4537</v>
      </c>
    </row>
    <row r="567" spans="1:2" x14ac:dyDescent="0.3">
      <c r="A567" s="14">
        <v>36.731836017268471</v>
      </c>
      <c r="B567" s="38">
        <v>3758</v>
      </c>
    </row>
    <row r="568" spans="1:2" x14ac:dyDescent="0.3">
      <c r="A568" s="14">
        <v>36.730263328150052</v>
      </c>
      <c r="B568" s="38">
        <v>2815</v>
      </c>
    </row>
    <row r="569" spans="1:2" x14ac:dyDescent="0.3">
      <c r="A569" s="14">
        <v>36.725232409162537</v>
      </c>
      <c r="B569" s="38">
        <v>1898</v>
      </c>
    </row>
    <row r="570" spans="1:2" x14ac:dyDescent="0.3">
      <c r="A570" s="14">
        <v>36.723891143921357</v>
      </c>
      <c r="B570" s="38">
        <v>2127</v>
      </c>
    </row>
    <row r="571" spans="1:2" x14ac:dyDescent="0.3">
      <c r="A571" s="14">
        <v>36.716509774781947</v>
      </c>
      <c r="B571" s="38">
        <v>6781</v>
      </c>
    </row>
    <row r="572" spans="1:2" x14ac:dyDescent="0.3">
      <c r="A572" s="14">
        <v>36.699236951443091</v>
      </c>
      <c r="B572" s="38">
        <v>3502</v>
      </c>
    </row>
    <row r="573" spans="1:2" x14ac:dyDescent="0.3">
      <c r="A573" s="14">
        <v>36.697985610425548</v>
      </c>
      <c r="B573" s="38">
        <v>8249</v>
      </c>
    </row>
    <row r="574" spans="1:2" x14ac:dyDescent="0.3">
      <c r="A574" s="14">
        <v>36.683705374717739</v>
      </c>
      <c r="B574" s="38">
        <v>2773</v>
      </c>
    </row>
    <row r="575" spans="1:2" x14ac:dyDescent="0.3">
      <c r="A575" s="14">
        <v>36.681080746398301</v>
      </c>
      <c r="B575" s="38">
        <v>2701</v>
      </c>
    </row>
    <row r="576" spans="1:2" x14ac:dyDescent="0.3">
      <c r="A576" s="14">
        <v>36.666215700229003</v>
      </c>
      <c r="B576" s="38">
        <v>1923</v>
      </c>
    </row>
    <row r="577" spans="1:2" x14ac:dyDescent="0.3">
      <c r="A577" s="14">
        <v>36.545761271613898</v>
      </c>
      <c r="B577" s="38">
        <v>4404</v>
      </c>
    </row>
    <row r="578" spans="1:2" x14ac:dyDescent="0.3">
      <c r="A578" s="14">
        <v>35.916238077002681</v>
      </c>
      <c r="B578" s="38">
        <v>3324</v>
      </c>
    </row>
    <row r="579" spans="1:2" x14ac:dyDescent="0.3">
      <c r="A579" s="14">
        <v>35.905869903610679</v>
      </c>
      <c r="B579" s="38">
        <v>2683</v>
      </c>
    </row>
    <row r="580" spans="1:2" x14ac:dyDescent="0.3">
      <c r="A580" s="14">
        <v>35.76708924463685</v>
      </c>
      <c r="B580" s="38">
        <v>4581</v>
      </c>
    </row>
    <row r="581" spans="1:2" x14ac:dyDescent="0.3">
      <c r="A581" s="14">
        <v>35.606388943855187</v>
      </c>
      <c r="B581" s="38">
        <v>6585</v>
      </c>
    </row>
    <row r="582" spans="1:2" x14ac:dyDescent="0.3">
      <c r="A582" s="14">
        <v>35.564466640592201</v>
      </c>
      <c r="B582" s="38">
        <v>9490</v>
      </c>
    </row>
    <row r="583" spans="1:2" x14ac:dyDescent="0.3">
      <c r="A583" s="14">
        <v>35.552283594114527</v>
      </c>
      <c r="B583" s="38">
        <v>3697</v>
      </c>
    </row>
    <row r="584" spans="1:2" x14ac:dyDescent="0.3">
      <c r="A584" s="14">
        <v>35.499616908191676</v>
      </c>
      <c r="B584" s="38">
        <v>5505</v>
      </c>
    </row>
    <row r="585" spans="1:2" x14ac:dyDescent="0.3">
      <c r="A585" s="14">
        <v>35.459066546240372</v>
      </c>
      <c r="B585" s="38">
        <v>6212</v>
      </c>
    </row>
    <row r="586" spans="1:2" x14ac:dyDescent="0.3">
      <c r="A586" s="14">
        <v>35.443355513958558</v>
      </c>
      <c r="B586" s="38">
        <v>4382</v>
      </c>
    </row>
    <row r="587" spans="1:2" x14ac:dyDescent="0.3">
      <c r="A587" s="14">
        <v>35.394693045937167</v>
      </c>
      <c r="B587" s="38">
        <v>9422</v>
      </c>
    </row>
    <row r="588" spans="1:2" x14ac:dyDescent="0.3">
      <c r="A588" s="14">
        <v>35.391963461277385</v>
      </c>
      <c r="B588" s="38">
        <v>2958</v>
      </c>
    </row>
    <row r="589" spans="1:2" x14ac:dyDescent="0.3">
      <c r="A589" s="14">
        <v>35.329497070124972</v>
      </c>
      <c r="B589" s="38">
        <v>8863</v>
      </c>
    </row>
    <row r="590" spans="1:2" x14ac:dyDescent="0.3">
      <c r="A590" s="14">
        <v>35.329389861230403</v>
      </c>
      <c r="B590" s="38">
        <v>6051</v>
      </c>
    </row>
    <row r="591" spans="1:2" x14ac:dyDescent="0.3">
      <c r="A591" s="14">
        <v>35.327389424663721</v>
      </c>
      <c r="B591" s="38">
        <v>3713</v>
      </c>
    </row>
    <row r="592" spans="1:2" x14ac:dyDescent="0.3">
      <c r="A592" s="14">
        <v>35.298453522102427</v>
      </c>
      <c r="B592" s="38">
        <v>7750</v>
      </c>
    </row>
    <row r="593" spans="1:2" x14ac:dyDescent="0.3">
      <c r="A593" s="14">
        <v>35.29079832310854</v>
      </c>
      <c r="B593" s="38">
        <v>8196</v>
      </c>
    </row>
    <row r="594" spans="1:2" x14ac:dyDescent="0.3">
      <c r="A594" s="14">
        <v>35.262954773275865</v>
      </c>
      <c r="B594" s="38">
        <v>4413</v>
      </c>
    </row>
    <row r="595" spans="1:2" x14ac:dyDescent="0.3">
      <c r="A595" s="14">
        <v>35.254528510493046</v>
      </c>
      <c r="B595" s="38">
        <v>10737</v>
      </c>
    </row>
    <row r="596" spans="1:2" x14ac:dyDescent="0.3">
      <c r="A596" s="14">
        <v>35.249586138884567</v>
      </c>
      <c r="B596" s="38">
        <v>7738</v>
      </c>
    </row>
    <row r="597" spans="1:2" x14ac:dyDescent="0.3">
      <c r="A597" s="14">
        <v>35.2459978245762</v>
      </c>
      <c r="B597" s="38">
        <v>4601</v>
      </c>
    </row>
    <row r="598" spans="1:2" x14ac:dyDescent="0.3">
      <c r="A598" s="14">
        <v>35.245597136866984</v>
      </c>
      <c r="B598" s="38">
        <v>10045</v>
      </c>
    </row>
    <row r="599" spans="1:2" x14ac:dyDescent="0.3">
      <c r="A599" s="14">
        <v>35.239777659507602</v>
      </c>
      <c r="B599" s="38">
        <v>7494</v>
      </c>
    </row>
    <row r="600" spans="1:2" x14ac:dyDescent="0.3">
      <c r="A600" s="14">
        <v>35.231659332661927</v>
      </c>
      <c r="B600" s="38">
        <v>2642</v>
      </c>
    </row>
    <row r="601" spans="1:2" x14ac:dyDescent="0.3">
      <c r="A601" s="14">
        <v>35.230718907279588</v>
      </c>
      <c r="B601" s="38">
        <v>4678</v>
      </c>
    </row>
    <row r="602" spans="1:2" x14ac:dyDescent="0.3">
      <c r="A602" s="14">
        <v>35.209690540941935</v>
      </c>
      <c r="B602" s="38">
        <v>3534</v>
      </c>
    </row>
    <row r="603" spans="1:2" x14ac:dyDescent="0.3">
      <c r="A603" s="14">
        <v>35.209426204803542</v>
      </c>
      <c r="B603" s="38">
        <v>7056</v>
      </c>
    </row>
    <row r="604" spans="1:2" x14ac:dyDescent="0.3">
      <c r="A604" s="14">
        <v>35.209199012660612</v>
      </c>
      <c r="B604" s="38">
        <v>4398</v>
      </c>
    </row>
    <row r="605" spans="1:2" x14ac:dyDescent="0.3">
      <c r="A605" s="14">
        <v>35.202094622430181</v>
      </c>
      <c r="B605" s="38">
        <v>4294</v>
      </c>
    </row>
    <row r="606" spans="1:2" x14ac:dyDescent="0.3">
      <c r="A606" s="14">
        <v>35.195383442206079</v>
      </c>
      <c r="B606" s="38">
        <v>9301</v>
      </c>
    </row>
    <row r="607" spans="1:2" x14ac:dyDescent="0.3">
      <c r="A607" s="14">
        <v>35.1902208811807</v>
      </c>
      <c r="B607" s="38">
        <v>3606</v>
      </c>
    </row>
    <row r="608" spans="1:2" x14ac:dyDescent="0.3">
      <c r="A608" s="14">
        <v>35.186235115149806</v>
      </c>
      <c r="B608" s="38">
        <v>5124</v>
      </c>
    </row>
    <row r="609" spans="1:2" x14ac:dyDescent="0.3">
      <c r="A609" s="14">
        <v>35.157581895121176</v>
      </c>
      <c r="B609" s="38">
        <v>3154</v>
      </c>
    </row>
    <row r="610" spans="1:2" x14ac:dyDescent="0.3">
      <c r="A610" s="14">
        <v>35.153963869973971</v>
      </c>
      <c r="B610" s="38">
        <v>3504</v>
      </c>
    </row>
    <row r="611" spans="1:2" x14ac:dyDescent="0.3">
      <c r="A611" s="14">
        <v>35.150559961944161</v>
      </c>
      <c r="B611" s="38">
        <v>9038</v>
      </c>
    </row>
    <row r="612" spans="1:2" x14ac:dyDescent="0.3">
      <c r="A612" s="14">
        <v>35.150041717100663</v>
      </c>
      <c r="B612" s="38">
        <v>4532</v>
      </c>
    </row>
    <row r="613" spans="1:2" x14ac:dyDescent="0.3">
      <c r="A613" s="14">
        <v>35.143310158096035</v>
      </c>
      <c r="B613" s="38">
        <v>5042</v>
      </c>
    </row>
    <row r="614" spans="1:2" x14ac:dyDescent="0.3">
      <c r="A614" s="14">
        <v>35.138786799664103</v>
      </c>
      <c r="B614" s="38">
        <v>8567</v>
      </c>
    </row>
    <row r="615" spans="1:2" x14ac:dyDescent="0.3">
      <c r="A615" s="14">
        <v>35.136588200488795</v>
      </c>
      <c r="B615" s="38">
        <v>5731</v>
      </c>
    </row>
    <row r="616" spans="1:2" x14ac:dyDescent="0.3">
      <c r="A616" s="14">
        <v>35.133347820885668</v>
      </c>
      <c r="B616" s="38">
        <v>3160</v>
      </c>
    </row>
    <row r="617" spans="1:2" x14ac:dyDescent="0.3">
      <c r="A617" s="14">
        <v>35.132419499782145</v>
      </c>
      <c r="B617" s="38">
        <v>11148</v>
      </c>
    </row>
    <row r="618" spans="1:2" x14ac:dyDescent="0.3">
      <c r="A618" s="14">
        <v>35.130119176183406</v>
      </c>
      <c r="B618" s="38">
        <v>4803</v>
      </c>
    </row>
    <row r="619" spans="1:2" x14ac:dyDescent="0.3">
      <c r="A619" s="14">
        <v>35.128597443114849</v>
      </c>
      <c r="B619" s="38">
        <v>8811</v>
      </c>
    </row>
    <row r="620" spans="1:2" x14ac:dyDescent="0.3">
      <c r="A620" s="14">
        <v>35.124579953219609</v>
      </c>
      <c r="B620" s="38">
        <v>3509</v>
      </c>
    </row>
    <row r="621" spans="1:2" x14ac:dyDescent="0.3">
      <c r="A621" s="14">
        <v>35.123842542788559</v>
      </c>
      <c r="B621" s="38">
        <v>9266</v>
      </c>
    </row>
    <row r="622" spans="1:2" x14ac:dyDescent="0.3">
      <c r="A622" s="14">
        <v>35.122320764088364</v>
      </c>
      <c r="B622" s="38">
        <v>5749</v>
      </c>
    </row>
    <row r="623" spans="1:2" x14ac:dyDescent="0.3">
      <c r="A623" s="14">
        <v>35.12118269080802</v>
      </c>
      <c r="B623" s="38">
        <v>3179</v>
      </c>
    </row>
    <row r="624" spans="1:2" x14ac:dyDescent="0.3">
      <c r="A624" s="14">
        <v>35.120418660084503</v>
      </c>
      <c r="B624" s="38">
        <v>9260</v>
      </c>
    </row>
    <row r="625" spans="1:2" x14ac:dyDescent="0.3">
      <c r="A625" s="14">
        <v>35.119233578361843</v>
      </c>
      <c r="B625" s="38">
        <v>4592</v>
      </c>
    </row>
    <row r="626" spans="1:2" x14ac:dyDescent="0.3">
      <c r="A626" s="14">
        <v>35.118610518961411</v>
      </c>
      <c r="B626" s="38">
        <v>6924</v>
      </c>
    </row>
    <row r="627" spans="1:2" x14ac:dyDescent="0.3">
      <c r="A627" s="14">
        <v>35.114329376733991</v>
      </c>
      <c r="B627" s="38">
        <v>7423</v>
      </c>
    </row>
    <row r="628" spans="1:2" x14ac:dyDescent="0.3">
      <c r="A628" s="14">
        <v>35.112414774755045</v>
      </c>
      <c r="B628" s="38">
        <v>7190</v>
      </c>
    </row>
    <row r="629" spans="1:2" x14ac:dyDescent="0.3">
      <c r="A629" s="14">
        <v>35.107677283687288</v>
      </c>
      <c r="B629" s="38">
        <v>7474</v>
      </c>
    </row>
    <row r="630" spans="1:2" x14ac:dyDescent="0.3">
      <c r="A630" s="14">
        <v>35.105822076585582</v>
      </c>
      <c r="B630" s="38">
        <v>3744</v>
      </c>
    </row>
    <row r="631" spans="1:2" x14ac:dyDescent="0.3">
      <c r="A631" s="14">
        <v>35.102290670784498</v>
      </c>
      <c r="B631" s="38">
        <v>10204</v>
      </c>
    </row>
    <row r="632" spans="1:2" x14ac:dyDescent="0.3">
      <c r="A632" s="14">
        <v>35.101225429330341</v>
      </c>
      <c r="B632" s="38">
        <v>4097</v>
      </c>
    </row>
    <row r="633" spans="1:2" x14ac:dyDescent="0.3">
      <c r="A633" s="14">
        <v>35.10112415251276</v>
      </c>
      <c r="B633" s="38">
        <v>3831</v>
      </c>
    </row>
    <row r="634" spans="1:2" x14ac:dyDescent="0.3">
      <c r="A634" s="14">
        <v>35.1005635238471</v>
      </c>
      <c r="B634" s="38">
        <v>3953</v>
      </c>
    </row>
    <row r="635" spans="1:2" x14ac:dyDescent="0.3">
      <c r="A635" s="14">
        <v>35.099289805433962</v>
      </c>
      <c r="B635" s="38">
        <v>4151</v>
      </c>
    </row>
    <row r="636" spans="1:2" x14ac:dyDescent="0.3">
      <c r="A636" s="14">
        <v>35.098923577344934</v>
      </c>
      <c r="B636" s="38">
        <v>4529</v>
      </c>
    </row>
    <row r="637" spans="1:2" x14ac:dyDescent="0.3">
      <c r="A637" s="14">
        <v>35.098879569011252</v>
      </c>
      <c r="B637" s="38">
        <v>4345</v>
      </c>
    </row>
    <row r="638" spans="1:2" x14ac:dyDescent="0.3">
      <c r="A638" s="14">
        <v>35.095622303549838</v>
      </c>
      <c r="B638" s="38">
        <v>4202</v>
      </c>
    </row>
    <row r="639" spans="1:2" x14ac:dyDescent="0.3">
      <c r="A639" s="14">
        <v>35.094914912942016</v>
      </c>
      <c r="B639" s="38">
        <v>10769</v>
      </c>
    </row>
    <row r="640" spans="1:2" x14ac:dyDescent="0.3">
      <c r="A640" s="14">
        <v>35.092623154305947</v>
      </c>
      <c r="B640" s="38">
        <v>9385</v>
      </c>
    </row>
    <row r="641" spans="1:2" x14ac:dyDescent="0.3">
      <c r="A641" s="14">
        <v>35.091835350632522</v>
      </c>
      <c r="B641" s="38">
        <v>4342</v>
      </c>
    </row>
    <row r="642" spans="1:2" x14ac:dyDescent="0.3">
      <c r="A642" s="14">
        <v>35.091244622298426</v>
      </c>
      <c r="B642" s="38">
        <v>3054</v>
      </c>
    </row>
    <row r="643" spans="1:2" x14ac:dyDescent="0.3">
      <c r="A643" s="14">
        <v>35.090051892484809</v>
      </c>
      <c r="B643" s="38">
        <v>7987</v>
      </c>
    </row>
    <row r="644" spans="1:2" x14ac:dyDescent="0.3">
      <c r="A644" s="14">
        <v>35.087749948463376</v>
      </c>
      <c r="B644" s="38">
        <v>7479</v>
      </c>
    </row>
    <row r="645" spans="1:2" x14ac:dyDescent="0.3">
      <c r="A645" s="14">
        <v>35.087527727231858</v>
      </c>
      <c r="B645" s="38">
        <v>3943</v>
      </c>
    </row>
    <row r="646" spans="1:2" x14ac:dyDescent="0.3">
      <c r="A646" s="14">
        <v>35.086937028377776</v>
      </c>
      <c r="B646" s="38">
        <v>3707</v>
      </c>
    </row>
    <row r="647" spans="1:2" x14ac:dyDescent="0.3">
      <c r="A647" s="14">
        <v>35.08548662579566</v>
      </c>
      <c r="B647" s="38">
        <v>5945</v>
      </c>
    </row>
    <row r="648" spans="1:2" x14ac:dyDescent="0.3">
      <c r="A648" s="14">
        <v>35.084635552453349</v>
      </c>
      <c r="B648" s="38">
        <v>3224</v>
      </c>
    </row>
    <row r="649" spans="1:2" x14ac:dyDescent="0.3">
      <c r="A649" s="14">
        <v>35.079324032311199</v>
      </c>
      <c r="B649" s="38">
        <v>6150</v>
      </c>
    </row>
    <row r="650" spans="1:2" x14ac:dyDescent="0.3">
      <c r="A650" s="14">
        <v>35.079208128789467</v>
      </c>
      <c r="B650" s="38">
        <v>4216</v>
      </c>
    </row>
    <row r="651" spans="1:2" x14ac:dyDescent="0.3">
      <c r="A651" s="14">
        <v>35.074813409224355</v>
      </c>
      <c r="B651" s="38">
        <v>5732</v>
      </c>
    </row>
    <row r="652" spans="1:2" x14ac:dyDescent="0.3">
      <c r="A652" s="14">
        <v>35.061857261149918</v>
      </c>
      <c r="B652" s="38">
        <v>7843</v>
      </c>
    </row>
    <row r="653" spans="1:2" x14ac:dyDescent="0.3">
      <c r="A653" s="14">
        <v>35.059597627617848</v>
      </c>
      <c r="B653" s="38">
        <v>4000</v>
      </c>
    </row>
    <row r="654" spans="1:2" x14ac:dyDescent="0.3">
      <c r="A654" s="14">
        <v>35.050604796198385</v>
      </c>
      <c r="B654" s="38">
        <v>4694</v>
      </c>
    </row>
    <row r="655" spans="1:2" x14ac:dyDescent="0.3">
      <c r="A655" s="14">
        <v>35.046292213264223</v>
      </c>
      <c r="B655" s="38">
        <v>2151</v>
      </c>
    </row>
    <row r="656" spans="1:2" x14ac:dyDescent="0.3">
      <c r="A656" s="14">
        <v>35.045683808994283</v>
      </c>
      <c r="B656" s="38">
        <v>2475</v>
      </c>
    </row>
    <row r="657" spans="1:2" x14ac:dyDescent="0.3">
      <c r="A657" s="14">
        <v>35.045539505158061</v>
      </c>
      <c r="B657" s="38">
        <v>1047</v>
      </c>
    </row>
    <row r="658" spans="1:2" x14ac:dyDescent="0.3">
      <c r="A658" s="14">
        <v>35.044832520150379</v>
      </c>
      <c r="B658" s="38">
        <v>2003</v>
      </c>
    </row>
    <row r="659" spans="1:2" x14ac:dyDescent="0.3">
      <c r="A659" s="14">
        <v>35.044197023715427</v>
      </c>
      <c r="B659" s="38">
        <v>2105</v>
      </c>
    </row>
    <row r="660" spans="1:2" x14ac:dyDescent="0.3">
      <c r="A660" s="14">
        <v>35.043785603408622</v>
      </c>
      <c r="B660" s="38">
        <v>2799</v>
      </c>
    </row>
    <row r="661" spans="1:2" x14ac:dyDescent="0.3">
      <c r="A661" s="14">
        <v>35.043305976705263</v>
      </c>
      <c r="B661" s="38">
        <v>2947</v>
      </c>
    </row>
    <row r="662" spans="1:2" x14ac:dyDescent="0.3">
      <c r="A662" s="14">
        <v>35.043169609251855</v>
      </c>
      <c r="B662" s="38">
        <v>2833</v>
      </c>
    </row>
    <row r="663" spans="1:2" x14ac:dyDescent="0.3">
      <c r="A663" s="14">
        <v>35.041563798028413</v>
      </c>
      <c r="B663" s="38">
        <v>3759</v>
      </c>
    </row>
    <row r="664" spans="1:2" x14ac:dyDescent="0.3">
      <c r="A664" s="14">
        <v>35.041498987088588</v>
      </c>
      <c r="B664" s="38">
        <v>2002</v>
      </c>
    </row>
    <row r="665" spans="1:2" x14ac:dyDescent="0.3">
      <c r="A665" s="14">
        <v>35.041288974681358</v>
      </c>
      <c r="B665" s="38">
        <v>3503</v>
      </c>
    </row>
    <row r="666" spans="1:2" x14ac:dyDescent="0.3">
      <c r="A666" s="14">
        <v>35.041177386347641</v>
      </c>
      <c r="B666" s="38">
        <v>3094</v>
      </c>
    </row>
    <row r="667" spans="1:2" x14ac:dyDescent="0.3">
      <c r="A667" s="14">
        <v>35.04098045898558</v>
      </c>
      <c r="B667" s="38">
        <v>2809</v>
      </c>
    </row>
    <row r="668" spans="1:2" x14ac:dyDescent="0.3">
      <c r="A668" s="14">
        <v>35.040912937510939</v>
      </c>
      <c r="B668" s="38">
        <v>3355</v>
      </c>
    </row>
    <row r="669" spans="1:2" x14ac:dyDescent="0.3">
      <c r="A669" s="14">
        <v>35.04067772128225</v>
      </c>
      <c r="B669" s="38">
        <v>2247</v>
      </c>
    </row>
    <row r="670" spans="1:2" x14ac:dyDescent="0.3">
      <c r="A670" s="14">
        <v>35.040462804545342</v>
      </c>
      <c r="B670" s="38">
        <v>2428</v>
      </c>
    </row>
    <row r="671" spans="1:2" x14ac:dyDescent="0.3">
      <c r="A671" s="14">
        <v>35.040340208767354</v>
      </c>
      <c r="B671" s="38">
        <v>2303</v>
      </c>
    </row>
    <row r="672" spans="1:2" x14ac:dyDescent="0.3">
      <c r="A672" s="14">
        <v>35.039946001829684</v>
      </c>
      <c r="B672" s="38">
        <v>2968</v>
      </c>
    </row>
    <row r="673" spans="1:2" x14ac:dyDescent="0.3">
      <c r="A673" s="14">
        <v>35.039570185568238</v>
      </c>
      <c r="B673" s="38">
        <v>2667</v>
      </c>
    </row>
    <row r="674" spans="1:2" x14ac:dyDescent="0.3">
      <c r="A674" s="14">
        <v>35.03954262384476</v>
      </c>
      <c r="B674" s="38">
        <v>3121</v>
      </c>
    </row>
    <row r="675" spans="1:2" x14ac:dyDescent="0.3">
      <c r="A675" s="14">
        <v>35.039287826264221</v>
      </c>
      <c r="B675" s="38">
        <v>4936</v>
      </c>
    </row>
    <row r="676" spans="1:2" x14ac:dyDescent="0.3">
      <c r="A676" s="14">
        <v>35.038753278376987</v>
      </c>
      <c r="B676" s="38">
        <v>4242</v>
      </c>
    </row>
    <row r="677" spans="1:2" x14ac:dyDescent="0.3">
      <c r="A677" s="14">
        <v>35.038732663116505</v>
      </c>
      <c r="B677" s="38">
        <v>4901</v>
      </c>
    </row>
    <row r="678" spans="1:2" x14ac:dyDescent="0.3">
      <c r="A678" s="14">
        <v>35.038693682959178</v>
      </c>
      <c r="B678" s="38">
        <v>2707</v>
      </c>
    </row>
    <row r="679" spans="1:2" x14ac:dyDescent="0.3">
      <c r="A679" s="14">
        <v>35.038688178037361</v>
      </c>
      <c r="B679" s="38">
        <v>3394</v>
      </c>
    </row>
    <row r="680" spans="1:2" x14ac:dyDescent="0.3">
      <c r="A680" s="14">
        <v>35.038132821822074</v>
      </c>
      <c r="B680" s="38">
        <v>1592</v>
      </c>
    </row>
    <row r="681" spans="1:2" x14ac:dyDescent="0.3">
      <c r="A681" s="14">
        <v>35.037833933202954</v>
      </c>
      <c r="B681" s="38">
        <v>2729</v>
      </c>
    </row>
    <row r="682" spans="1:2" x14ac:dyDescent="0.3">
      <c r="A682" s="14">
        <v>35.037435460147165</v>
      </c>
      <c r="B682" s="38">
        <v>5735</v>
      </c>
    </row>
    <row r="683" spans="1:2" x14ac:dyDescent="0.3">
      <c r="A683" s="14">
        <v>35.037431412322661</v>
      </c>
      <c r="B683" s="38">
        <v>4383</v>
      </c>
    </row>
    <row r="684" spans="1:2" x14ac:dyDescent="0.3">
      <c r="A684" s="14">
        <v>35.037408957771923</v>
      </c>
      <c r="B684" s="38">
        <v>3825</v>
      </c>
    </row>
    <row r="685" spans="1:2" x14ac:dyDescent="0.3">
      <c r="A685" s="14">
        <v>35.037367885963974</v>
      </c>
      <c r="B685" s="38">
        <v>2672</v>
      </c>
    </row>
    <row r="686" spans="1:2" x14ac:dyDescent="0.3">
      <c r="A686" s="14">
        <v>35.037323481185112</v>
      </c>
      <c r="B686" s="38">
        <v>1967</v>
      </c>
    </row>
    <row r="687" spans="1:2" x14ac:dyDescent="0.3">
      <c r="A687" s="14">
        <v>35.037025496919732</v>
      </c>
      <c r="B687" s="38">
        <v>2990</v>
      </c>
    </row>
    <row r="688" spans="1:2" x14ac:dyDescent="0.3">
      <c r="A688" s="14">
        <v>35.037009958599874</v>
      </c>
      <c r="B688" s="38">
        <v>2592</v>
      </c>
    </row>
    <row r="689" spans="1:2" x14ac:dyDescent="0.3">
      <c r="A689" s="14">
        <v>35.03676482973291</v>
      </c>
      <c r="B689" s="38">
        <v>2467</v>
      </c>
    </row>
    <row r="690" spans="1:2" x14ac:dyDescent="0.3">
      <c r="A690" s="14">
        <v>35.03600266989185</v>
      </c>
      <c r="B690" s="38">
        <v>3143</v>
      </c>
    </row>
    <row r="691" spans="1:2" x14ac:dyDescent="0.3">
      <c r="A691" s="14">
        <v>35.035732639490078</v>
      </c>
      <c r="B691" s="38">
        <v>4172</v>
      </c>
    </row>
    <row r="692" spans="1:2" x14ac:dyDescent="0.3">
      <c r="A692" s="14">
        <v>35.034924782373317</v>
      </c>
      <c r="B692" s="38">
        <v>5149</v>
      </c>
    </row>
    <row r="693" spans="1:2" x14ac:dyDescent="0.3">
      <c r="A693" s="14">
        <v>35.034805865216391</v>
      </c>
      <c r="B693" s="38">
        <v>2637</v>
      </c>
    </row>
    <row r="694" spans="1:2" x14ac:dyDescent="0.3">
      <c r="A694" s="14">
        <v>35.034656781384633</v>
      </c>
      <c r="B694" s="38">
        <v>2023</v>
      </c>
    </row>
    <row r="695" spans="1:2" x14ac:dyDescent="0.3">
      <c r="A695" s="14">
        <v>35.034616246550925</v>
      </c>
      <c r="B695" s="38">
        <v>5143</v>
      </c>
    </row>
    <row r="696" spans="1:2" x14ac:dyDescent="0.3">
      <c r="A696" s="14">
        <v>35.034600852317929</v>
      </c>
      <c r="B696" s="38">
        <v>3563</v>
      </c>
    </row>
    <row r="697" spans="1:2" x14ac:dyDescent="0.3">
      <c r="A697" s="14">
        <v>35.0343818850669</v>
      </c>
      <c r="B697" s="38">
        <v>3148</v>
      </c>
    </row>
    <row r="698" spans="1:2" x14ac:dyDescent="0.3">
      <c r="A698" s="14">
        <v>35.033929043690975</v>
      </c>
      <c r="B698" s="38">
        <v>3557</v>
      </c>
    </row>
    <row r="699" spans="1:2" x14ac:dyDescent="0.3">
      <c r="A699" s="14">
        <v>35.033852769047201</v>
      </c>
      <c r="B699" s="38">
        <v>3432</v>
      </c>
    </row>
    <row r="700" spans="1:2" x14ac:dyDescent="0.3">
      <c r="A700" s="14">
        <v>35.033835803173481</v>
      </c>
      <c r="B700" s="38">
        <v>2307</v>
      </c>
    </row>
    <row r="701" spans="1:2" x14ac:dyDescent="0.3">
      <c r="A701" s="14">
        <v>35.033345976497301</v>
      </c>
      <c r="B701" s="38">
        <v>2375</v>
      </c>
    </row>
    <row r="702" spans="1:2" x14ac:dyDescent="0.3">
      <c r="A702" s="14">
        <v>35.03323692012895</v>
      </c>
      <c r="B702" s="38">
        <v>2335</v>
      </c>
    </row>
    <row r="703" spans="1:2" x14ac:dyDescent="0.3">
      <c r="A703" s="14">
        <v>35.03319389215617</v>
      </c>
      <c r="B703" s="38">
        <v>3915</v>
      </c>
    </row>
    <row r="704" spans="1:2" x14ac:dyDescent="0.3">
      <c r="A704" s="14">
        <v>35.031644552425355</v>
      </c>
      <c r="B704" s="38">
        <v>2159</v>
      </c>
    </row>
    <row r="705" spans="1:2" x14ac:dyDescent="0.3">
      <c r="A705" s="14">
        <v>35.031517275794648</v>
      </c>
      <c r="B705" s="38">
        <v>2323</v>
      </c>
    </row>
    <row r="706" spans="1:2" x14ac:dyDescent="0.3">
      <c r="A706" s="14">
        <v>35.030240075045704</v>
      </c>
      <c r="B706" s="38">
        <v>1772</v>
      </c>
    </row>
    <row r="707" spans="1:2" x14ac:dyDescent="0.3">
      <c r="A707" s="14">
        <v>35.028352360761616</v>
      </c>
      <c r="B707" s="38">
        <v>1419</v>
      </c>
    </row>
    <row r="708" spans="1:2" x14ac:dyDescent="0.3">
      <c r="A708" s="14">
        <v>35.027974326826929</v>
      </c>
      <c r="B708" s="38">
        <v>1982</v>
      </c>
    </row>
    <row r="709" spans="1:2" x14ac:dyDescent="0.3">
      <c r="A709" s="14">
        <v>35.026956620284828</v>
      </c>
      <c r="B709" s="38">
        <v>1618</v>
      </c>
    </row>
    <row r="710" spans="1:2" x14ac:dyDescent="0.3">
      <c r="A710" s="14">
        <v>35.026572574722508</v>
      </c>
      <c r="B710" s="38">
        <v>1601</v>
      </c>
    </row>
    <row r="711" spans="1:2" x14ac:dyDescent="0.3">
      <c r="A711" s="14">
        <v>35.00269407983334</v>
      </c>
      <c r="B711" s="38">
        <v>4649</v>
      </c>
    </row>
    <row r="712" spans="1:2" x14ac:dyDescent="0.3">
      <c r="A712" s="14">
        <v>34.833390170592033</v>
      </c>
      <c r="B712" s="38">
        <v>2867</v>
      </c>
    </row>
    <row r="713" spans="1:2" x14ac:dyDescent="0.3">
      <c r="A713" s="14">
        <v>34.789754027856013</v>
      </c>
      <c r="B713" s="38">
        <v>3592</v>
      </c>
    </row>
    <row r="714" spans="1:2" x14ac:dyDescent="0.3">
      <c r="A714" s="14">
        <v>34.739232584508358</v>
      </c>
      <c r="B714" s="38">
        <v>3302</v>
      </c>
    </row>
    <row r="715" spans="1:2" x14ac:dyDescent="0.3">
      <c r="A715" s="14">
        <v>34.724778621968341</v>
      </c>
      <c r="B715" s="38">
        <v>3576</v>
      </c>
    </row>
    <row r="716" spans="1:2" x14ac:dyDescent="0.3">
      <c r="A716" s="14">
        <v>34.724568148754734</v>
      </c>
      <c r="B716" s="38">
        <v>8209</v>
      </c>
    </row>
    <row r="717" spans="1:2" x14ac:dyDescent="0.3">
      <c r="A717" s="14">
        <v>34.686765417846246</v>
      </c>
      <c r="B717" s="38">
        <v>3672</v>
      </c>
    </row>
    <row r="718" spans="1:2" x14ac:dyDescent="0.3">
      <c r="A718" s="14">
        <v>34.642303732210685</v>
      </c>
      <c r="B718" s="38">
        <v>8537</v>
      </c>
    </row>
    <row r="719" spans="1:2" x14ac:dyDescent="0.3">
      <c r="A719" s="14">
        <v>34.637432223195908</v>
      </c>
      <c r="B719" s="38">
        <v>6082</v>
      </c>
    </row>
    <row r="720" spans="1:2" x14ac:dyDescent="0.3">
      <c r="A720" s="14">
        <v>34.631618500720727</v>
      </c>
      <c r="B720" s="38">
        <v>3807</v>
      </c>
    </row>
    <row r="721" spans="1:2" x14ac:dyDescent="0.3">
      <c r="A721" s="14">
        <v>34.623441785899544</v>
      </c>
      <c r="B721" s="38">
        <v>7220</v>
      </c>
    </row>
    <row r="722" spans="1:2" x14ac:dyDescent="0.3">
      <c r="A722" s="14">
        <v>34.613827111092988</v>
      </c>
      <c r="B722" s="38">
        <v>3236</v>
      </c>
    </row>
    <row r="723" spans="1:2" x14ac:dyDescent="0.3">
      <c r="A723" s="14">
        <v>34.592451207292534</v>
      </c>
      <c r="B723" s="38">
        <v>3536</v>
      </c>
    </row>
    <row r="724" spans="1:2" x14ac:dyDescent="0.3">
      <c r="A724" s="14">
        <v>34.586438501441457</v>
      </c>
      <c r="B724" s="38">
        <v>6646</v>
      </c>
    </row>
    <row r="725" spans="1:2" x14ac:dyDescent="0.3">
      <c r="A725" s="14">
        <v>34.577922826387095</v>
      </c>
      <c r="B725" s="38">
        <v>3447</v>
      </c>
    </row>
    <row r="726" spans="1:2" x14ac:dyDescent="0.3">
      <c r="A726" s="14">
        <v>34.482124587342142</v>
      </c>
      <c r="B726" s="38">
        <v>3958</v>
      </c>
    </row>
    <row r="727" spans="1:2" x14ac:dyDescent="0.3">
      <c r="A727" s="14">
        <v>34.419474012699972</v>
      </c>
      <c r="B727" s="38">
        <v>3576</v>
      </c>
    </row>
    <row r="728" spans="1:2" x14ac:dyDescent="0.3">
      <c r="A728" s="14">
        <v>34.393436508648222</v>
      </c>
      <c r="B728" s="38">
        <v>4838</v>
      </c>
    </row>
    <row r="729" spans="1:2" x14ac:dyDescent="0.3">
      <c r="A729" s="14">
        <v>34.352927615367278</v>
      </c>
      <c r="B729" s="38">
        <v>6320</v>
      </c>
    </row>
    <row r="730" spans="1:2" x14ac:dyDescent="0.3">
      <c r="A730" s="14">
        <v>34.342443782003613</v>
      </c>
      <c r="B730" s="38">
        <v>5759</v>
      </c>
    </row>
    <row r="731" spans="1:2" x14ac:dyDescent="0.3">
      <c r="A731" s="14">
        <v>34.337132605434221</v>
      </c>
      <c r="B731" s="38">
        <v>7542</v>
      </c>
    </row>
    <row r="732" spans="1:2" x14ac:dyDescent="0.3">
      <c r="A732" s="14">
        <v>34.320793138695571</v>
      </c>
      <c r="B732" s="38">
        <v>10896</v>
      </c>
    </row>
    <row r="733" spans="1:2" x14ac:dyDescent="0.3">
      <c r="A733" s="14">
        <v>34.319034422833617</v>
      </c>
      <c r="B733" s="38">
        <v>7392</v>
      </c>
    </row>
    <row r="734" spans="1:2" x14ac:dyDescent="0.3">
      <c r="A734" s="14">
        <v>34.316584269086498</v>
      </c>
      <c r="B734" s="38">
        <v>4800</v>
      </c>
    </row>
    <row r="735" spans="1:2" x14ac:dyDescent="0.3">
      <c r="A735" s="14">
        <v>34.305694015687045</v>
      </c>
      <c r="B735" s="38">
        <v>5089</v>
      </c>
    </row>
    <row r="736" spans="1:2" x14ac:dyDescent="0.3">
      <c r="A736" s="14">
        <v>34.295113845946979</v>
      </c>
      <c r="B736" s="38">
        <v>11590</v>
      </c>
    </row>
    <row r="737" spans="1:2" x14ac:dyDescent="0.3">
      <c r="A737" s="14">
        <v>34.28767293949646</v>
      </c>
      <c r="B737" s="38">
        <v>11726</v>
      </c>
    </row>
    <row r="738" spans="1:2" x14ac:dyDescent="0.3">
      <c r="A738" s="14">
        <v>34.285760331222704</v>
      </c>
      <c r="B738" s="38">
        <v>9501</v>
      </c>
    </row>
    <row r="739" spans="1:2" x14ac:dyDescent="0.3">
      <c r="A739" s="14">
        <v>34.285720484624029</v>
      </c>
      <c r="B739" s="38">
        <v>4282</v>
      </c>
    </row>
    <row r="740" spans="1:2" x14ac:dyDescent="0.3">
      <c r="A740" s="14">
        <v>34.285694046917484</v>
      </c>
      <c r="B740" s="38">
        <v>5558</v>
      </c>
    </row>
    <row r="741" spans="1:2" x14ac:dyDescent="0.3">
      <c r="A741" s="14">
        <v>34.28236551290555</v>
      </c>
      <c r="B741" s="38">
        <v>8035</v>
      </c>
    </row>
    <row r="742" spans="1:2" x14ac:dyDescent="0.3">
      <c r="A742" s="14">
        <v>34.276935091071429</v>
      </c>
      <c r="B742" s="38">
        <v>10840</v>
      </c>
    </row>
    <row r="743" spans="1:2" x14ac:dyDescent="0.3">
      <c r="A743" s="14">
        <v>34.276929790596462</v>
      </c>
      <c r="B743" s="38">
        <v>4351</v>
      </c>
    </row>
    <row r="744" spans="1:2" x14ac:dyDescent="0.3">
      <c r="A744" s="14">
        <v>34.273819401365081</v>
      </c>
      <c r="B744" s="38">
        <v>6278</v>
      </c>
    </row>
    <row r="745" spans="1:2" x14ac:dyDescent="0.3">
      <c r="A745" s="14">
        <v>34.270938818136848</v>
      </c>
      <c r="B745" s="38">
        <v>10761</v>
      </c>
    </row>
    <row r="746" spans="1:2" x14ac:dyDescent="0.3">
      <c r="A746" s="14">
        <v>34.270277136665143</v>
      </c>
      <c r="B746" s="38">
        <v>10624</v>
      </c>
    </row>
    <row r="747" spans="1:2" x14ac:dyDescent="0.3">
      <c r="A747" s="14">
        <v>34.268141830607092</v>
      </c>
      <c r="B747" s="38">
        <v>8577</v>
      </c>
    </row>
    <row r="748" spans="1:2" x14ac:dyDescent="0.3">
      <c r="A748" s="14">
        <v>34.267665023110325</v>
      </c>
      <c r="B748" s="38">
        <v>8116</v>
      </c>
    </row>
    <row r="749" spans="1:2" x14ac:dyDescent="0.3">
      <c r="A749" s="14">
        <v>34.26694614030373</v>
      </c>
      <c r="B749" s="38">
        <v>6675</v>
      </c>
    </row>
    <row r="750" spans="1:2" x14ac:dyDescent="0.3">
      <c r="A750" s="14">
        <v>34.264707125607181</v>
      </c>
      <c r="B750" s="38">
        <v>7771</v>
      </c>
    </row>
    <row r="751" spans="1:2" x14ac:dyDescent="0.3">
      <c r="A751" s="14">
        <v>34.263305702705892</v>
      </c>
      <c r="B751" s="38">
        <v>9936</v>
      </c>
    </row>
    <row r="752" spans="1:2" x14ac:dyDescent="0.3">
      <c r="A752" s="14">
        <v>34.262836745525611</v>
      </c>
      <c r="B752" s="38">
        <v>6138</v>
      </c>
    </row>
    <row r="753" spans="1:2" x14ac:dyDescent="0.3">
      <c r="A753" s="14">
        <v>34.26208045529976</v>
      </c>
      <c r="B753" s="38">
        <v>2677</v>
      </c>
    </row>
    <row r="754" spans="1:2" x14ac:dyDescent="0.3">
      <c r="A754" s="14">
        <v>34.257849590064879</v>
      </c>
      <c r="B754" s="38">
        <v>5185</v>
      </c>
    </row>
    <row r="755" spans="1:2" x14ac:dyDescent="0.3">
      <c r="A755" s="14">
        <v>34.253021344706106</v>
      </c>
      <c r="B755" s="38">
        <v>7712</v>
      </c>
    </row>
    <row r="756" spans="1:2" x14ac:dyDescent="0.3">
      <c r="A756" s="14">
        <v>34.251580321887843</v>
      </c>
      <c r="B756" s="38">
        <v>6087</v>
      </c>
    </row>
    <row r="757" spans="1:2" x14ac:dyDescent="0.3">
      <c r="A757" s="14">
        <v>34.250199426400577</v>
      </c>
      <c r="B757" s="38">
        <v>6541</v>
      </c>
    </row>
    <row r="758" spans="1:2" x14ac:dyDescent="0.3">
      <c r="A758" s="14">
        <v>34.248000135827994</v>
      </c>
      <c r="B758" s="38">
        <v>9012</v>
      </c>
    </row>
    <row r="759" spans="1:2" x14ac:dyDescent="0.3">
      <c r="A759" s="14">
        <v>34.24662114796341</v>
      </c>
      <c r="B759" s="38">
        <v>6007</v>
      </c>
    </row>
    <row r="760" spans="1:2" x14ac:dyDescent="0.3">
      <c r="A760" s="14">
        <v>34.24531013971442</v>
      </c>
      <c r="B760" s="38">
        <v>5992</v>
      </c>
    </row>
    <row r="761" spans="1:2" x14ac:dyDescent="0.3">
      <c r="A761" s="14">
        <v>34.245244651384979</v>
      </c>
      <c r="B761" s="38">
        <v>8120</v>
      </c>
    </row>
    <row r="762" spans="1:2" x14ac:dyDescent="0.3">
      <c r="A762" s="14">
        <v>34.24003867162812</v>
      </c>
      <c r="B762" s="38">
        <v>10643</v>
      </c>
    </row>
    <row r="763" spans="1:2" x14ac:dyDescent="0.3">
      <c r="A763" s="14">
        <v>34.238660304976072</v>
      </c>
      <c r="B763" s="38">
        <v>5959</v>
      </c>
    </row>
    <row r="764" spans="1:2" x14ac:dyDescent="0.3">
      <c r="A764" s="14">
        <v>34.23151191879716</v>
      </c>
      <c r="B764" s="38">
        <v>9210</v>
      </c>
    </row>
    <row r="765" spans="1:2" x14ac:dyDescent="0.3">
      <c r="A765" s="14">
        <v>34.230969717604275</v>
      </c>
      <c r="B765" s="38">
        <v>5048</v>
      </c>
    </row>
    <row r="766" spans="1:2" x14ac:dyDescent="0.3">
      <c r="A766" s="14">
        <v>34.230207251188347</v>
      </c>
      <c r="B766" s="38">
        <v>6265</v>
      </c>
    </row>
    <row r="767" spans="1:2" x14ac:dyDescent="0.3">
      <c r="A767" s="14">
        <v>34.228494385307449</v>
      </c>
      <c r="B767" s="38">
        <v>10102</v>
      </c>
    </row>
    <row r="768" spans="1:2" x14ac:dyDescent="0.3">
      <c r="A768" s="14">
        <v>34.226943752205187</v>
      </c>
      <c r="B768" s="38">
        <v>6360</v>
      </c>
    </row>
    <row r="769" spans="1:2" x14ac:dyDescent="0.3">
      <c r="A769" s="14">
        <v>34.226828607040062</v>
      </c>
      <c r="B769" s="38">
        <v>3854</v>
      </c>
    </row>
    <row r="770" spans="1:2" x14ac:dyDescent="0.3">
      <c r="A770" s="14">
        <v>34.223622675733822</v>
      </c>
      <c r="B770" s="38">
        <v>5228</v>
      </c>
    </row>
    <row r="771" spans="1:2" x14ac:dyDescent="0.3">
      <c r="A771" s="14">
        <v>34.218697218210067</v>
      </c>
      <c r="B771" s="38">
        <v>7520</v>
      </c>
    </row>
    <row r="772" spans="1:2" x14ac:dyDescent="0.3">
      <c r="A772" s="14">
        <v>34.213885676766552</v>
      </c>
      <c r="B772" s="38">
        <v>16276</v>
      </c>
    </row>
    <row r="773" spans="1:2" x14ac:dyDescent="0.3">
      <c r="A773" s="14">
        <v>34.213514563064606</v>
      </c>
      <c r="B773" s="38">
        <v>11330</v>
      </c>
    </row>
    <row r="774" spans="1:2" x14ac:dyDescent="0.3">
      <c r="A774" s="14">
        <v>34.210447997025604</v>
      </c>
      <c r="B774" s="38">
        <v>9721</v>
      </c>
    </row>
    <row r="775" spans="1:2" x14ac:dyDescent="0.3">
      <c r="A775" s="14">
        <v>34.209006689437651</v>
      </c>
      <c r="B775" s="38">
        <v>7938</v>
      </c>
    </row>
    <row r="776" spans="1:2" x14ac:dyDescent="0.3">
      <c r="A776" s="14">
        <v>34.207229347202095</v>
      </c>
      <c r="B776" s="38">
        <v>5723</v>
      </c>
    </row>
    <row r="777" spans="1:2" x14ac:dyDescent="0.3">
      <c r="A777" s="14">
        <v>34.204241023072044</v>
      </c>
      <c r="B777" s="38">
        <v>5913</v>
      </c>
    </row>
    <row r="778" spans="1:2" x14ac:dyDescent="0.3">
      <c r="A778" s="14">
        <v>34.202774008078443</v>
      </c>
      <c r="B778" s="38">
        <v>4791</v>
      </c>
    </row>
    <row r="779" spans="1:2" x14ac:dyDescent="0.3">
      <c r="A779" s="14">
        <v>34.202610861149125</v>
      </c>
      <c r="B779" s="38">
        <v>13484</v>
      </c>
    </row>
    <row r="780" spans="1:2" x14ac:dyDescent="0.3">
      <c r="A780" s="14">
        <v>34.198208546522743</v>
      </c>
      <c r="B780" s="38">
        <v>13321</v>
      </c>
    </row>
    <row r="781" spans="1:2" x14ac:dyDescent="0.3">
      <c r="A781" s="14">
        <v>34.197955264302088</v>
      </c>
      <c r="B781" s="38">
        <v>7806</v>
      </c>
    </row>
    <row r="782" spans="1:2" x14ac:dyDescent="0.3">
      <c r="A782" s="14">
        <v>34.197137740927111</v>
      </c>
      <c r="B782" s="38">
        <v>10830</v>
      </c>
    </row>
    <row r="783" spans="1:2" x14ac:dyDescent="0.3">
      <c r="A783" s="14">
        <v>34.194762586351573</v>
      </c>
      <c r="B783" s="38">
        <v>10269</v>
      </c>
    </row>
    <row r="784" spans="1:2" x14ac:dyDescent="0.3">
      <c r="A784" s="14">
        <v>34.191783752507909</v>
      </c>
      <c r="B784" s="38">
        <v>4765</v>
      </c>
    </row>
    <row r="785" spans="1:2" x14ac:dyDescent="0.3">
      <c r="A785" s="14">
        <v>34.190397869741716</v>
      </c>
      <c r="B785" s="38">
        <v>8364</v>
      </c>
    </row>
    <row r="786" spans="1:2" x14ac:dyDescent="0.3">
      <c r="A786" s="14">
        <v>34.187825193443281</v>
      </c>
      <c r="B786" s="38">
        <v>4519</v>
      </c>
    </row>
    <row r="787" spans="1:2" x14ac:dyDescent="0.3">
      <c r="A787" s="14">
        <v>34.183776457491199</v>
      </c>
      <c r="B787" s="38">
        <v>11257</v>
      </c>
    </row>
    <row r="788" spans="1:2" x14ac:dyDescent="0.3">
      <c r="A788" s="14">
        <v>34.181679325655701</v>
      </c>
      <c r="B788" s="38">
        <v>3666</v>
      </c>
    </row>
    <row r="789" spans="1:2" x14ac:dyDescent="0.3">
      <c r="A789" s="14">
        <v>34.177429646531586</v>
      </c>
      <c r="B789" s="38">
        <v>9973</v>
      </c>
    </row>
    <row r="790" spans="1:2" x14ac:dyDescent="0.3">
      <c r="A790" s="14">
        <v>34.177338631295846</v>
      </c>
      <c r="B790" s="38">
        <v>2117</v>
      </c>
    </row>
    <row r="791" spans="1:2" x14ac:dyDescent="0.3">
      <c r="A791" s="14">
        <v>34.176828123754532</v>
      </c>
      <c r="B791" s="38">
        <v>7155</v>
      </c>
    </row>
    <row r="792" spans="1:2" x14ac:dyDescent="0.3">
      <c r="A792" s="14">
        <v>34.176148690664292</v>
      </c>
      <c r="B792" s="38">
        <v>1872</v>
      </c>
    </row>
    <row r="793" spans="1:2" x14ac:dyDescent="0.3">
      <c r="A793" s="14">
        <v>34.1750977215276</v>
      </c>
      <c r="B793" s="38">
        <v>10800</v>
      </c>
    </row>
    <row r="794" spans="1:2" x14ac:dyDescent="0.3">
      <c r="A794" s="14">
        <v>34.173405213411243</v>
      </c>
      <c r="B794" s="38">
        <v>1974</v>
      </c>
    </row>
    <row r="795" spans="1:2" x14ac:dyDescent="0.3">
      <c r="A795" s="14">
        <v>34.173400183895211</v>
      </c>
      <c r="B795" s="38">
        <v>2310</v>
      </c>
    </row>
    <row r="796" spans="1:2" x14ac:dyDescent="0.3">
      <c r="A796" s="14">
        <v>34.170956163177863</v>
      </c>
      <c r="B796" s="38">
        <v>4544</v>
      </c>
    </row>
    <row r="797" spans="1:2" x14ac:dyDescent="0.3">
      <c r="A797" s="14">
        <v>34.168507113044697</v>
      </c>
      <c r="B797" s="38">
        <v>3423</v>
      </c>
    </row>
    <row r="798" spans="1:2" x14ac:dyDescent="0.3">
      <c r="A798" s="14">
        <v>34.168365295497182</v>
      </c>
      <c r="B798" s="38">
        <v>1627</v>
      </c>
    </row>
    <row r="799" spans="1:2" x14ac:dyDescent="0.3">
      <c r="A799" s="14">
        <v>34.167214268072307</v>
      </c>
      <c r="B799" s="38">
        <v>4030</v>
      </c>
    </row>
    <row r="800" spans="1:2" x14ac:dyDescent="0.3">
      <c r="A800" s="14">
        <v>34.166741278752106</v>
      </c>
      <c r="B800" s="38">
        <v>3320</v>
      </c>
    </row>
    <row r="801" spans="1:2" x14ac:dyDescent="0.3">
      <c r="A801" s="14">
        <v>34.166674625668435</v>
      </c>
      <c r="B801" s="38">
        <v>4191</v>
      </c>
    </row>
    <row r="802" spans="1:2" x14ac:dyDescent="0.3">
      <c r="A802" s="14">
        <v>34.166468519354687</v>
      </c>
      <c r="B802" s="38">
        <v>4672</v>
      </c>
    </row>
    <row r="803" spans="1:2" x14ac:dyDescent="0.3">
      <c r="A803" s="14">
        <v>34.165381661072843</v>
      </c>
      <c r="B803" s="38">
        <v>2426</v>
      </c>
    </row>
    <row r="804" spans="1:2" x14ac:dyDescent="0.3">
      <c r="A804" s="14">
        <v>34.165100059827587</v>
      </c>
      <c r="B804" s="38">
        <v>1892</v>
      </c>
    </row>
    <row r="805" spans="1:2" x14ac:dyDescent="0.3">
      <c r="A805" s="14">
        <v>34.164616983637366</v>
      </c>
      <c r="B805" s="38">
        <v>5304</v>
      </c>
    </row>
    <row r="806" spans="1:2" x14ac:dyDescent="0.3">
      <c r="A806" s="14">
        <v>34.164297133341378</v>
      </c>
      <c r="B806" s="38">
        <v>10393</v>
      </c>
    </row>
    <row r="807" spans="1:2" x14ac:dyDescent="0.3">
      <c r="A807" s="14">
        <v>34.162943001544079</v>
      </c>
      <c r="B807" s="38">
        <v>3809</v>
      </c>
    </row>
    <row r="808" spans="1:2" x14ac:dyDescent="0.3">
      <c r="A808" s="14">
        <v>34.162735409731276</v>
      </c>
      <c r="B808" s="38">
        <v>4074</v>
      </c>
    </row>
    <row r="809" spans="1:2" x14ac:dyDescent="0.3">
      <c r="A809" s="14">
        <v>34.162422021783698</v>
      </c>
      <c r="B809" s="38">
        <v>11363</v>
      </c>
    </row>
    <row r="810" spans="1:2" x14ac:dyDescent="0.3">
      <c r="A810" s="14">
        <v>34.160776379831631</v>
      </c>
      <c r="B810" s="38">
        <v>5583</v>
      </c>
    </row>
    <row r="811" spans="1:2" x14ac:dyDescent="0.3">
      <c r="A811" s="14">
        <v>34.160189153069588</v>
      </c>
      <c r="B811" s="38">
        <v>10388</v>
      </c>
    </row>
    <row r="812" spans="1:2" x14ac:dyDescent="0.3">
      <c r="A812" s="14">
        <v>34.160160103278088</v>
      </c>
      <c r="B812" s="38">
        <v>6119</v>
      </c>
    </row>
    <row r="813" spans="1:2" x14ac:dyDescent="0.3">
      <c r="A813" s="14">
        <v>34.159196375711993</v>
      </c>
      <c r="B813" s="38">
        <v>12317</v>
      </c>
    </row>
    <row r="814" spans="1:2" x14ac:dyDescent="0.3">
      <c r="A814" s="14">
        <v>34.158016242624491</v>
      </c>
      <c r="B814" s="38">
        <v>6918</v>
      </c>
    </row>
    <row r="815" spans="1:2" x14ac:dyDescent="0.3">
      <c r="A815" s="14">
        <v>34.157116370182358</v>
      </c>
      <c r="B815" s="38">
        <v>1476</v>
      </c>
    </row>
    <row r="816" spans="1:2" x14ac:dyDescent="0.3">
      <c r="A816" s="14">
        <v>34.14848344894714</v>
      </c>
      <c r="B816" s="38">
        <v>6968</v>
      </c>
    </row>
    <row r="817" spans="1:2" x14ac:dyDescent="0.3">
      <c r="A817" s="14">
        <v>34.146592344322627</v>
      </c>
      <c r="B817" s="38">
        <v>4914</v>
      </c>
    </row>
    <row r="818" spans="1:2" x14ac:dyDescent="0.3">
      <c r="A818" s="14">
        <v>34.145481523862919</v>
      </c>
      <c r="B818" s="38">
        <v>4507</v>
      </c>
    </row>
    <row r="819" spans="1:2" x14ac:dyDescent="0.3">
      <c r="A819" s="14">
        <v>34.143983080966422</v>
      </c>
      <c r="B819" s="38">
        <v>2176</v>
      </c>
    </row>
    <row r="820" spans="1:2" x14ac:dyDescent="0.3">
      <c r="A820" s="14">
        <v>34.140134015484833</v>
      </c>
      <c r="B820" s="38">
        <v>5453</v>
      </c>
    </row>
    <row r="821" spans="1:2" x14ac:dyDescent="0.3">
      <c r="A821" s="14">
        <v>34.13978939797417</v>
      </c>
      <c r="B821" s="38">
        <v>8211</v>
      </c>
    </row>
    <row r="822" spans="1:2" x14ac:dyDescent="0.3">
      <c r="A822" s="14">
        <v>34.139135319279156</v>
      </c>
      <c r="B822" s="38">
        <v>3924</v>
      </c>
    </row>
    <row r="823" spans="1:2" x14ac:dyDescent="0.3">
      <c r="A823" s="14">
        <v>34.138898680883443</v>
      </c>
      <c r="B823" s="38">
        <v>8298</v>
      </c>
    </row>
    <row r="824" spans="1:2" x14ac:dyDescent="0.3">
      <c r="A824" s="14">
        <v>34.138270186084561</v>
      </c>
      <c r="B824" s="38">
        <v>9183</v>
      </c>
    </row>
    <row r="825" spans="1:2" x14ac:dyDescent="0.3">
      <c r="A825" s="14">
        <v>34.138261014109176</v>
      </c>
      <c r="B825" s="38">
        <v>3968</v>
      </c>
    </row>
    <row r="826" spans="1:2" x14ac:dyDescent="0.3">
      <c r="A826" s="14">
        <v>34.135801929172793</v>
      </c>
      <c r="B826" s="38">
        <v>9182</v>
      </c>
    </row>
    <row r="827" spans="1:2" x14ac:dyDescent="0.3">
      <c r="A827" s="14">
        <v>34.132732502622275</v>
      </c>
      <c r="B827" s="38">
        <v>6685</v>
      </c>
    </row>
    <row r="828" spans="1:2" x14ac:dyDescent="0.3">
      <c r="A828" s="14">
        <v>34.128791323703773</v>
      </c>
      <c r="B828" s="38">
        <v>8717</v>
      </c>
    </row>
    <row r="829" spans="1:2" x14ac:dyDescent="0.3">
      <c r="A829" s="14">
        <v>34.128329088498774</v>
      </c>
      <c r="B829" s="38">
        <v>4393</v>
      </c>
    </row>
    <row r="830" spans="1:2" x14ac:dyDescent="0.3">
      <c r="A830" s="14">
        <v>34.128173454333727</v>
      </c>
      <c r="B830" s="38">
        <v>2796</v>
      </c>
    </row>
    <row r="831" spans="1:2" x14ac:dyDescent="0.3">
      <c r="A831" s="14">
        <v>34.126085769937227</v>
      </c>
      <c r="B831" s="38">
        <v>3159</v>
      </c>
    </row>
    <row r="832" spans="1:2" x14ac:dyDescent="0.3">
      <c r="A832" s="14">
        <v>34.120517626362137</v>
      </c>
      <c r="B832" s="38">
        <v>2443</v>
      </c>
    </row>
    <row r="833" spans="1:2" x14ac:dyDescent="0.3">
      <c r="A833" s="14">
        <v>34.110221499102515</v>
      </c>
      <c r="B833" s="38">
        <v>2348</v>
      </c>
    </row>
    <row r="834" spans="1:2" x14ac:dyDescent="0.3">
      <c r="A834" s="14">
        <v>34.110189051254409</v>
      </c>
      <c r="B834" s="38">
        <v>4297</v>
      </c>
    </row>
    <row r="835" spans="1:2" x14ac:dyDescent="0.3">
      <c r="A835" s="14">
        <v>34.109740161076353</v>
      </c>
      <c r="B835" s="38">
        <v>4246</v>
      </c>
    </row>
    <row r="836" spans="1:2" x14ac:dyDescent="0.3">
      <c r="A836" s="14">
        <v>34.108726212586966</v>
      </c>
      <c r="B836" s="38">
        <v>7372</v>
      </c>
    </row>
    <row r="837" spans="1:2" x14ac:dyDescent="0.3">
      <c r="A837" s="14">
        <v>34.103772530641464</v>
      </c>
      <c r="B837" s="38">
        <v>9908</v>
      </c>
    </row>
    <row r="838" spans="1:2" x14ac:dyDescent="0.3">
      <c r="A838" s="14">
        <v>34.100081267781597</v>
      </c>
      <c r="B838" s="38">
        <v>3369</v>
      </c>
    </row>
    <row r="839" spans="1:2" x14ac:dyDescent="0.3">
      <c r="A839" s="14">
        <v>34.087192678609775</v>
      </c>
      <c r="B839" s="38">
        <v>2638</v>
      </c>
    </row>
    <row r="840" spans="1:2" x14ac:dyDescent="0.3">
      <c r="A840" s="14">
        <v>34.084665481376085</v>
      </c>
      <c r="B840" s="38">
        <v>2491</v>
      </c>
    </row>
    <row r="841" spans="1:2" x14ac:dyDescent="0.3">
      <c r="A841" s="14">
        <v>34.083834364132905</v>
      </c>
      <c r="B841" s="38">
        <v>2903</v>
      </c>
    </row>
    <row r="842" spans="1:2" x14ac:dyDescent="0.3">
      <c r="A842" s="14">
        <v>34.073002280109577</v>
      </c>
      <c r="B842" s="38">
        <v>3822</v>
      </c>
    </row>
    <row r="843" spans="1:2" x14ac:dyDescent="0.3">
      <c r="A843" s="14">
        <v>34.058997403423781</v>
      </c>
      <c r="B843" s="38">
        <v>2990</v>
      </c>
    </row>
    <row r="844" spans="1:2" x14ac:dyDescent="0.3">
      <c r="A844" s="14">
        <v>34.056799027350102</v>
      </c>
      <c r="B844" s="38">
        <v>6647</v>
      </c>
    </row>
    <row r="845" spans="1:2" x14ac:dyDescent="0.3">
      <c r="A845" s="14">
        <v>34.026014050557265</v>
      </c>
      <c r="B845" s="38">
        <v>3997</v>
      </c>
    </row>
    <row r="846" spans="1:2" x14ac:dyDescent="0.3">
      <c r="A846" s="14">
        <v>34.015410664224589</v>
      </c>
      <c r="B846" s="38">
        <v>4575</v>
      </c>
    </row>
    <row r="847" spans="1:2" x14ac:dyDescent="0.3">
      <c r="A847" s="14">
        <v>33.976922127842862</v>
      </c>
      <c r="B847" s="38">
        <v>10518</v>
      </c>
    </row>
    <row r="848" spans="1:2" x14ac:dyDescent="0.3">
      <c r="A848" s="14">
        <v>33.969836324758148</v>
      </c>
      <c r="B848" s="38">
        <v>8130</v>
      </c>
    </row>
    <row r="849" spans="1:2" x14ac:dyDescent="0.3">
      <c r="A849" s="14">
        <v>33.927138142536855</v>
      </c>
      <c r="B849" s="38">
        <v>3549</v>
      </c>
    </row>
    <row r="850" spans="1:2" x14ac:dyDescent="0.3">
      <c r="A850" s="14">
        <v>33.923886608039339</v>
      </c>
      <c r="B850" s="38">
        <v>1704</v>
      </c>
    </row>
    <row r="851" spans="1:2" x14ac:dyDescent="0.3">
      <c r="A851" s="14">
        <v>33.789534212848089</v>
      </c>
      <c r="B851" s="38">
        <v>3028</v>
      </c>
    </row>
    <row r="852" spans="1:2" x14ac:dyDescent="0.3">
      <c r="A852" s="14">
        <v>33.754778397035892</v>
      </c>
      <c r="B852" s="38">
        <v>3421</v>
      </c>
    </row>
    <row r="853" spans="1:2" x14ac:dyDescent="0.3">
      <c r="A853" s="14">
        <v>33.715026710287866</v>
      </c>
      <c r="B853" s="38">
        <v>3543</v>
      </c>
    </row>
    <row r="854" spans="1:2" x14ac:dyDescent="0.3">
      <c r="A854" s="14">
        <v>33.610084425144812</v>
      </c>
      <c r="B854" s="38">
        <v>4015</v>
      </c>
    </row>
    <row r="855" spans="1:2" x14ac:dyDescent="0.3">
      <c r="A855" s="14">
        <v>33.606109306133582</v>
      </c>
      <c r="B855" s="38">
        <v>3725</v>
      </c>
    </row>
    <row r="856" spans="1:2" x14ac:dyDescent="0.3">
      <c r="A856" s="14">
        <v>33.586021916520799</v>
      </c>
      <c r="B856" s="38">
        <v>9273</v>
      </c>
    </row>
    <row r="857" spans="1:2" x14ac:dyDescent="0.3">
      <c r="A857" s="14">
        <v>33.478072363913419</v>
      </c>
      <c r="B857" s="38">
        <v>11758</v>
      </c>
    </row>
    <row r="858" spans="1:2" x14ac:dyDescent="0.3">
      <c r="A858" s="14">
        <v>33.461942957891701</v>
      </c>
      <c r="B858" s="38">
        <v>4133</v>
      </c>
    </row>
    <row r="859" spans="1:2" x14ac:dyDescent="0.3">
      <c r="A859" s="14">
        <v>33.454506761979978</v>
      </c>
      <c r="B859" s="38">
        <v>6098</v>
      </c>
    </row>
    <row r="860" spans="1:2" x14ac:dyDescent="0.3">
      <c r="A860" s="14">
        <v>33.444061282595612</v>
      </c>
      <c r="B860" s="38">
        <v>11900</v>
      </c>
    </row>
    <row r="861" spans="1:2" x14ac:dyDescent="0.3">
      <c r="A861" s="14">
        <v>33.443107778059478</v>
      </c>
      <c r="B861" s="38">
        <v>13793</v>
      </c>
    </row>
    <row r="862" spans="1:2" x14ac:dyDescent="0.3">
      <c r="A862" s="14">
        <v>33.42734505609419</v>
      </c>
      <c r="B862" s="38">
        <v>7139</v>
      </c>
    </row>
    <row r="863" spans="1:2" x14ac:dyDescent="0.3">
      <c r="A863" s="14">
        <v>33.425910642018607</v>
      </c>
      <c r="B863" s="38">
        <v>6525</v>
      </c>
    </row>
    <row r="864" spans="1:2" x14ac:dyDescent="0.3">
      <c r="A864" s="14">
        <v>33.419388750721055</v>
      </c>
      <c r="B864" s="38">
        <v>11667</v>
      </c>
    </row>
    <row r="865" spans="1:2" x14ac:dyDescent="0.3">
      <c r="A865" s="14">
        <v>33.415094235594928</v>
      </c>
      <c r="B865" s="38">
        <v>4776</v>
      </c>
    </row>
    <row r="866" spans="1:2" x14ac:dyDescent="0.3">
      <c r="A866" s="14">
        <v>33.412646250048567</v>
      </c>
      <c r="B866" s="38">
        <v>7593</v>
      </c>
    </row>
    <row r="867" spans="1:2" x14ac:dyDescent="0.3">
      <c r="A867" s="14">
        <v>33.405220166374939</v>
      </c>
      <c r="B867" s="38">
        <v>15345</v>
      </c>
    </row>
    <row r="868" spans="1:2" x14ac:dyDescent="0.3">
      <c r="A868" s="14">
        <v>33.400891594304895</v>
      </c>
      <c r="B868" s="38">
        <v>4492</v>
      </c>
    </row>
    <row r="869" spans="1:2" x14ac:dyDescent="0.3">
      <c r="A869" s="14">
        <v>33.400197351663557</v>
      </c>
      <c r="B869" s="38">
        <v>13609</v>
      </c>
    </row>
    <row r="870" spans="1:2" x14ac:dyDescent="0.3">
      <c r="A870" s="14">
        <v>33.397049472838177</v>
      </c>
      <c r="B870" s="38">
        <v>6007</v>
      </c>
    </row>
    <row r="871" spans="1:2" x14ac:dyDescent="0.3">
      <c r="A871" s="14">
        <v>33.396372550863504</v>
      </c>
      <c r="B871" s="38">
        <v>6636</v>
      </c>
    </row>
    <row r="872" spans="1:2" x14ac:dyDescent="0.3">
      <c r="A872" s="14">
        <v>33.39502961777147</v>
      </c>
      <c r="B872" s="38">
        <v>13508</v>
      </c>
    </row>
    <row r="873" spans="1:2" x14ac:dyDescent="0.3">
      <c r="A873" s="14">
        <v>33.394461566351225</v>
      </c>
      <c r="B873" s="38">
        <v>14344</v>
      </c>
    </row>
    <row r="874" spans="1:2" x14ac:dyDescent="0.3">
      <c r="A874" s="14">
        <v>33.392442836671677</v>
      </c>
      <c r="B874" s="38">
        <v>8431</v>
      </c>
    </row>
    <row r="875" spans="1:2" x14ac:dyDescent="0.3">
      <c r="A875" s="14">
        <v>33.392041059384162</v>
      </c>
      <c r="B875" s="38">
        <v>4305</v>
      </c>
    </row>
    <row r="876" spans="1:2" x14ac:dyDescent="0.3">
      <c r="A876" s="14">
        <v>33.390424928662398</v>
      </c>
      <c r="B876" s="38">
        <v>11257</v>
      </c>
    </row>
    <row r="877" spans="1:2" x14ac:dyDescent="0.3">
      <c r="A877" s="14">
        <v>33.389573218434208</v>
      </c>
      <c r="B877" s="38">
        <v>10153</v>
      </c>
    </row>
    <row r="878" spans="1:2" x14ac:dyDescent="0.3">
      <c r="A878" s="14">
        <v>33.385026422556976</v>
      </c>
      <c r="B878" s="38">
        <v>13019</v>
      </c>
    </row>
    <row r="879" spans="1:2" x14ac:dyDescent="0.3">
      <c r="A879" s="14">
        <v>33.379633275773116</v>
      </c>
      <c r="B879" s="38">
        <v>9693</v>
      </c>
    </row>
    <row r="880" spans="1:2" x14ac:dyDescent="0.3">
      <c r="A880" s="14">
        <v>33.373661402981412</v>
      </c>
      <c r="B880" s="38">
        <v>6424</v>
      </c>
    </row>
    <row r="881" spans="1:2" x14ac:dyDescent="0.3">
      <c r="A881" s="14">
        <v>33.372807515310555</v>
      </c>
      <c r="B881" s="38">
        <v>5720</v>
      </c>
    </row>
    <row r="882" spans="1:2" x14ac:dyDescent="0.3">
      <c r="A882" s="14">
        <v>33.370026412336628</v>
      </c>
      <c r="B882" s="38">
        <v>10528</v>
      </c>
    </row>
    <row r="883" spans="1:2" x14ac:dyDescent="0.3">
      <c r="A883" s="14">
        <v>33.368034810113713</v>
      </c>
      <c r="B883" s="38">
        <v>4288</v>
      </c>
    </row>
    <row r="884" spans="1:2" x14ac:dyDescent="0.3">
      <c r="A884" s="14">
        <v>33.366971164520294</v>
      </c>
      <c r="B884" s="38">
        <v>11030</v>
      </c>
    </row>
    <row r="885" spans="1:2" x14ac:dyDescent="0.3">
      <c r="A885" s="14">
        <v>33.36629433237696</v>
      </c>
      <c r="B885" s="38">
        <v>8828</v>
      </c>
    </row>
    <row r="886" spans="1:2" x14ac:dyDescent="0.3">
      <c r="A886" s="14">
        <v>33.365260777527688</v>
      </c>
      <c r="B886" s="38">
        <v>6641</v>
      </c>
    </row>
    <row r="887" spans="1:2" x14ac:dyDescent="0.3">
      <c r="A887" s="14">
        <v>33.364982373082775</v>
      </c>
      <c r="B887" s="38">
        <v>6345</v>
      </c>
    </row>
    <row r="888" spans="1:2" x14ac:dyDescent="0.3">
      <c r="A888" s="14">
        <v>33.363435831736822</v>
      </c>
      <c r="B888" s="38">
        <v>7259</v>
      </c>
    </row>
    <row r="889" spans="1:2" x14ac:dyDescent="0.3">
      <c r="A889" s="14">
        <v>33.358516173402222</v>
      </c>
      <c r="B889" s="38">
        <v>4895</v>
      </c>
    </row>
    <row r="890" spans="1:2" x14ac:dyDescent="0.3">
      <c r="A890" s="14">
        <v>33.353081972881085</v>
      </c>
      <c r="B890" s="38">
        <v>6577</v>
      </c>
    </row>
    <row r="891" spans="1:2" x14ac:dyDescent="0.3">
      <c r="A891" s="14">
        <v>33.345406809693038</v>
      </c>
      <c r="B891" s="38">
        <v>12065</v>
      </c>
    </row>
    <row r="892" spans="1:2" x14ac:dyDescent="0.3">
      <c r="A892" s="14">
        <v>33.345398938932405</v>
      </c>
      <c r="B892" s="38">
        <v>4990</v>
      </c>
    </row>
    <row r="893" spans="1:2" x14ac:dyDescent="0.3">
      <c r="A893" s="14">
        <v>33.344720608270372</v>
      </c>
      <c r="B893" s="38">
        <v>6085</v>
      </c>
    </row>
    <row r="894" spans="1:2" x14ac:dyDescent="0.3">
      <c r="A894" s="14">
        <v>33.344011324859892</v>
      </c>
      <c r="B894" s="38">
        <v>13940</v>
      </c>
    </row>
    <row r="895" spans="1:2" x14ac:dyDescent="0.3">
      <c r="A895" s="14">
        <v>33.341088209087751</v>
      </c>
      <c r="B895" s="38">
        <v>4834</v>
      </c>
    </row>
    <row r="896" spans="1:2" x14ac:dyDescent="0.3">
      <c r="A896" s="14">
        <v>33.336207432751422</v>
      </c>
      <c r="B896" s="38">
        <v>8482</v>
      </c>
    </row>
    <row r="897" spans="1:2" x14ac:dyDescent="0.3">
      <c r="A897" s="14">
        <v>33.336098606461242</v>
      </c>
      <c r="B897" s="38">
        <v>11250</v>
      </c>
    </row>
    <row r="898" spans="1:2" x14ac:dyDescent="0.3">
      <c r="A898" s="14">
        <v>33.335293792727747</v>
      </c>
      <c r="B898" s="38">
        <v>18366</v>
      </c>
    </row>
    <row r="899" spans="1:2" x14ac:dyDescent="0.3">
      <c r="A899" s="14">
        <v>33.334653268867932</v>
      </c>
      <c r="B899" s="38">
        <v>10814</v>
      </c>
    </row>
    <row r="900" spans="1:2" x14ac:dyDescent="0.3">
      <c r="A900" s="14">
        <v>33.332208467072917</v>
      </c>
      <c r="B900" s="38">
        <v>8821</v>
      </c>
    </row>
    <row r="901" spans="1:2" x14ac:dyDescent="0.3">
      <c r="A901" s="14">
        <v>33.332061380687065</v>
      </c>
      <c r="B901" s="38">
        <v>5380</v>
      </c>
    </row>
    <row r="902" spans="1:2" x14ac:dyDescent="0.3">
      <c r="A902" s="14">
        <v>33.330865364514437</v>
      </c>
      <c r="B902" s="38">
        <v>5810</v>
      </c>
    </row>
    <row r="903" spans="1:2" x14ac:dyDescent="0.3">
      <c r="A903" s="14">
        <v>33.330255067635655</v>
      </c>
      <c r="B903" s="38">
        <v>5475</v>
      </c>
    </row>
    <row r="904" spans="1:2" x14ac:dyDescent="0.3">
      <c r="A904" s="14">
        <v>33.330249902289054</v>
      </c>
      <c r="B904" s="38">
        <v>9493</v>
      </c>
    </row>
    <row r="905" spans="1:2" x14ac:dyDescent="0.3">
      <c r="A905" s="14">
        <v>33.327377443502336</v>
      </c>
      <c r="B905" s="38">
        <v>3429</v>
      </c>
    </row>
    <row r="906" spans="1:2" x14ac:dyDescent="0.3">
      <c r="A906" s="14">
        <v>33.32354910587835</v>
      </c>
      <c r="B906" s="38">
        <v>13613</v>
      </c>
    </row>
    <row r="907" spans="1:2" x14ac:dyDescent="0.3">
      <c r="A907" s="14">
        <v>33.321440871062336</v>
      </c>
      <c r="B907" s="38">
        <v>4928</v>
      </c>
    </row>
    <row r="908" spans="1:2" x14ac:dyDescent="0.3">
      <c r="A908" s="14">
        <v>33.320730587367137</v>
      </c>
      <c r="B908" s="38">
        <v>7497</v>
      </c>
    </row>
    <row r="909" spans="1:2" x14ac:dyDescent="0.3">
      <c r="A909" s="14">
        <v>33.317645153678058</v>
      </c>
      <c r="B909" s="38">
        <v>9573</v>
      </c>
    </row>
    <row r="910" spans="1:2" x14ac:dyDescent="0.3">
      <c r="A910" s="14">
        <v>33.316724352683487</v>
      </c>
      <c r="B910" s="38">
        <v>11309</v>
      </c>
    </row>
    <row r="911" spans="1:2" x14ac:dyDescent="0.3">
      <c r="A911" s="14">
        <v>33.311460347998484</v>
      </c>
      <c r="B911" s="38">
        <v>5151</v>
      </c>
    </row>
    <row r="912" spans="1:2" x14ac:dyDescent="0.3">
      <c r="A912" s="14">
        <v>33.202334200872663</v>
      </c>
      <c r="B912" s="38">
        <v>6119</v>
      </c>
    </row>
    <row r="913" spans="1:2" x14ac:dyDescent="0.3">
      <c r="A913" s="14">
        <v>33.084317779198301</v>
      </c>
      <c r="B913" s="38">
        <v>5072</v>
      </c>
    </row>
    <row r="914" spans="1:2" x14ac:dyDescent="0.3">
      <c r="A914" s="14">
        <v>33.005233657645654</v>
      </c>
      <c r="B914" s="38">
        <v>6161</v>
      </c>
    </row>
    <row r="915" spans="1:2" x14ac:dyDescent="0.3">
      <c r="A915" s="14">
        <v>32.801811611209388</v>
      </c>
      <c r="B915" s="38">
        <v>6827</v>
      </c>
    </row>
    <row r="916" spans="1:2" x14ac:dyDescent="0.3">
      <c r="A916" s="14">
        <v>32.620362221123145</v>
      </c>
      <c r="B916" s="38">
        <v>5737</v>
      </c>
    </row>
    <row r="917" spans="1:2" x14ac:dyDescent="0.3">
      <c r="A917" s="14">
        <v>32.568031567009946</v>
      </c>
      <c r="B917" s="38">
        <v>5056</v>
      </c>
    </row>
    <row r="918" spans="1:2" x14ac:dyDescent="0.3">
      <c r="A918" s="14">
        <v>32.542232689419102</v>
      </c>
      <c r="B918" s="38">
        <v>12167</v>
      </c>
    </row>
    <row r="919" spans="1:2" x14ac:dyDescent="0.3">
      <c r="A919" s="14">
        <v>32.522668619441852</v>
      </c>
      <c r="B919" s="38">
        <v>6968</v>
      </c>
    </row>
    <row r="920" spans="1:2" x14ac:dyDescent="0.3">
      <c r="A920" s="14">
        <v>32.520399245713506</v>
      </c>
      <c r="B920" s="38">
        <v>7494</v>
      </c>
    </row>
    <row r="921" spans="1:2" x14ac:dyDescent="0.3">
      <c r="A921" s="14">
        <v>32.508654655666675</v>
      </c>
      <c r="B921" s="38">
        <v>6457</v>
      </c>
    </row>
    <row r="922" spans="1:2" x14ac:dyDescent="0.3">
      <c r="A922" s="14">
        <v>32.507107456502411</v>
      </c>
      <c r="B922" s="38">
        <v>9328</v>
      </c>
    </row>
    <row r="923" spans="1:2" x14ac:dyDescent="0.3">
      <c r="A923" s="14">
        <v>32.481025695291564</v>
      </c>
      <c r="B923" s="38">
        <v>9284</v>
      </c>
    </row>
    <row r="924" spans="1:2" x14ac:dyDescent="0.3">
      <c r="A924" s="14">
        <v>32.478127143908466</v>
      </c>
      <c r="B924" s="38">
        <v>4172</v>
      </c>
    </row>
    <row r="925" spans="1:2" x14ac:dyDescent="0.3">
      <c r="A925" s="14">
        <v>32.475078625823258</v>
      </c>
      <c r="B925" s="38">
        <v>5903</v>
      </c>
    </row>
    <row r="926" spans="1:2" x14ac:dyDescent="0.3">
      <c r="A926" s="14">
        <v>32.47130496146584</v>
      </c>
      <c r="B926" s="38">
        <v>4163</v>
      </c>
    </row>
    <row r="927" spans="1:2" x14ac:dyDescent="0.3">
      <c r="A927" s="14">
        <v>32.471281999244596</v>
      </c>
      <c r="B927" s="38">
        <v>6032</v>
      </c>
    </row>
    <row r="928" spans="1:2" x14ac:dyDescent="0.3">
      <c r="A928" s="14">
        <v>32.470446894009413</v>
      </c>
      <c r="B928" s="38">
        <v>4259</v>
      </c>
    </row>
    <row r="929" spans="1:2" x14ac:dyDescent="0.3">
      <c r="A929" s="14">
        <v>32.469789824035338</v>
      </c>
      <c r="B929" s="38">
        <v>5764</v>
      </c>
    </row>
    <row r="930" spans="1:2" x14ac:dyDescent="0.3">
      <c r="A930" s="14">
        <v>32.465134791437258</v>
      </c>
      <c r="B930" s="38">
        <v>6173</v>
      </c>
    </row>
    <row r="931" spans="1:2" x14ac:dyDescent="0.3">
      <c r="A931" s="14">
        <v>32.463600232701637</v>
      </c>
      <c r="B931" s="38">
        <v>11039</v>
      </c>
    </row>
    <row r="932" spans="1:2" x14ac:dyDescent="0.3">
      <c r="A932" s="14">
        <v>32.462081041000289</v>
      </c>
      <c r="B932" s="38">
        <v>5863</v>
      </c>
    </row>
    <row r="933" spans="1:2" x14ac:dyDescent="0.3">
      <c r="A933" s="14">
        <v>32.461043190859023</v>
      </c>
      <c r="B933" s="38">
        <v>9737</v>
      </c>
    </row>
    <row r="934" spans="1:2" x14ac:dyDescent="0.3">
      <c r="A934" s="14">
        <v>32.460855844275905</v>
      </c>
      <c r="B934" s="38">
        <v>18036</v>
      </c>
    </row>
    <row r="935" spans="1:2" x14ac:dyDescent="0.3">
      <c r="A935" s="14">
        <v>32.46078413027594</v>
      </c>
      <c r="B935" s="38">
        <v>12588</v>
      </c>
    </row>
    <row r="936" spans="1:2" x14ac:dyDescent="0.3">
      <c r="A936" s="14">
        <v>32.460276236630143</v>
      </c>
      <c r="B936" s="38">
        <v>5106</v>
      </c>
    </row>
    <row r="937" spans="1:2" x14ac:dyDescent="0.3">
      <c r="A937" s="14">
        <v>32.459827031930331</v>
      </c>
      <c r="B937" s="38">
        <v>4503</v>
      </c>
    </row>
    <row r="938" spans="1:2" x14ac:dyDescent="0.3">
      <c r="A938" s="14">
        <v>32.459814636670799</v>
      </c>
      <c r="B938" s="38">
        <v>7158</v>
      </c>
    </row>
    <row r="939" spans="1:2" x14ac:dyDescent="0.3">
      <c r="A939" s="14">
        <v>32.458401783502985</v>
      </c>
      <c r="B939" s="38">
        <v>16686</v>
      </c>
    </row>
    <row r="940" spans="1:2" x14ac:dyDescent="0.3">
      <c r="A940" s="14">
        <v>32.457405324636653</v>
      </c>
      <c r="B940" s="38">
        <v>4941</v>
      </c>
    </row>
    <row r="941" spans="1:2" x14ac:dyDescent="0.3">
      <c r="A941" s="14">
        <v>32.456243361412199</v>
      </c>
      <c r="B941" s="38">
        <v>6934</v>
      </c>
    </row>
    <row r="942" spans="1:2" x14ac:dyDescent="0.3">
      <c r="A942" s="14">
        <v>32.454758717237183</v>
      </c>
      <c r="B942" s="38">
        <v>7864</v>
      </c>
    </row>
    <row r="943" spans="1:2" x14ac:dyDescent="0.3">
      <c r="A943" s="14">
        <v>32.454468704967077</v>
      </c>
      <c r="B943" s="38">
        <v>7380</v>
      </c>
    </row>
    <row r="944" spans="1:2" x14ac:dyDescent="0.3">
      <c r="A944" s="14">
        <v>32.453652991050902</v>
      </c>
      <c r="B944" s="38">
        <v>10381</v>
      </c>
    </row>
    <row r="945" spans="1:2" x14ac:dyDescent="0.3">
      <c r="A945" s="14">
        <v>32.453320779067113</v>
      </c>
      <c r="B945" s="38">
        <v>4552</v>
      </c>
    </row>
    <row r="946" spans="1:2" x14ac:dyDescent="0.3">
      <c r="A946" s="14">
        <v>32.452087746362594</v>
      </c>
      <c r="B946" s="38">
        <v>6092</v>
      </c>
    </row>
    <row r="947" spans="1:2" x14ac:dyDescent="0.3">
      <c r="A947" s="14">
        <v>32.451545737714831</v>
      </c>
      <c r="B947" s="38">
        <v>6102</v>
      </c>
    </row>
    <row r="948" spans="1:2" x14ac:dyDescent="0.3">
      <c r="A948" s="14">
        <v>32.451194364410597</v>
      </c>
      <c r="B948" s="38">
        <v>8747</v>
      </c>
    </row>
    <row r="949" spans="1:2" x14ac:dyDescent="0.3">
      <c r="A949" s="14">
        <v>32.450517844547477</v>
      </c>
      <c r="B949" s="38">
        <v>11332</v>
      </c>
    </row>
    <row r="950" spans="1:2" x14ac:dyDescent="0.3">
      <c r="A950" s="14">
        <v>32.450468695478698</v>
      </c>
      <c r="B950" s="38">
        <v>20223</v>
      </c>
    </row>
    <row r="951" spans="1:2" x14ac:dyDescent="0.3">
      <c r="A951" s="14">
        <v>32.45007160044571</v>
      </c>
      <c r="B951" s="38">
        <v>9018</v>
      </c>
    </row>
    <row r="952" spans="1:2" x14ac:dyDescent="0.3">
      <c r="A952" s="14">
        <v>32.448783197982117</v>
      </c>
      <c r="B952" s="38">
        <v>13542</v>
      </c>
    </row>
    <row r="953" spans="1:2" x14ac:dyDescent="0.3">
      <c r="A953" s="14">
        <v>32.44863237358026</v>
      </c>
      <c r="B953" s="38">
        <v>8207</v>
      </c>
    </row>
    <row r="954" spans="1:2" x14ac:dyDescent="0.3">
      <c r="A954" s="14">
        <v>32.448229073756018</v>
      </c>
      <c r="B954" s="38">
        <v>4127</v>
      </c>
    </row>
    <row r="955" spans="1:2" x14ac:dyDescent="0.3">
      <c r="A955" s="14">
        <v>32.448199249451818</v>
      </c>
      <c r="B955" s="38">
        <v>14587</v>
      </c>
    </row>
    <row r="956" spans="1:2" x14ac:dyDescent="0.3">
      <c r="A956" s="14">
        <v>32.447586341879649</v>
      </c>
      <c r="B956" s="38">
        <v>8631</v>
      </c>
    </row>
    <row r="957" spans="1:2" x14ac:dyDescent="0.3">
      <c r="A957" s="14">
        <v>32.446736435935975</v>
      </c>
      <c r="B957" s="38">
        <v>15986</v>
      </c>
    </row>
    <row r="958" spans="1:2" x14ac:dyDescent="0.3">
      <c r="A958" s="14">
        <v>32.446465198586914</v>
      </c>
      <c r="B958" s="38">
        <v>5037</v>
      </c>
    </row>
    <row r="959" spans="1:2" x14ac:dyDescent="0.3">
      <c r="A959" s="14">
        <v>32.445658701920422</v>
      </c>
      <c r="B959" s="38">
        <v>19017</v>
      </c>
    </row>
    <row r="960" spans="1:2" x14ac:dyDescent="0.3">
      <c r="A960" s="14">
        <v>32.445375614317356</v>
      </c>
      <c r="B960" s="38">
        <v>5653</v>
      </c>
    </row>
    <row r="961" spans="1:2" x14ac:dyDescent="0.3">
      <c r="A961" s="14">
        <v>32.44525767797348</v>
      </c>
      <c r="B961" s="38">
        <v>15971</v>
      </c>
    </row>
    <row r="962" spans="1:2" x14ac:dyDescent="0.3">
      <c r="A962" s="14">
        <v>32.445250167005874</v>
      </c>
      <c r="B962" s="38">
        <v>5194</v>
      </c>
    </row>
    <row r="963" spans="1:2" x14ac:dyDescent="0.3">
      <c r="A963" s="14">
        <v>32.44491955360845</v>
      </c>
      <c r="B963" s="38">
        <v>9108</v>
      </c>
    </row>
    <row r="964" spans="1:2" x14ac:dyDescent="0.3">
      <c r="A964" s="14">
        <v>32.443687747435753</v>
      </c>
      <c r="B964" s="38">
        <v>13306</v>
      </c>
    </row>
    <row r="965" spans="1:2" x14ac:dyDescent="0.3">
      <c r="A965" s="14">
        <v>32.443489673266946</v>
      </c>
      <c r="B965" s="38">
        <v>8147</v>
      </c>
    </row>
    <row r="966" spans="1:2" x14ac:dyDescent="0.3">
      <c r="A966" s="14">
        <v>32.442836519258258</v>
      </c>
      <c r="B966" s="38">
        <v>4825</v>
      </c>
    </row>
    <row r="967" spans="1:2" x14ac:dyDescent="0.3">
      <c r="A967" s="14">
        <v>32.442181315826382</v>
      </c>
      <c r="B967" s="38">
        <v>11579</v>
      </c>
    </row>
    <row r="968" spans="1:2" x14ac:dyDescent="0.3">
      <c r="A968" s="14">
        <v>32.442092190887323</v>
      </c>
      <c r="B968" s="38">
        <v>14503</v>
      </c>
    </row>
    <row r="969" spans="1:2" x14ac:dyDescent="0.3">
      <c r="A969" s="14">
        <v>32.441553221169436</v>
      </c>
      <c r="B969" s="38">
        <v>11036</v>
      </c>
    </row>
    <row r="970" spans="1:2" x14ac:dyDescent="0.3">
      <c r="A970" s="14">
        <v>32.440007282265533</v>
      </c>
      <c r="B970" s="38">
        <v>15897</v>
      </c>
    </row>
    <row r="971" spans="1:2" x14ac:dyDescent="0.3">
      <c r="A971" s="14">
        <v>32.439045525447767</v>
      </c>
      <c r="B971" s="38">
        <v>17343</v>
      </c>
    </row>
    <row r="972" spans="1:2" x14ac:dyDescent="0.3">
      <c r="A972" s="14">
        <v>32.43824845905317</v>
      </c>
      <c r="B972" s="38">
        <v>5524</v>
      </c>
    </row>
    <row r="973" spans="1:2" x14ac:dyDescent="0.3">
      <c r="A973" s="14">
        <v>32.437425126127401</v>
      </c>
      <c r="B973" s="38">
        <v>3281</v>
      </c>
    </row>
    <row r="974" spans="1:2" x14ac:dyDescent="0.3">
      <c r="A974" s="14">
        <v>32.437157886999849</v>
      </c>
      <c r="B974" s="38">
        <v>4649</v>
      </c>
    </row>
    <row r="975" spans="1:2" x14ac:dyDescent="0.3">
      <c r="A975" s="14">
        <v>32.436681487380653</v>
      </c>
      <c r="B975" s="38">
        <v>9473</v>
      </c>
    </row>
    <row r="976" spans="1:2" x14ac:dyDescent="0.3">
      <c r="A976" s="14">
        <v>32.435521532333361</v>
      </c>
      <c r="B976" s="38">
        <v>5485</v>
      </c>
    </row>
    <row r="977" spans="1:2" x14ac:dyDescent="0.3">
      <c r="A977" s="14">
        <v>32.433999738055675</v>
      </c>
      <c r="B977" s="38">
        <v>6937</v>
      </c>
    </row>
    <row r="978" spans="1:2" x14ac:dyDescent="0.3">
      <c r="A978" s="14">
        <v>32.433821450574811</v>
      </c>
      <c r="B978" s="38">
        <v>9802</v>
      </c>
    </row>
    <row r="979" spans="1:2" x14ac:dyDescent="0.3">
      <c r="A979" s="14">
        <v>32.433618255377588</v>
      </c>
      <c r="B979" s="38">
        <v>4270</v>
      </c>
    </row>
    <row r="980" spans="1:2" x14ac:dyDescent="0.3">
      <c r="A980" s="14">
        <v>32.433203612688608</v>
      </c>
      <c r="B980" s="38">
        <v>19384</v>
      </c>
    </row>
    <row r="981" spans="1:2" x14ac:dyDescent="0.3">
      <c r="A981" s="14">
        <v>32.43272552149309</v>
      </c>
      <c r="B981" s="38">
        <v>7485</v>
      </c>
    </row>
    <row r="982" spans="1:2" x14ac:dyDescent="0.3">
      <c r="A982" s="14">
        <v>32.43200684692583</v>
      </c>
      <c r="B982" s="38">
        <v>18867</v>
      </c>
    </row>
    <row r="983" spans="1:2" x14ac:dyDescent="0.3">
      <c r="A983" s="14">
        <v>32.431428386981096</v>
      </c>
      <c r="B983" s="38">
        <v>6548</v>
      </c>
    </row>
    <row r="984" spans="1:2" x14ac:dyDescent="0.3">
      <c r="A984" s="14">
        <v>32.429802552116733</v>
      </c>
      <c r="B984" s="38">
        <v>18330</v>
      </c>
    </row>
    <row r="985" spans="1:2" x14ac:dyDescent="0.3">
      <c r="A985" s="14">
        <v>32.427233854173423</v>
      </c>
      <c r="B985" s="38">
        <v>4106</v>
      </c>
    </row>
    <row r="986" spans="1:2" x14ac:dyDescent="0.3">
      <c r="A986" s="14">
        <v>32.425341223429371</v>
      </c>
      <c r="B986" s="38">
        <v>6500</v>
      </c>
    </row>
    <row r="987" spans="1:2" x14ac:dyDescent="0.3">
      <c r="A987" s="14">
        <v>32.42505830429635</v>
      </c>
      <c r="B987" s="38">
        <v>9448</v>
      </c>
    </row>
    <row r="988" spans="1:2" x14ac:dyDescent="0.3">
      <c r="A988" s="14">
        <v>32.424866020605094</v>
      </c>
      <c r="B988" s="38">
        <v>8091</v>
      </c>
    </row>
    <row r="989" spans="1:2" x14ac:dyDescent="0.3">
      <c r="A989" s="14">
        <v>32.422802050914669</v>
      </c>
      <c r="B989" s="38">
        <v>9470</v>
      </c>
    </row>
    <row r="990" spans="1:2" x14ac:dyDescent="0.3">
      <c r="A990" s="14">
        <v>32.418293750131951</v>
      </c>
      <c r="B990" s="38">
        <v>10084</v>
      </c>
    </row>
    <row r="991" spans="1:2" x14ac:dyDescent="0.3">
      <c r="A991" s="14">
        <v>32.417773736431585</v>
      </c>
      <c r="B991" s="38">
        <v>11170</v>
      </c>
    </row>
    <row r="992" spans="1:2" x14ac:dyDescent="0.3">
      <c r="A992" s="14">
        <v>32.416828128139606</v>
      </c>
      <c r="B992" s="38">
        <v>6607</v>
      </c>
    </row>
    <row r="993" spans="1:2" x14ac:dyDescent="0.3">
      <c r="A993" s="14">
        <v>32.416699069259465</v>
      </c>
      <c r="B993" s="38">
        <v>6175</v>
      </c>
    </row>
    <row r="994" spans="1:2" x14ac:dyDescent="0.3">
      <c r="A994" s="14">
        <v>32.41504991585564</v>
      </c>
      <c r="B994" s="38">
        <v>6911</v>
      </c>
    </row>
    <row r="995" spans="1:2" x14ac:dyDescent="0.3">
      <c r="A995" s="14">
        <v>32.40672038886337</v>
      </c>
      <c r="B995" s="38">
        <v>9268</v>
      </c>
    </row>
    <row r="996" spans="1:2" x14ac:dyDescent="0.3">
      <c r="A996" s="14">
        <v>32.405701167818442</v>
      </c>
      <c r="B996" s="38">
        <v>2678</v>
      </c>
    </row>
    <row r="997" spans="1:2" x14ac:dyDescent="0.3">
      <c r="A997" s="14">
        <v>32.3736961932036</v>
      </c>
      <c r="B997" s="38">
        <v>5141</v>
      </c>
    </row>
    <row r="998" spans="1:2" x14ac:dyDescent="0.3">
      <c r="A998" s="14">
        <v>32.314773181493955</v>
      </c>
      <c r="B998" s="38">
        <v>6752</v>
      </c>
    </row>
    <row r="999" spans="1:2" x14ac:dyDescent="0.3">
      <c r="A999" s="14">
        <v>32.198841510659577</v>
      </c>
      <c r="B999" s="38">
        <v>7023</v>
      </c>
    </row>
    <row r="1000" spans="1:2" x14ac:dyDescent="0.3">
      <c r="A1000" s="14">
        <v>32.177098804785558</v>
      </c>
      <c r="B1000" s="38">
        <v>18356</v>
      </c>
    </row>
    <row r="1001" spans="1:2" x14ac:dyDescent="0.3">
      <c r="A1001" s="14">
        <v>32.1768517839322</v>
      </c>
      <c r="B1001" s="38">
        <v>15637</v>
      </c>
    </row>
    <row r="1002" spans="1:2" x14ac:dyDescent="0.3">
      <c r="A1002" s="14">
        <v>32.169576465281622</v>
      </c>
      <c r="B1002" s="38">
        <v>6448</v>
      </c>
    </row>
    <row r="1003" spans="1:2" x14ac:dyDescent="0.3">
      <c r="A1003" s="14">
        <v>32.166842837616194</v>
      </c>
      <c r="B1003" s="38">
        <v>13384</v>
      </c>
    </row>
    <row r="1004" spans="1:2" x14ac:dyDescent="0.3">
      <c r="A1004" s="14">
        <v>32.16599267772947</v>
      </c>
      <c r="B1004" s="38">
        <v>8904</v>
      </c>
    </row>
    <row r="1005" spans="1:2" x14ac:dyDescent="0.3">
      <c r="A1005" s="14">
        <v>32.163877761204972</v>
      </c>
      <c r="B1005" s="38">
        <v>6253</v>
      </c>
    </row>
    <row r="1006" spans="1:2" x14ac:dyDescent="0.3">
      <c r="A1006" s="14">
        <v>32.158692130191781</v>
      </c>
      <c r="B1006" s="38">
        <v>15508</v>
      </c>
    </row>
    <row r="1007" spans="1:2" x14ac:dyDescent="0.3">
      <c r="A1007" s="14">
        <v>32.15739121850735</v>
      </c>
      <c r="B1007" s="38">
        <v>7579</v>
      </c>
    </row>
    <row r="1008" spans="1:2" x14ac:dyDescent="0.3">
      <c r="A1008" s="14">
        <v>32.157059362241078</v>
      </c>
      <c r="B1008" s="38">
        <v>18775</v>
      </c>
    </row>
    <row r="1009" spans="1:2" x14ac:dyDescent="0.3">
      <c r="A1009" s="14">
        <v>32.155458625692283</v>
      </c>
      <c r="B1009" s="38">
        <v>5857</v>
      </c>
    </row>
    <row r="1010" spans="1:2" x14ac:dyDescent="0.3">
      <c r="A1010" s="14">
        <v>32.141067316935185</v>
      </c>
      <c r="B1010" s="38">
        <v>14188</v>
      </c>
    </row>
    <row r="1011" spans="1:2" x14ac:dyDescent="0.3">
      <c r="A1011" s="14">
        <v>32.136001976293279</v>
      </c>
      <c r="B1011" s="38">
        <v>6232</v>
      </c>
    </row>
    <row r="1012" spans="1:2" x14ac:dyDescent="0.3">
      <c r="A1012" s="14">
        <v>32.135867684190174</v>
      </c>
      <c r="B1012" s="38">
        <v>14585</v>
      </c>
    </row>
    <row r="1013" spans="1:2" x14ac:dyDescent="0.3">
      <c r="A1013" s="14">
        <v>32.126968461385395</v>
      </c>
      <c r="B1013" s="38">
        <v>8408</v>
      </c>
    </row>
    <row r="1014" spans="1:2" x14ac:dyDescent="0.3">
      <c r="A1014" s="14">
        <v>32.124713038980168</v>
      </c>
      <c r="B1014" s="38">
        <v>13256</v>
      </c>
    </row>
    <row r="1015" spans="1:2" x14ac:dyDescent="0.3">
      <c r="A1015" s="14">
        <v>32.109964047791436</v>
      </c>
      <c r="B1015" s="38">
        <v>5429</v>
      </c>
    </row>
    <row r="1016" spans="1:2" x14ac:dyDescent="0.3">
      <c r="A1016" s="14">
        <v>32.107545212407516</v>
      </c>
      <c r="B1016" s="38">
        <v>14745</v>
      </c>
    </row>
    <row r="1017" spans="1:2" x14ac:dyDescent="0.3">
      <c r="A1017" s="14">
        <v>32.105817270140562</v>
      </c>
      <c r="B1017" s="38">
        <v>10223</v>
      </c>
    </row>
    <row r="1018" spans="1:2" x14ac:dyDescent="0.3">
      <c r="A1018" s="14">
        <v>32.105239313777744</v>
      </c>
      <c r="B1018" s="38">
        <v>6070</v>
      </c>
    </row>
    <row r="1019" spans="1:2" x14ac:dyDescent="0.3">
      <c r="A1019" s="14">
        <v>32.097495628424234</v>
      </c>
      <c r="B1019" s="38">
        <v>6037</v>
      </c>
    </row>
    <row r="1020" spans="1:2" x14ac:dyDescent="0.3">
      <c r="A1020" s="14">
        <v>32.094330109826068</v>
      </c>
      <c r="B1020" s="38">
        <v>5550</v>
      </c>
    </row>
    <row r="1021" spans="1:2" x14ac:dyDescent="0.3">
      <c r="A1021" s="14">
        <v>32.074398709068028</v>
      </c>
      <c r="B1021" s="38">
        <v>6991</v>
      </c>
    </row>
    <row r="1022" spans="1:2" x14ac:dyDescent="0.3">
      <c r="A1022" s="14">
        <v>32.073162711270939</v>
      </c>
      <c r="B1022" s="38">
        <v>12949</v>
      </c>
    </row>
    <row r="1023" spans="1:2" x14ac:dyDescent="0.3">
      <c r="A1023" s="14">
        <v>32.06988983938664</v>
      </c>
      <c r="B1023" s="38">
        <v>6632</v>
      </c>
    </row>
    <row r="1024" spans="1:2" x14ac:dyDescent="0.3">
      <c r="A1024" s="14">
        <v>32.067654885424723</v>
      </c>
      <c r="B1024" s="38">
        <v>12222</v>
      </c>
    </row>
    <row r="1025" spans="1:2" x14ac:dyDescent="0.3">
      <c r="A1025" s="14">
        <v>32.067428302469715</v>
      </c>
      <c r="B1025" s="38">
        <v>5788</v>
      </c>
    </row>
    <row r="1026" spans="1:2" x14ac:dyDescent="0.3">
      <c r="A1026" s="14">
        <v>32.059007503248921</v>
      </c>
      <c r="B1026" s="38">
        <v>26410</v>
      </c>
    </row>
    <row r="1027" spans="1:2" x14ac:dyDescent="0.3">
      <c r="A1027" s="14">
        <v>32.045530552657681</v>
      </c>
      <c r="B1027" s="38">
        <v>8932</v>
      </c>
    </row>
    <row r="1028" spans="1:2" x14ac:dyDescent="0.3">
      <c r="A1028" s="14">
        <v>32.035821616682668</v>
      </c>
      <c r="B1028" s="38">
        <v>7014</v>
      </c>
    </row>
    <row r="1029" spans="1:2" x14ac:dyDescent="0.3">
      <c r="A1029" s="14">
        <v>32.034021630997863</v>
      </c>
      <c r="B1029" s="38">
        <v>5752</v>
      </c>
    </row>
    <row r="1030" spans="1:2" x14ac:dyDescent="0.3">
      <c r="A1030" s="14">
        <v>31.995369733198849</v>
      </c>
      <c r="B1030" s="38">
        <v>9005</v>
      </c>
    </row>
    <row r="1031" spans="1:2" x14ac:dyDescent="0.3">
      <c r="A1031" s="14">
        <v>31.98856798666365</v>
      </c>
      <c r="B1031" s="38">
        <v>5783</v>
      </c>
    </row>
    <row r="1032" spans="1:2" x14ac:dyDescent="0.3">
      <c r="A1032" s="14">
        <v>31.985410751419913</v>
      </c>
      <c r="B1032" s="38">
        <v>16262</v>
      </c>
    </row>
    <row r="1033" spans="1:2" x14ac:dyDescent="0.3">
      <c r="A1033" s="14">
        <v>31.978422205454347</v>
      </c>
      <c r="B1033" s="38">
        <v>14551</v>
      </c>
    </row>
    <row r="1034" spans="1:2" x14ac:dyDescent="0.3">
      <c r="A1034" s="14">
        <v>31.918308775781338</v>
      </c>
      <c r="B1034" s="38">
        <v>15004</v>
      </c>
    </row>
    <row r="1035" spans="1:2" x14ac:dyDescent="0.3">
      <c r="A1035" s="14">
        <v>31.913480344263363</v>
      </c>
      <c r="B1035" s="38">
        <v>16884</v>
      </c>
    </row>
    <row r="1036" spans="1:2" x14ac:dyDescent="0.3">
      <c r="A1036" s="14">
        <v>31.87091499415342</v>
      </c>
      <c r="B1036" s="38">
        <v>7619</v>
      </c>
    </row>
    <row r="1037" spans="1:2" x14ac:dyDescent="0.3">
      <c r="A1037" s="14">
        <v>31.813338139853375</v>
      </c>
      <c r="B1037" s="38">
        <v>20805</v>
      </c>
    </row>
    <row r="1038" spans="1:2" x14ac:dyDescent="0.3">
      <c r="A1038" s="14">
        <v>31.787539451587339</v>
      </c>
      <c r="B1038" s="38">
        <v>3578</v>
      </c>
    </row>
    <row r="1039" spans="1:2" x14ac:dyDescent="0.3">
      <c r="A1039" s="14">
        <v>31.735427925544286</v>
      </c>
      <c r="B1039" s="38">
        <v>8079</v>
      </c>
    </row>
    <row r="1040" spans="1:2" x14ac:dyDescent="0.3">
      <c r="A1040" s="14">
        <v>31.703557185365689</v>
      </c>
      <c r="B1040" s="38">
        <v>9789</v>
      </c>
    </row>
    <row r="1041" spans="1:2" x14ac:dyDescent="0.3">
      <c r="A1041" s="14">
        <v>31.643253741560194</v>
      </c>
      <c r="B1041" s="38">
        <v>9772</v>
      </c>
    </row>
    <row r="1042" spans="1:2" x14ac:dyDescent="0.3">
      <c r="A1042" s="14">
        <v>31.068370550544124</v>
      </c>
      <c r="B1042" s="38">
        <v>11082</v>
      </c>
    </row>
    <row r="1043" spans="1:2" x14ac:dyDescent="0.3">
      <c r="A1043" s="14">
        <v>30.835363484585205</v>
      </c>
      <c r="B1043" s="38">
        <v>8909</v>
      </c>
    </row>
    <row r="1044" spans="1:2" x14ac:dyDescent="0.3">
      <c r="A1044" s="14">
        <v>30.763479743387361</v>
      </c>
      <c r="B1044" s="38">
        <v>23310</v>
      </c>
    </row>
    <row r="1045" spans="1:2" x14ac:dyDescent="0.3">
      <c r="A1045" s="14">
        <v>30.754851135910783</v>
      </c>
      <c r="B1045" s="38">
        <v>11646</v>
      </c>
    </row>
    <row r="1046" spans="1:2" x14ac:dyDescent="0.3">
      <c r="A1046" s="14">
        <v>30.750489889926612</v>
      </c>
      <c r="B1046" s="38">
        <v>19317</v>
      </c>
    </row>
    <row r="1047" spans="1:2" x14ac:dyDescent="0.3">
      <c r="A1047" s="14">
        <v>30.734457415357504</v>
      </c>
      <c r="B1047" s="38">
        <v>16310</v>
      </c>
    </row>
    <row r="1048" spans="1:2" x14ac:dyDescent="0.3">
      <c r="A1048" s="14">
        <v>30.732966843722689</v>
      </c>
      <c r="B1048" s="38">
        <v>15100</v>
      </c>
    </row>
    <row r="1049" spans="1:2" x14ac:dyDescent="0.3">
      <c r="A1049" s="14">
        <v>30.731381915938421</v>
      </c>
      <c r="B1049" s="38">
        <v>17985</v>
      </c>
    </row>
    <row r="1050" spans="1:2" x14ac:dyDescent="0.3">
      <c r="A1050" s="14">
        <v>30.728840185133308</v>
      </c>
      <c r="B1050" s="38">
        <v>7620</v>
      </c>
    </row>
    <row r="1051" spans="1:2" x14ac:dyDescent="0.3">
      <c r="A1051" s="14">
        <v>30.727268199644893</v>
      </c>
      <c r="B1051" s="38">
        <v>10164</v>
      </c>
    </row>
    <row r="1052" spans="1:2" x14ac:dyDescent="0.3">
      <c r="A1052" s="14">
        <v>30.722163023212453</v>
      </c>
      <c r="B1052" s="38">
        <v>8400</v>
      </c>
    </row>
    <row r="1053" spans="1:2" x14ac:dyDescent="0.3">
      <c r="A1053" s="14">
        <v>30.721555040092884</v>
      </c>
      <c r="B1053" s="38">
        <v>19366</v>
      </c>
    </row>
    <row r="1054" spans="1:2" x14ac:dyDescent="0.3">
      <c r="A1054" s="14">
        <v>30.721474959701656</v>
      </c>
      <c r="B1054" s="38">
        <v>7958</v>
      </c>
    </row>
    <row r="1055" spans="1:2" x14ac:dyDescent="0.3">
      <c r="A1055" s="14">
        <v>30.702370088622562</v>
      </c>
      <c r="B1055" s="38">
        <v>15291</v>
      </c>
    </row>
    <row r="1056" spans="1:2" x14ac:dyDescent="0.3">
      <c r="A1056" s="14" t="s">
        <v>26</v>
      </c>
      <c r="B1056" s="38">
        <v>5279872</v>
      </c>
    </row>
  </sheetData>
  <pageMargins left="0.7" right="0.7" top="0.75" bottom="0.75" header="0.3" footer="0.3"/>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54"/>
  <sheetViews>
    <sheetView workbookViewId="0">
      <selection activeCell="A18" sqref="A18"/>
    </sheetView>
  </sheetViews>
  <sheetFormatPr defaultRowHeight="14.4" x14ac:dyDescent="0.3"/>
  <cols>
    <col min="1" max="2" width="25" customWidth="1"/>
  </cols>
  <sheetData>
    <row r="1" spans="1:2" x14ac:dyDescent="0.3">
      <c r="A1" t="s">
        <v>4</v>
      </c>
      <c r="B1" t="s">
        <v>3</v>
      </c>
    </row>
    <row r="2" spans="1:2" x14ac:dyDescent="0.3">
      <c r="A2">
        <f>'Daily Analysis'!E2</f>
        <v>32.801811611209388</v>
      </c>
      <c r="B2">
        <f>'Daily Analysis'!D2</f>
        <v>6827</v>
      </c>
    </row>
    <row r="3" spans="1:2" x14ac:dyDescent="0.3">
      <c r="A3">
        <f>'Daily Analysis'!E3</f>
        <v>32.40672038886337</v>
      </c>
      <c r="B3">
        <f>'Daily Analysis'!D3</f>
        <v>9268</v>
      </c>
    </row>
    <row r="4" spans="1:2" x14ac:dyDescent="0.3">
      <c r="A4">
        <f>'Daily Analysis'!E4</f>
        <v>32.405701167818442</v>
      </c>
      <c r="B4">
        <f>'Daily Analysis'!D4</f>
        <v>2678</v>
      </c>
    </row>
    <row r="5" spans="1:2" x14ac:dyDescent="0.3">
      <c r="A5">
        <f>'Daily Analysis'!E5</f>
        <v>32.416699069259465</v>
      </c>
      <c r="B5">
        <f>'Daily Analysis'!D5</f>
        <v>6175</v>
      </c>
    </row>
    <row r="6" spans="1:2" x14ac:dyDescent="0.3">
      <c r="A6">
        <f>'Daily Analysis'!E6</f>
        <v>32.418293750131951</v>
      </c>
      <c r="B6">
        <f>'Daily Analysis'!D6</f>
        <v>10084</v>
      </c>
    </row>
    <row r="7" spans="1:2" x14ac:dyDescent="0.3">
      <c r="A7">
        <f>'Daily Analysis'!E7</f>
        <v>32.422802050914669</v>
      </c>
      <c r="B7">
        <f>'Daily Analysis'!D7</f>
        <v>9470</v>
      </c>
    </row>
    <row r="8" spans="1:2" x14ac:dyDescent="0.3">
      <c r="A8">
        <f>'Daily Analysis'!E8</f>
        <v>32.43824845905317</v>
      </c>
      <c r="B8">
        <f>'Daily Analysis'!D8</f>
        <v>5524</v>
      </c>
    </row>
    <row r="9" spans="1:2" x14ac:dyDescent="0.3">
      <c r="A9">
        <f>'Daily Analysis'!E9</f>
        <v>32.42505830429635</v>
      </c>
      <c r="B9">
        <f>'Daily Analysis'!D9</f>
        <v>9448</v>
      </c>
    </row>
    <row r="10" spans="1:2" x14ac:dyDescent="0.3">
      <c r="A10">
        <f>'Daily Analysis'!E10</f>
        <v>32.41504991585564</v>
      </c>
      <c r="B10">
        <f>'Daily Analysis'!D10</f>
        <v>6911</v>
      </c>
    </row>
    <row r="11" spans="1:2" x14ac:dyDescent="0.3">
      <c r="A11">
        <f>'Daily Analysis'!E11</f>
        <v>34.058997403423781</v>
      </c>
      <c r="B11">
        <f>'Daily Analysis'!D11</f>
        <v>2990</v>
      </c>
    </row>
    <row r="12" spans="1:2" x14ac:dyDescent="0.3">
      <c r="A12">
        <f>'Daily Analysis'!E12</f>
        <v>34.126085769937227</v>
      </c>
      <c r="B12">
        <f>'Daily Analysis'!D12</f>
        <v>3159</v>
      </c>
    </row>
    <row r="13" spans="1:2" x14ac:dyDescent="0.3">
      <c r="A13">
        <f>'Daily Analysis'!E13</f>
        <v>34.109740161076353</v>
      </c>
      <c r="B13">
        <f>'Daily Analysis'!D13</f>
        <v>4246</v>
      </c>
    </row>
    <row r="14" spans="1:2" x14ac:dyDescent="0.3">
      <c r="A14">
        <f>'Daily Analysis'!E14</f>
        <v>34.110189051254409</v>
      </c>
      <c r="B14">
        <f>'Daily Analysis'!D14</f>
        <v>4297</v>
      </c>
    </row>
    <row r="15" spans="1:2" x14ac:dyDescent="0.3">
      <c r="A15">
        <f>'Daily Analysis'!E15</f>
        <v>34.128173454333727</v>
      </c>
      <c r="B15">
        <f>'Daily Analysis'!D15</f>
        <v>2796</v>
      </c>
    </row>
    <row r="16" spans="1:2" x14ac:dyDescent="0.3">
      <c r="A16">
        <f>'Daily Analysis'!E16</f>
        <v>34.100081267781597</v>
      </c>
      <c r="B16">
        <f>'Daily Analysis'!D16</f>
        <v>3369</v>
      </c>
    </row>
    <row r="17" spans="1:2" x14ac:dyDescent="0.3">
      <c r="A17">
        <f>'Daily Analysis'!E17</f>
        <v>34.110221499102515</v>
      </c>
      <c r="B17">
        <f>'Daily Analysis'!D17</f>
        <v>2348</v>
      </c>
    </row>
    <row r="18" spans="1:2" x14ac:dyDescent="0.3">
      <c r="A18">
        <f>'Daily Analysis'!E18</f>
        <v>34.083834364132905</v>
      </c>
      <c r="B18">
        <f>'Daily Analysis'!D18</f>
        <v>2903</v>
      </c>
    </row>
    <row r="19" spans="1:2" x14ac:dyDescent="0.3">
      <c r="A19">
        <f>'Daily Analysis'!E19</f>
        <v>34.084665481376085</v>
      </c>
      <c r="B19">
        <f>'Daily Analysis'!D19</f>
        <v>2491</v>
      </c>
    </row>
    <row r="20" spans="1:2" x14ac:dyDescent="0.3">
      <c r="A20">
        <f>'Daily Analysis'!E20</f>
        <v>34.138261014109176</v>
      </c>
      <c r="B20">
        <f>'Daily Analysis'!D20</f>
        <v>3968</v>
      </c>
    </row>
    <row r="21" spans="1:2" x14ac:dyDescent="0.3">
      <c r="A21">
        <f>'Daily Analysis'!E21</f>
        <v>34.128329088498774</v>
      </c>
      <c r="B21">
        <f>'Daily Analysis'!D21</f>
        <v>4393</v>
      </c>
    </row>
    <row r="22" spans="1:2" x14ac:dyDescent="0.3">
      <c r="A22">
        <f>'Daily Analysis'!E22</f>
        <v>34.143983080966422</v>
      </c>
      <c r="B22">
        <f>'Daily Analysis'!D22</f>
        <v>2176</v>
      </c>
    </row>
    <row r="23" spans="1:2" x14ac:dyDescent="0.3">
      <c r="A23">
        <f>'Daily Analysis'!E23</f>
        <v>34.120517626362137</v>
      </c>
      <c r="B23">
        <f>'Daily Analysis'!D23</f>
        <v>2443</v>
      </c>
    </row>
    <row r="24" spans="1:2" x14ac:dyDescent="0.3">
      <c r="A24">
        <f>'Daily Analysis'!E24</f>
        <v>34.087192678609775</v>
      </c>
      <c r="B24">
        <f>'Daily Analysis'!D24</f>
        <v>2638</v>
      </c>
    </row>
    <row r="25" spans="1:2" x14ac:dyDescent="0.3">
      <c r="A25">
        <f>'Daily Analysis'!E25</f>
        <v>33.923886608039339</v>
      </c>
      <c r="B25">
        <f>'Daily Analysis'!D25</f>
        <v>1704</v>
      </c>
    </row>
    <row r="26" spans="1:2" x14ac:dyDescent="0.3">
      <c r="A26">
        <f>'Daily Analysis'!E26</f>
        <v>34.176148690664292</v>
      </c>
      <c r="B26">
        <f>'Daily Analysis'!D26</f>
        <v>1872</v>
      </c>
    </row>
    <row r="27" spans="1:2" x14ac:dyDescent="0.3">
      <c r="A27">
        <f>'Daily Analysis'!E27</f>
        <v>34.168507113044697</v>
      </c>
      <c r="B27">
        <f>'Daily Analysis'!D27</f>
        <v>3423</v>
      </c>
    </row>
    <row r="28" spans="1:2" x14ac:dyDescent="0.3">
      <c r="A28">
        <f>'Daily Analysis'!E28</f>
        <v>34.170956163177863</v>
      </c>
      <c r="B28">
        <f>'Daily Analysis'!D28</f>
        <v>4544</v>
      </c>
    </row>
    <row r="29" spans="1:2" x14ac:dyDescent="0.3">
      <c r="A29">
        <f>'Daily Analysis'!E29</f>
        <v>34.165381661072843</v>
      </c>
      <c r="B29">
        <f>'Daily Analysis'!D29</f>
        <v>2426</v>
      </c>
    </row>
    <row r="30" spans="1:2" x14ac:dyDescent="0.3">
      <c r="A30">
        <f>'Daily Analysis'!E30</f>
        <v>34.177338631295846</v>
      </c>
      <c r="B30">
        <f>'Daily Analysis'!D30</f>
        <v>2117</v>
      </c>
    </row>
    <row r="31" spans="1:2" x14ac:dyDescent="0.3">
      <c r="A31">
        <f>'Daily Analysis'!E31</f>
        <v>34.157116370182358</v>
      </c>
      <c r="B31">
        <f>'Daily Analysis'!D31</f>
        <v>1476</v>
      </c>
    </row>
    <row r="32" spans="1:2" x14ac:dyDescent="0.3">
      <c r="A32">
        <f>'Daily Analysis'!E32</f>
        <v>34.173405213411243</v>
      </c>
      <c r="B32">
        <f>'Daily Analysis'!D32</f>
        <v>1974</v>
      </c>
    </row>
    <row r="33" spans="1:2" x14ac:dyDescent="0.3">
      <c r="A33">
        <f>'Daily Analysis'!E33</f>
        <v>34.165100059827587</v>
      </c>
      <c r="B33">
        <f>'Daily Analysis'!D33</f>
        <v>1892</v>
      </c>
    </row>
    <row r="34" spans="1:2" x14ac:dyDescent="0.3">
      <c r="A34">
        <f>'Daily Analysis'!E34</f>
        <v>34.167214268072307</v>
      </c>
      <c r="B34">
        <f>'Daily Analysis'!D34</f>
        <v>4030</v>
      </c>
    </row>
    <row r="35" spans="1:2" x14ac:dyDescent="0.3">
      <c r="A35">
        <f>'Daily Analysis'!E35</f>
        <v>34.164616983637366</v>
      </c>
      <c r="B35">
        <f>'Daily Analysis'!D35</f>
        <v>5304</v>
      </c>
    </row>
    <row r="36" spans="1:2" x14ac:dyDescent="0.3">
      <c r="A36">
        <f>'Daily Analysis'!E36</f>
        <v>34.166741278752106</v>
      </c>
      <c r="B36">
        <f>'Daily Analysis'!D36</f>
        <v>3320</v>
      </c>
    </row>
    <row r="37" spans="1:2" x14ac:dyDescent="0.3">
      <c r="A37">
        <f>'Daily Analysis'!E37</f>
        <v>34.166674625668435</v>
      </c>
      <c r="B37">
        <f>'Daily Analysis'!D37</f>
        <v>4191</v>
      </c>
    </row>
    <row r="38" spans="1:2" x14ac:dyDescent="0.3">
      <c r="A38">
        <f>'Daily Analysis'!E38</f>
        <v>34.162943001544079</v>
      </c>
      <c r="B38">
        <f>'Daily Analysis'!D38</f>
        <v>3809</v>
      </c>
    </row>
    <row r="39" spans="1:2" x14ac:dyDescent="0.3">
      <c r="A39">
        <f>'Daily Analysis'!E39</f>
        <v>32.469789824035338</v>
      </c>
      <c r="B39">
        <f>'Daily Analysis'!D39</f>
        <v>5764</v>
      </c>
    </row>
    <row r="40" spans="1:2" x14ac:dyDescent="0.3">
      <c r="A40">
        <f>'Daily Analysis'!E40</f>
        <v>33.789534212848089</v>
      </c>
      <c r="B40">
        <f>'Daily Analysis'!D40</f>
        <v>3028</v>
      </c>
    </row>
    <row r="41" spans="1:2" x14ac:dyDescent="0.3">
      <c r="A41">
        <f>'Daily Analysis'!E41</f>
        <v>32.481025695291564</v>
      </c>
      <c r="B41">
        <f>'Daily Analysis'!D41</f>
        <v>9284</v>
      </c>
    </row>
    <row r="42" spans="1:2" x14ac:dyDescent="0.3">
      <c r="A42">
        <f>'Daily Analysis'!E42</f>
        <v>32.461043190859023</v>
      </c>
      <c r="B42">
        <f>'Daily Analysis'!D42</f>
        <v>9737</v>
      </c>
    </row>
    <row r="43" spans="1:2" x14ac:dyDescent="0.3">
      <c r="A43">
        <f>'Daily Analysis'!E43</f>
        <v>32.47130496146584</v>
      </c>
      <c r="B43">
        <f>'Daily Analysis'!D43</f>
        <v>4163</v>
      </c>
    </row>
    <row r="44" spans="1:2" x14ac:dyDescent="0.3">
      <c r="A44">
        <f>'Daily Analysis'!E44</f>
        <v>32.453320779067113</v>
      </c>
      <c r="B44">
        <f>'Daily Analysis'!D44</f>
        <v>4552</v>
      </c>
    </row>
    <row r="45" spans="1:2" x14ac:dyDescent="0.3">
      <c r="A45">
        <f>'Daily Analysis'!E45</f>
        <v>32.478127143908466</v>
      </c>
      <c r="B45">
        <f>'Daily Analysis'!D45</f>
        <v>4172</v>
      </c>
    </row>
    <row r="46" spans="1:2" x14ac:dyDescent="0.3">
      <c r="A46">
        <f>'Daily Analysis'!E46</f>
        <v>32.446465198586914</v>
      </c>
      <c r="B46">
        <f>'Daily Analysis'!D46</f>
        <v>5037</v>
      </c>
    </row>
    <row r="47" spans="1:2" x14ac:dyDescent="0.3">
      <c r="A47">
        <f>'Daily Analysis'!E47</f>
        <v>32.470446894009413</v>
      </c>
      <c r="B47">
        <f>'Daily Analysis'!D47</f>
        <v>4259</v>
      </c>
    </row>
    <row r="48" spans="1:2" x14ac:dyDescent="0.3">
      <c r="A48">
        <f>'Daily Analysis'!E48</f>
        <v>32.453652991050902</v>
      </c>
      <c r="B48">
        <f>'Daily Analysis'!D48</f>
        <v>10381</v>
      </c>
    </row>
    <row r="49" spans="1:2" x14ac:dyDescent="0.3">
      <c r="A49">
        <f>'Daily Analysis'!E49</f>
        <v>32.450517844547477</v>
      </c>
      <c r="B49">
        <f>'Daily Analysis'!D49</f>
        <v>11332</v>
      </c>
    </row>
    <row r="50" spans="1:2" x14ac:dyDescent="0.3">
      <c r="A50">
        <f>'Daily Analysis'!E50</f>
        <v>32.448229073756018</v>
      </c>
      <c r="B50">
        <f>'Daily Analysis'!D50</f>
        <v>4127</v>
      </c>
    </row>
    <row r="51" spans="1:2" x14ac:dyDescent="0.3">
      <c r="A51">
        <f>'Daily Analysis'!E51</f>
        <v>32.437157886999849</v>
      </c>
      <c r="B51">
        <f>'Daily Analysis'!D51</f>
        <v>4649</v>
      </c>
    </row>
    <row r="52" spans="1:2" x14ac:dyDescent="0.3">
      <c r="A52">
        <f>'Daily Analysis'!E52</f>
        <v>34.168365295497182</v>
      </c>
      <c r="B52">
        <f>'Daily Analysis'!D52</f>
        <v>1627</v>
      </c>
    </row>
    <row r="53" spans="1:2" x14ac:dyDescent="0.3">
      <c r="A53">
        <f>'Daily Analysis'!E53</f>
        <v>32.437425126127401</v>
      </c>
      <c r="B53">
        <f>'Daily Analysis'!D53</f>
        <v>3281</v>
      </c>
    </row>
    <row r="54" spans="1:2" x14ac:dyDescent="0.3">
      <c r="A54">
        <f>'Daily Analysis'!E54</f>
        <v>34.173400183895211</v>
      </c>
      <c r="B54">
        <f>'Daily Analysis'!D54</f>
        <v>2310</v>
      </c>
    </row>
    <row r="55" spans="1:2" x14ac:dyDescent="0.3">
      <c r="A55">
        <f>'Daily Analysis'!E55</f>
        <v>32.433821450574811</v>
      </c>
      <c r="B55">
        <f>'Daily Analysis'!D55</f>
        <v>9802</v>
      </c>
    </row>
    <row r="56" spans="1:2" x14ac:dyDescent="0.3">
      <c r="A56">
        <f>'Daily Analysis'!E56</f>
        <v>31.643253741560194</v>
      </c>
      <c r="B56">
        <f>'Daily Analysis'!D56</f>
        <v>9772</v>
      </c>
    </row>
    <row r="57" spans="1:2" x14ac:dyDescent="0.3">
      <c r="A57">
        <f>'Daily Analysis'!E57</f>
        <v>32.433618255377588</v>
      </c>
      <c r="B57">
        <f>'Daily Analysis'!D57</f>
        <v>4270</v>
      </c>
    </row>
    <row r="58" spans="1:2" x14ac:dyDescent="0.3">
      <c r="A58">
        <f>'Daily Analysis'!E58</f>
        <v>32.427233854173423</v>
      </c>
      <c r="B58">
        <f>'Daily Analysis'!D58</f>
        <v>4106</v>
      </c>
    </row>
    <row r="59" spans="1:2" x14ac:dyDescent="0.3">
      <c r="A59">
        <f>'Daily Analysis'!E59</f>
        <v>32.433999738055675</v>
      </c>
      <c r="B59">
        <f>'Daily Analysis'!D59</f>
        <v>6937</v>
      </c>
    </row>
    <row r="60" spans="1:2" x14ac:dyDescent="0.3">
      <c r="A60">
        <f>'Daily Analysis'!E60</f>
        <v>32.456243361412199</v>
      </c>
      <c r="B60">
        <f>'Daily Analysis'!D60</f>
        <v>6934</v>
      </c>
    </row>
    <row r="61" spans="1:2" x14ac:dyDescent="0.3">
      <c r="A61">
        <f>'Daily Analysis'!E61</f>
        <v>31.068370550544124</v>
      </c>
      <c r="B61">
        <f>'Daily Analysis'!D61</f>
        <v>11082</v>
      </c>
    </row>
    <row r="62" spans="1:2" x14ac:dyDescent="0.3">
      <c r="A62">
        <f>'Daily Analysis'!E62</f>
        <v>31.813338139853375</v>
      </c>
      <c r="B62">
        <f>'Daily Analysis'!D62</f>
        <v>20805</v>
      </c>
    </row>
    <row r="63" spans="1:2" x14ac:dyDescent="0.3">
      <c r="A63">
        <f>'Daily Analysis'!E63</f>
        <v>32.059007503248921</v>
      </c>
      <c r="B63">
        <f>'Daily Analysis'!D63</f>
        <v>26410</v>
      </c>
    </row>
    <row r="64" spans="1:2" x14ac:dyDescent="0.3">
      <c r="A64">
        <f>'Daily Analysis'!E64</f>
        <v>31.918308775781338</v>
      </c>
      <c r="B64">
        <f>'Daily Analysis'!D64</f>
        <v>15004</v>
      </c>
    </row>
    <row r="65" spans="1:2" x14ac:dyDescent="0.3">
      <c r="A65">
        <f>'Daily Analysis'!E65</f>
        <v>31.913480344263363</v>
      </c>
      <c r="B65">
        <f>'Daily Analysis'!D65</f>
        <v>16884</v>
      </c>
    </row>
    <row r="66" spans="1:2" x14ac:dyDescent="0.3">
      <c r="A66">
        <f>'Daily Analysis'!E66</f>
        <v>31.703557185365689</v>
      </c>
      <c r="B66">
        <f>'Daily Analysis'!D66</f>
        <v>9789</v>
      </c>
    </row>
    <row r="67" spans="1:2" x14ac:dyDescent="0.3">
      <c r="A67">
        <f>'Daily Analysis'!E67</f>
        <v>31.735427925544286</v>
      </c>
      <c r="B67">
        <f>'Daily Analysis'!D67</f>
        <v>8079</v>
      </c>
    </row>
    <row r="68" spans="1:2" x14ac:dyDescent="0.3">
      <c r="A68">
        <f>'Daily Analysis'!E68</f>
        <v>33.084317779198301</v>
      </c>
      <c r="B68">
        <f>'Daily Analysis'!D68</f>
        <v>5072</v>
      </c>
    </row>
    <row r="69" spans="1:2" x14ac:dyDescent="0.3">
      <c r="A69">
        <f>'Daily Analysis'!E69</f>
        <v>31.978422205454347</v>
      </c>
      <c r="B69">
        <f>'Daily Analysis'!D69</f>
        <v>14551</v>
      </c>
    </row>
    <row r="70" spans="1:2" x14ac:dyDescent="0.3">
      <c r="A70">
        <f>'Daily Analysis'!E70</f>
        <v>31.985410751419913</v>
      </c>
      <c r="B70">
        <f>'Daily Analysis'!D70</f>
        <v>16262</v>
      </c>
    </row>
    <row r="71" spans="1:2" x14ac:dyDescent="0.3">
      <c r="A71">
        <f>'Daily Analysis'!E71</f>
        <v>32.035821616682668</v>
      </c>
      <c r="B71">
        <f>'Daily Analysis'!D71</f>
        <v>7014</v>
      </c>
    </row>
    <row r="72" spans="1:2" x14ac:dyDescent="0.3">
      <c r="A72">
        <f>'Daily Analysis'!E72</f>
        <v>32.045530552657681</v>
      </c>
      <c r="B72">
        <f>'Daily Analysis'!D72</f>
        <v>8932</v>
      </c>
    </row>
    <row r="73" spans="1:2" x14ac:dyDescent="0.3">
      <c r="A73">
        <f>'Daily Analysis'!E73</f>
        <v>32.620362221123145</v>
      </c>
      <c r="B73">
        <f>'Daily Analysis'!D73</f>
        <v>5737</v>
      </c>
    </row>
    <row r="74" spans="1:2" x14ac:dyDescent="0.3">
      <c r="A74">
        <f>'Daily Analysis'!E74</f>
        <v>32.475078625823258</v>
      </c>
      <c r="B74">
        <f>'Daily Analysis'!D74</f>
        <v>5903</v>
      </c>
    </row>
    <row r="75" spans="1:2" x14ac:dyDescent="0.3">
      <c r="A75">
        <f>'Daily Analysis'!E75</f>
        <v>32.568031567009946</v>
      </c>
      <c r="B75">
        <f>'Daily Analysis'!D75</f>
        <v>5056</v>
      </c>
    </row>
    <row r="76" spans="1:2" x14ac:dyDescent="0.3">
      <c r="A76">
        <f>'Daily Analysis'!E76</f>
        <v>32.542232689419102</v>
      </c>
      <c r="B76">
        <f>'Daily Analysis'!D76</f>
        <v>12167</v>
      </c>
    </row>
    <row r="77" spans="1:2" x14ac:dyDescent="0.3">
      <c r="A77">
        <f>'Daily Analysis'!E77</f>
        <v>32.44525767797348</v>
      </c>
      <c r="B77">
        <f>'Daily Analysis'!D77</f>
        <v>15971</v>
      </c>
    </row>
    <row r="78" spans="1:2" x14ac:dyDescent="0.3">
      <c r="A78">
        <f>'Daily Analysis'!E78</f>
        <v>32.522668619441852</v>
      </c>
      <c r="B78">
        <f>'Daily Analysis'!D78</f>
        <v>6968</v>
      </c>
    </row>
    <row r="79" spans="1:2" x14ac:dyDescent="0.3">
      <c r="A79">
        <f>'Daily Analysis'!E79</f>
        <v>32.520399245713506</v>
      </c>
      <c r="B79">
        <f>'Daily Analysis'!D79</f>
        <v>7494</v>
      </c>
    </row>
    <row r="80" spans="1:2" x14ac:dyDescent="0.3">
      <c r="A80">
        <f>'Daily Analysis'!E80</f>
        <v>35.038693682959178</v>
      </c>
      <c r="B80">
        <f>'Daily Analysis'!D80</f>
        <v>2707</v>
      </c>
    </row>
    <row r="81" spans="1:2" x14ac:dyDescent="0.3">
      <c r="A81">
        <f>'Daily Analysis'!E81</f>
        <v>35.034805865216391</v>
      </c>
      <c r="B81">
        <f>'Daily Analysis'!D81</f>
        <v>2637</v>
      </c>
    </row>
    <row r="82" spans="1:2" x14ac:dyDescent="0.3">
      <c r="A82">
        <f>'Daily Analysis'!E82</f>
        <v>35.034924782373317</v>
      </c>
      <c r="B82">
        <f>'Daily Analysis'!D82</f>
        <v>5149</v>
      </c>
    </row>
    <row r="83" spans="1:2" x14ac:dyDescent="0.3">
      <c r="A83">
        <f>'Daily Analysis'!E83</f>
        <v>35.037435460147165</v>
      </c>
      <c r="B83">
        <f>'Daily Analysis'!D83</f>
        <v>5735</v>
      </c>
    </row>
    <row r="84" spans="1:2" x14ac:dyDescent="0.3">
      <c r="A84">
        <f>'Daily Analysis'!E84</f>
        <v>35.039287826264221</v>
      </c>
      <c r="B84">
        <f>'Daily Analysis'!D84</f>
        <v>4936</v>
      </c>
    </row>
    <row r="85" spans="1:2" x14ac:dyDescent="0.3">
      <c r="A85">
        <f>'Daily Analysis'!E85</f>
        <v>35.044832520150379</v>
      </c>
      <c r="B85">
        <f>'Daily Analysis'!D85</f>
        <v>2003</v>
      </c>
    </row>
    <row r="86" spans="1:2" x14ac:dyDescent="0.3">
      <c r="A86">
        <f>'Daily Analysis'!E86</f>
        <v>35.031517275794648</v>
      </c>
      <c r="B86">
        <f>'Daily Analysis'!D86</f>
        <v>2323</v>
      </c>
    </row>
    <row r="87" spans="1:2" x14ac:dyDescent="0.3">
      <c r="A87">
        <f>'Daily Analysis'!E87</f>
        <v>34.073002280109577</v>
      </c>
      <c r="B87">
        <f>'Daily Analysis'!D87</f>
        <v>3822</v>
      </c>
    </row>
    <row r="88" spans="1:2" x14ac:dyDescent="0.3">
      <c r="A88">
        <f>'Daily Analysis'!E88</f>
        <v>34.181679325655701</v>
      </c>
      <c r="B88">
        <f>'Daily Analysis'!D88</f>
        <v>3666</v>
      </c>
    </row>
    <row r="89" spans="1:2" x14ac:dyDescent="0.3">
      <c r="A89">
        <f>'Daily Analysis'!E89</f>
        <v>33.715026710287866</v>
      </c>
      <c r="B89">
        <f>'Daily Analysis'!D89</f>
        <v>3543</v>
      </c>
    </row>
    <row r="90" spans="1:2" x14ac:dyDescent="0.3">
      <c r="A90">
        <f>'Daily Analysis'!E90</f>
        <v>33.969836324758148</v>
      </c>
      <c r="B90">
        <f>'Daily Analysis'!D90</f>
        <v>8130</v>
      </c>
    </row>
    <row r="91" spans="1:2" x14ac:dyDescent="0.3">
      <c r="A91">
        <f>'Daily Analysis'!E91</f>
        <v>33.976922127842862</v>
      </c>
      <c r="B91">
        <f>'Daily Analysis'!D91</f>
        <v>10518</v>
      </c>
    </row>
    <row r="92" spans="1:2" x14ac:dyDescent="0.3">
      <c r="A92">
        <f>'Daily Analysis'!E92</f>
        <v>34.202774008078443</v>
      </c>
      <c r="B92">
        <f>'Daily Analysis'!D92</f>
        <v>4791</v>
      </c>
    </row>
    <row r="93" spans="1:2" x14ac:dyDescent="0.3">
      <c r="A93">
        <f>'Daily Analysis'!E93</f>
        <v>34.160776379831631</v>
      </c>
      <c r="B93">
        <f>'Daily Analysis'!D93</f>
        <v>5583</v>
      </c>
    </row>
    <row r="94" spans="1:2" x14ac:dyDescent="0.3">
      <c r="A94">
        <f>'Daily Analysis'!E94</f>
        <v>34.176828123754532</v>
      </c>
      <c r="B94">
        <f>'Daily Analysis'!D94</f>
        <v>7155</v>
      </c>
    </row>
    <row r="95" spans="1:2" x14ac:dyDescent="0.3">
      <c r="A95">
        <f>'Daily Analysis'!E95</f>
        <v>34.015410664224589</v>
      </c>
      <c r="B95">
        <f>'Daily Analysis'!D95</f>
        <v>4575</v>
      </c>
    </row>
    <row r="96" spans="1:2" x14ac:dyDescent="0.3">
      <c r="A96">
        <f>'Daily Analysis'!E96</f>
        <v>34.026014050557265</v>
      </c>
      <c r="B96">
        <f>'Daily Analysis'!D96</f>
        <v>3997</v>
      </c>
    </row>
    <row r="97" spans="1:2" x14ac:dyDescent="0.3">
      <c r="A97">
        <f>'Daily Analysis'!E97</f>
        <v>34.285694046917484</v>
      </c>
      <c r="B97">
        <f>'Daily Analysis'!D97</f>
        <v>5558</v>
      </c>
    </row>
    <row r="98" spans="1:2" x14ac:dyDescent="0.3">
      <c r="A98">
        <f>'Daily Analysis'!E98</f>
        <v>34.352927615367278</v>
      </c>
      <c r="B98">
        <f>'Daily Analysis'!D98</f>
        <v>6320</v>
      </c>
    </row>
    <row r="99" spans="1:2" x14ac:dyDescent="0.3">
      <c r="A99">
        <f>'Daily Analysis'!E99</f>
        <v>34.577922826387095</v>
      </c>
      <c r="B99">
        <f>'Daily Analysis'!D99</f>
        <v>3447</v>
      </c>
    </row>
    <row r="100" spans="1:2" x14ac:dyDescent="0.3">
      <c r="A100">
        <f>'Daily Analysis'!E100</f>
        <v>34.226828607040062</v>
      </c>
      <c r="B100">
        <f>'Daily Analysis'!D100</f>
        <v>3854</v>
      </c>
    </row>
    <row r="101" spans="1:2" x14ac:dyDescent="0.3">
      <c r="A101">
        <f>'Daily Analysis'!E101</f>
        <v>35.038688178037361</v>
      </c>
      <c r="B101">
        <f>'Daily Analysis'!D101</f>
        <v>3394</v>
      </c>
    </row>
    <row r="102" spans="1:2" x14ac:dyDescent="0.3">
      <c r="A102">
        <f>'Daily Analysis'!E102</f>
        <v>35.034600852317929</v>
      </c>
      <c r="B102">
        <f>'Daily Analysis'!D102</f>
        <v>3563</v>
      </c>
    </row>
    <row r="103" spans="1:2" x14ac:dyDescent="0.3">
      <c r="A103">
        <f>'Daily Analysis'!E103</f>
        <v>33.332061380687065</v>
      </c>
      <c r="B103">
        <f>'Daily Analysis'!D103</f>
        <v>5380</v>
      </c>
    </row>
    <row r="104" spans="1:2" x14ac:dyDescent="0.3">
      <c r="A104">
        <f>'Daily Analysis'!E104</f>
        <v>33.317645153678058</v>
      </c>
      <c r="B104">
        <f>'Daily Analysis'!D104</f>
        <v>9573</v>
      </c>
    </row>
    <row r="105" spans="1:2" x14ac:dyDescent="0.3">
      <c r="A105">
        <f>'Daily Analysis'!E105</f>
        <v>33.336098606461242</v>
      </c>
      <c r="B105">
        <f>'Daily Analysis'!D105</f>
        <v>11250</v>
      </c>
    </row>
    <row r="106" spans="1:2" x14ac:dyDescent="0.3">
      <c r="A106">
        <f>'Daily Analysis'!E106</f>
        <v>33.345398938932405</v>
      </c>
      <c r="B106">
        <f>'Daily Analysis'!D106</f>
        <v>4990</v>
      </c>
    </row>
    <row r="107" spans="1:2" x14ac:dyDescent="0.3">
      <c r="A107">
        <f>'Daily Analysis'!E107</f>
        <v>33.330865364514437</v>
      </c>
      <c r="B107">
        <f>'Daily Analysis'!D107</f>
        <v>5810</v>
      </c>
    </row>
    <row r="108" spans="1:2" x14ac:dyDescent="0.3">
      <c r="A108">
        <f>'Daily Analysis'!E108</f>
        <v>33.320730587367137</v>
      </c>
      <c r="B108">
        <f>'Daily Analysis'!D108</f>
        <v>7497</v>
      </c>
    </row>
    <row r="109" spans="1:2" x14ac:dyDescent="0.3">
      <c r="A109">
        <f>'Daily Analysis'!E109</f>
        <v>33.332208467072917</v>
      </c>
      <c r="B109">
        <f>'Daily Analysis'!D109</f>
        <v>8821</v>
      </c>
    </row>
    <row r="110" spans="1:2" x14ac:dyDescent="0.3">
      <c r="A110">
        <f>'Daily Analysis'!E110</f>
        <v>33.335293792727747</v>
      </c>
      <c r="B110">
        <f>'Daily Analysis'!D110</f>
        <v>18366</v>
      </c>
    </row>
    <row r="111" spans="1:2" x14ac:dyDescent="0.3">
      <c r="A111">
        <f>'Daily Analysis'!E111</f>
        <v>33.344011324859892</v>
      </c>
      <c r="B111">
        <f>'Daily Analysis'!D111</f>
        <v>13940</v>
      </c>
    </row>
    <row r="112" spans="1:2" x14ac:dyDescent="0.3">
      <c r="A112">
        <f>'Daily Analysis'!E112</f>
        <v>33.334653268867932</v>
      </c>
      <c r="B112">
        <f>'Daily Analysis'!D112</f>
        <v>10814</v>
      </c>
    </row>
    <row r="113" spans="1:2" x14ac:dyDescent="0.3">
      <c r="A113">
        <f>'Daily Analysis'!E113</f>
        <v>33.327377443502336</v>
      </c>
      <c r="B113">
        <f>'Daily Analysis'!D113</f>
        <v>3429</v>
      </c>
    </row>
    <row r="114" spans="1:2" x14ac:dyDescent="0.3">
      <c r="A114">
        <f>'Daily Analysis'!E114</f>
        <v>33.341088209087751</v>
      </c>
      <c r="B114">
        <f>'Daily Analysis'!D114</f>
        <v>4834</v>
      </c>
    </row>
    <row r="115" spans="1:2" x14ac:dyDescent="0.3">
      <c r="A115">
        <f>'Daily Analysis'!E115</f>
        <v>33.330255067635655</v>
      </c>
      <c r="B115">
        <f>'Daily Analysis'!D115</f>
        <v>5475</v>
      </c>
    </row>
    <row r="116" spans="1:2" x14ac:dyDescent="0.3">
      <c r="A116">
        <f>'Daily Analysis'!E116</f>
        <v>35.03954262384476</v>
      </c>
      <c r="B116">
        <f>'Daily Analysis'!D116</f>
        <v>3121</v>
      </c>
    </row>
    <row r="117" spans="1:2" x14ac:dyDescent="0.3">
      <c r="A117">
        <f>'Daily Analysis'!E117</f>
        <v>35.04098045898558</v>
      </c>
      <c r="B117">
        <f>'Daily Analysis'!D117</f>
        <v>2809</v>
      </c>
    </row>
    <row r="118" spans="1:2" x14ac:dyDescent="0.3">
      <c r="A118">
        <f>'Daily Analysis'!E118</f>
        <v>34.642303732210685</v>
      </c>
      <c r="B118">
        <f>'Daily Analysis'!D118</f>
        <v>8537</v>
      </c>
    </row>
    <row r="119" spans="1:2" x14ac:dyDescent="0.3">
      <c r="A119">
        <f>'Daily Analysis'!E119</f>
        <v>34.724568148754734</v>
      </c>
      <c r="B119">
        <f>'Daily Analysis'!D119</f>
        <v>8209</v>
      </c>
    </row>
    <row r="120" spans="1:2" x14ac:dyDescent="0.3">
      <c r="A120">
        <f>'Daily Analysis'!E120</f>
        <v>34.789754027856013</v>
      </c>
      <c r="B120">
        <f>'Daily Analysis'!D120</f>
        <v>3592</v>
      </c>
    </row>
    <row r="121" spans="1:2" x14ac:dyDescent="0.3">
      <c r="A121">
        <f>'Daily Analysis'!E121</f>
        <v>34.724778621968341</v>
      </c>
      <c r="B121">
        <f>'Daily Analysis'!D121</f>
        <v>3576</v>
      </c>
    </row>
    <row r="122" spans="1:2" x14ac:dyDescent="0.3">
      <c r="A122">
        <f>'Daily Analysis'!E122</f>
        <v>34.631618500720727</v>
      </c>
      <c r="B122">
        <f>'Daily Analysis'!D122</f>
        <v>3807</v>
      </c>
    </row>
    <row r="123" spans="1:2" x14ac:dyDescent="0.3">
      <c r="A123">
        <f>'Daily Analysis'!E123</f>
        <v>35.209199012660612</v>
      </c>
      <c r="B123">
        <f>'Daily Analysis'!D123</f>
        <v>4398</v>
      </c>
    </row>
    <row r="124" spans="1:2" x14ac:dyDescent="0.3">
      <c r="A124">
        <f>'Daily Analysis'!E124</f>
        <v>35.186235115149806</v>
      </c>
      <c r="B124">
        <f>'Daily Analysis'!D124</f>
        <v>5124</v>
      </c>
    </row>
    <row r="125" spans="1:2" x14ac:dyDescent="0.3">
      <c r="A125">
        <f>'Daily Analysis'!E125</f>
        <v>35.76708924463685</v>
      </c>
      <c r="B125">
        <f>'Daily Analysis'!D125</f>
        <v>4581</v>
      </c>
    </row>
    <row r="126" spans="1:2" x14ac:dyDescent="0.3">
      <c r="A126">
        <f>'Daily Analysis'!E126</f>
        <v>35.552283594114527</v>
      </c>
      <c r="B126">
        <f>'Daily Analysis'!D126</f>
        <v>3697</v>
      </c>
    </row>
    <row r="127" spans="1:2" x14ac:dyDescent="0.3">
      <c r="A127">
        <f>'Daily Analysis'!E127</f>
        <v>35.231659332661927</v>
      </c>
      <c r="B127">
        <f>'Daily Analysis'!D127</f>
        <v>2642</v>
      </c>
    </row>
    <row r="128" spans="1:2" x14ac:dyDescent="0.3">
      <c r="A128">
        <f>'Daily Analysis'!E128</f>
        <v>35.157581895121176</v>
      </c>
      <c r="B128">
        <f>'Daily Analysis'!D128</f>
        <v>3154</v>
      </c>
    </row>
    <row r="129" spans="1:2" x14ac:dyDescent="0.3">
      <c r="A129">
        <f>'Daily Analysis'!E129</f>
        <v>35.916238077002681</v>
      </c>
      <c r="B129">
        <f>'Daily Analysis'!D129</f>
        <v>3324</v>
      </c>
    </row>
    <row r="130" spans="1:2" x14ac:dyDescent="0.3">
      <c r="A130">
        <f>'Daily Analysis'!E130</f>
        <v>34.26208045529976</v>
      </c>
      <c r="B130">
        <f>'Daily Analysis'!D130</f>
        <v>2677</v>
      </c>
    </row>
    <row r="131" spans="1:2" x14ac:dyDescent="0.3">
      <c r="A131">
        <f>'Daily Analysis'!E131</f>
        <v>35.905869903610679</v>
      </c>
      <c r="B131">
        <f>'Daily Analysis'!D131</f>
        <v>2683</v>
      </c>
    </row>
    <row r="132" spans="1:2" x14ac:dyDescent="0.3">
      <c r="A132">
        <f>'Daily Analysis'!E132</f>
        <v>32.507107456502411</v>
      </c>
      <c r="B132">
        <f>'Daily Analysis'!D132</f>
        <v>9328</v>
      </c>
    </row>
    <row r="133" spans="1:2" x14ac:dyDescent="0.3">
      <c r="A133">
        <f>'Daily Analysis'!E133</f>
        <v>32.443687747435753</v>
      </c>
      <c r="B133">
        <f>'Daily Analysis'!D133</f>
        <v>13306</v>
      </c>
    </row>
    <row r="134" spans="1:2" x14ac:dyDescent="0.3">
      <c r="A134">
        <f>'Daily Analysis'!E134</f>
        <v>32.465134791437258</v>
      </c>
      <c r="B134">
        <f>'Daily Analysis'!D134</f>
        <v>6173</v>
      </c>
    </row>
    <row r="135" spans="1:2" x14ac:dyDescent="0.3">
      <c r="A135">
        <f>'Daily Analysis'!E135</f>
        <v>32.445375614317356</v>
      </c>
      <c r="B135">
        <f>'Daily Analysis'!D135</f>
        <v>5653</v>
      </c>
    </row>
    <row r="136" spans="1:2" x14ac:dyDescent="0.3">
      <c r="A136">
        <f>'Daily Analysis'!E136</f>
        <v>32.459827031930331</v>
      </c>
      <c r="B136">
        <f>'Daily Analysis'!D136</f>
        <v>4503</v>
      </c>
    </row>
    <row r="137" spans="1:2" x14ac:dyDescent="0.3">
      <c r="A137">
        <f>'Daily Analysis'!E137</f>
        <v>32.163877761204972</v>
      </c>
      <c r="B137">
        <f>'Daily Analysis'!D137</f>
        <v>6253</v>
      </c>
    </row>
    <row r="138" spans="1:2" x14ac:dyDescent="0.3">
      <c r="A138">
        <f>'Daily Analysis'!E138</f>
        <v>32.126968461385395</v>
      </c>
      <c r="B138">
        <f>'Daily Analysis'!D138</f>
        <v>8408</v>
      </c>
    </row>
    <row r="139" spans="1:2" x14ac:dyDescent="0.3">
      <c r="A139">
        <f>'Daily Analysis'!E139</f>
        <v>32.073162711270939</v>
      </c>
      <c r="B139">
        <f>'Daily Analysis'!D139</f>
        <v>12949</v>
      </c>
    </row>
    <row r="140" spans="1:2" x14ac:dyDescent="0.3">
      <c r="A140">
        <f>'Daily Analysis'!E140</f>
        <v>32.158692130191781</v>
      </c>
      <c r="B140">
        <f>'Daily Analysis'!D140</f>
        <v>15508</v>
      </c>
    </row>
    <row r="141" spans="1:2" x14ac:dyDescent="0.3">
      <c r="A141">
        <f>'Daily Analysis'!E141</f>
        <v>32.3736961932036</v>
      </c>
      <c r="B141">
        <f>'Daily Analysis'!D141</f>
        <v>5141</v>
      </c>
    </row>
    <row r="142" spans="1:2" x14ac:dyDescent="0.3">
      <c r="A142">
        <f>'Daily Analysis'!E142</f>
        <v>32.445250167005874</v>
      </c>
      <c r="B142">
        <f>'Daily Analysis'!D142</f>
        <v>5194</v>
      </c>
    </row>
    <row r="143" spans="1:2" x14ac:dyDescent="0.3">
      <c r="A143">
        <f>'Daily Analysis'!E143</f>
        <v>32.094330109826068</v>
      </c>
      <c r="B143">
        <f>'Daily Analysis'!D143</f>
        <v>5550</v>
      </c>
    </row>
    <row r="144" spans="1:2" x14ac:dyDescent="0.3">
      <c r="A144">
        <f>'Daily Analysis'!E144</f>
        <v>32.105239313777744</v>
      </c>
      <c r="B144">
        <f>'Daily Analysis'!D144</f>
        <v>6070</v>
      </c>
    </row>
    <row r="145" spans="1:2" x14ac:dyDescent="0.3">
      <c r="A145">
        <f>'Daily Analysis'!E145</f>
        <v>33.754778397035892</v>
      </c>
      <c r="B145">
        <f>'Daily Analysis'!D145</f>
        <v>3421</v>
      </c>
    </row>
    <row r="146" spans="1:2" x14ac:dyDescent="0.3">
      <c r="A146">
        <f>'Daily Analysis'!E146</f>
        <v>32.166842837616194</v>
      </c>
      <c r="B146">
        <f>'Daily Analysis'!D146</f>
        <v>13384</v>
      </c>
    </row>
    <row r="147" spans="1:2" x14ac:dyDescent="0.3">
      <c r="A147">
        <f>'Daily Analysis'!E147</f>
        <v>32.177098804785558</v>
      </c>
      <c r="B147">
        <f>'Daily Analysis'!D147</f>
        <v>18356</v>
      </c>
    </row>
    <row r="148" spans="1:2" x14ac:dyDescent="0.3">
      <c r="A148">
        <f>'Daily Analysis'!E148</f>
        <v>32.425341223429371</v>
      </c>
      <c r="B148">
        <f>'Daily Analysis'!D148</f>
        <v>6500</v>
      </c>
    </row>
    <row r="149" spans="1:2" x14ac:dyDescent="0.3">
      <c r="A149">
        <f>'Daily Analysis'!E149</f>
        <v>32.314773181493955</v>
      </c>
      <c r="B149">
        <f>'Daily Analysis'!D149</f>
        <v>6752</v>
      </c>
    </row>
    <row r="150" spans="1:2" x14ac:dyDescent="0.3">
      <c r="A150">
        <f>'Daily Analysis'!E150</f>
        <v>32.198841510659577</v>
      </c>
      <c r="B150">
        <f>'Daily Analysis'!D150</f>
        <v>7023</v>
      </c>
    </row>
    <row r="151" spans="1:2" x14ac:dyDescent="0.3">
      <c r="A151">
        <f>'Daily Analysis'!E151</f>
        <v>32.15739121850735</v>
      </c>
      <c r="B151">
        <f>'Daily Analysis'!D151</f>
        <v>7579</v>
      </c>
    </row>
    <row r="152" spans="1:2" x14ac:dyDescent="0.3">
      <c r="A152">
        <f>'Daily Analysis'!E152</f>
        <v>32.169576465281622</v>
      </c>
      <c r="B152">
        <f>'Daily Analysis'!D152</f>
        <v>6448</v>
      </c>
    </row>
    <row r="153" spans="1:2" x14ac:dyDescent="0.3">
      <c r="A153">
        <f>'Daily Analysis'!E153</f>
        <v>32.1768517839322</v>
      </c>
      <c r="B153">
        <f>'Daily Analysis'!D153</f>
        <v>15637</v>
      </c>
    </row>
    <row r="154" spans="1:2" x14ac:dyDescent="0.3">
      <c r="A154">
        <f>'Daily Analysis'!E154</f>
        <v>32.157059362241078</v>
      </c>
      <c r="B154">
        <f>'Daily Analysis'!D154</f>
        <v>18775</v>
      </c>
    </row>
    <row r="155" spans="1:2" x14ac:dyDescent="0.3">
      <c r="A155">
        <f>'Daily Analysis'!E155</f>
        <v>32.141067316935185</v>
      </c>
      <c r="B155">
        <f>'Daily Analysis'!D155</f>
        <v>14188</v>
      </c>
    </row>
    <row r="156" spans="1:2" x14ac:dyDescent="0.3">
      <c r="A156">
        <f>'Daily Analysis'!E156</f>
        <v>32.124713038980168</v>
      </c>
      <c r="B156">
        <f>'Daily Analysis'!D156</f>
        <v>13256</v>
      </c>
    </row>
    <row r="157" spans="1:2" x14ac:dyDescent="0.3">
      <c r="A157">
        <f>'Daily Analysis'!E157</f>
        <v>32.105817270140562</v>
      </c>
      <c r="B157">
        <f>'Daily Analysis'!D157</f>
        <v>10223</v>
      </c>
    </row>
    <row r="158" spans="1:2" x14ac:dyDescent="0.3">
      <c r="A158">
        <f>'Daily Analysis'!E158</f>
        <v>32.16599267772947</v>
      </c>
      <c r="B158">
        <f>'Daily Analysis'!D158</f>
        <v>8904</v>
      </c>
    </row>
    <row r="159" spans="1:2" x14ac:dyDescent="0.3">
      <c r="A159">
        <f>'Daily Analysis'!E159</f>
        <v>31.98856798666365</v>
      </c>
      <c r="B159">
        <f>'Daily Analysis'!D159</f>
        <v>5783</v>
      </c>
    </row>
    <row r="160" spans="1:2" x14ac:dyDescent="0.3">
      <c r="A160">
        <f>'Daily Analysis'!E160</f>
        <v>31.995369733198849</v>
      </c>
      <c r="B160">
        <f>'Daily Analysis'!D160</f>
        <v>9005</v>
      </c>
    </row>
    <row r="161" spans="1:2" x14ac:dyDescent="0.3">
      <c r="A161">
        <f>'Daily Analysis'!E161</f>
        <v>32.067654885424723</v>
      </c>
      <c r="B161">
        <f>'Daily Analysis'!D161</f>
        <v>12222</v>
      </c>
    </row>
    <row r="162" spans="1:2" x14ac:dyDescent="0.3">
      <c r="A162">
        <f>'Daily Analysis'!E162</f>
        <v>32.097495628424234</v>
      </c>
      <c r="B162">
        <f>'Daily Analysis'!D162</f>
        <v>6037</v>
      </c>
    </row>
    <row r="163" spans="1:2" x14ac:dyDescent="0.3">
      <c r="A163">
        <f>'Daily Analysis'!E163</f>
        <v>32.416828128139606</v>
      </c>
      <c r="B163">
        <f>'Daily Analysis'!D163</f>
        <v>6607</v>
      </c>
    </row>
    <row r="164" spans="1:2" x14ac:dyDescent="0.3">
      <c r="A164">
        <f>'Daily Analysis'!E164</f>
        <v>32.155458625692283</v>
      </c>
      <c r="B164">
        <f>'Daily Analysis'!D164</f>
        <v>5857</v>
      </c>
    </row>
    <row r="165" spans="1:2" x14ac:dyDescent="0.3">
      <c r="A165">
        <f>'Daily Analysis'!E165</f>
        <v>32.109964047791436</v>
      </c>
      <c r="B165">
        <f>'Daily Analysis'!D165</f>
        <v>5429</v>
      </c>
    </row>
    <row r="166" spans="1:2" x14ac:dyDescent="0.3">
      <c r="A166">
        <f>'Daily Analysis'!E166</f>
        <v>32.136001976293279</v>
      </c>
      <c r="B166">
        <f>'Daily Analysis'!D166</f>
        <v>6232</v>
      </c>
    </row>
    <row r="167" spans="1:2" x14ac:dyDescent="0.3">
      <c r="A167">
        <f>'Daily Analysis'!E167</f>
        <v>32.135867684190174</v>
      </c>
      <c r="B167">
        <f>'Daily Analysis'!D167</f>
        <v>14585</v>
      </c>
    </row>
    <row r="168" spans="1:2" x14ac:dyDescent="0.3">
      <c r="A168">
        <f>'Daily Analysis'!E168</f>
        <v>32.107545212407516</v>
      </c>
      <c r="B168">
        <f>'Daily Analysis'!D168</f>
        <v>14745</v>
      </c>
    </row>
    <row r="169" spans="1:2" x14ac:dyDescent="0.3">
      <c r="A169">
        <f>'Daily Analysis'!E169</f>
        <v>32.074398709068028</v>
      </c>
      <c r="B169">
        <f>'Daily Analysis'!D169</f>
        <v>6991</v>
      </c>
    </row>
    <row r="170" spans="1:2" x14ac:dyDescent="0.3">
      <c r="A170">
        <f>'Daily Analysis'!E170</f>
        <v>32.067428302469715</v>
      </c>
      <c r="B170">
        <f>'Daily Analysis'!D170</f>
        <v>5788</v>
      </c>
    </row>
    <row r="171" spans="1:2" x14ac:dyDescent="0.3">
      <c r="A171">
        <f>'Daily Analysis'!E171</f>
        <v>32.06988983938664</v>
      </c>
      <c r="B171">
        <f>'Daily Analysis'!D171</f>
        <v>6632</v>
      </c>
    </row>
    <row r="172" spans="1:2" x14ac:dyDescent="0.3">
      <c r="A172">
        <f>'Daily Analysis'!E172</f>
        <v>32.034021630997863</v>
      </c>
      <c r="B172">
        <f>'Daily Analysis'!D172</f>
        <v>5752</v>
      </c>
    </row>
    <row r="173" spans="1:2" x14ac:dyDescent="0.3">
      <c r="A173">
        <f>'Daily Analysis'!E173</f>
        <v>31.787539451587339</v>
      </c>
      <c r="B173">
        <f>'Daily Analysis'!D173</f>
        <v>3578</v>
      </c>
    </row>
    <row r="174" spans="1:2" x14ac:dyDescent="0.3">
      <c r="A174">
        <f>'Daily Analysis'!E174</f>
        <v>33.202334200872663</v>
      </c>
      <c r="B174">
        <f>'Daily Analysis'!D174</f>
        <v>6119</v>
      </c>
    </row>
    <row r="175" spans="1:2" x14ac:dyDescent="0.3">
      <c r="A175">
        <f>'Daily Analysis'!E175</f>
        <v>33.005233657645654</v>
      </c>
      <c r="B175">
        <f>'Daily Analysis'!D175</f>
        <v>6161</v>
      </c>
    </row>
    <row r="176" spans="1:2" x14ac:dyDescent="0.3">
      <c r="A176">
        <f>'Daily Analysis'!E176</f>
        <v>33.610084425144812</v>
      </c>
      <c r="B176">
        <f>'Daily Analysis'!D176</f>
        <v>4015</v>
      </c>
    </row>
    <row r="177" spans="1:2" x14ac:dyDescent="0.3">
      <c r="A177">
        <f>'Daily Analysis'!E177</f>
        <v>33.461942957891701</v>
      </c>
      <c r="B177">
        <f>'Daily Analysis'!D177</f>
        <v>4133</v>
      </c>
    </row>
    <row r="178" spans="1:2" x14ac:dyDescent="0.3">
      <c r="A178">
        <f>'Daily Analysis'!E178</f>
        <v>35.045539505158061</v>
      </c>
      <c r="B178">
        <f>'Daily Analysis'!D178</f>
        <v>1047</v>
      </c>
    </row>
    <row r="179" spans="1:2" x14ac:dyDescent="0.3">
      <c r="A179">
        <f>'Daily Analysis'!E179</f>
        <v>35.026572574722508</v>
      </c>
      <c r="B179">
        <f>'Daily Analysis'!D179</f>
        <v>1601</v>
      </c>
    </row>
    <row r="180" spans="1:2" x14ac:dyDescent="0.3">
      <c r="A180">
        <f>'Daily Analysis'!E180</f>
        <v>35.038132821822074</v>
      </c>
      <c r="B180">
        <f>'Daily Analysis'!D180</f>
        <v>1592</v>
      </c>
    </row>
    <row r="181" spans="1:2" x14ac:dyDescent="0.3">
      <c r="A181">
        <f>'Daily Analysis'!E181</f>
        <v>35.041563798028413</v>
      </c>
      <c r="B181">
        <f>'Daily Analysis'!D181</f>
        <v>3759</v>
      </c>
    </row>
    <row r="182" spans="1:2" x14ac:dyDescent="0.3">
      <c r="A182">
        <f>'Daily Analysis'!E182</f>
        <v>35.035732639490078</v>
      </c>
      <c r="B182">
        <f>'Daily Analysis'!D182</f>
        <v>4172</v>
      </c>
    </row>
    <row r="183" spans="1:2" x14ac:dyDescent="0.3">
      <c r="A183">
        <f>'Daily Analysis'!E183</f>
        <v>35.030240075045704</v>
      </c>
      <c r="B183">
        <f>'Daily Analysis'!D183</f>
        <v>1772</v>
      </c>
    </row>
    <row r="184" spans="1:2" x14ac:dyDescent="0.3">
      <c r="A184">
        <f>'Daily Analysis'!E184</f>
        <v>35.037367885963974</v>
      </c>
      <c r="B184">
        <f>'Daily Analysis'!D184</f>
        <v>2672</v>
      </c>
    </row>
    <row r="185" spans="1:2" x14ac:dyDescent="0.3">
      <c r="A185">
        <f>'Daily Analysis'!E185</f>
        <v>35.034616246550925</v>
      </c>
      <c r="B185">
        <f>'Daily Analysis'!D185</f>
        <v>5143</v>
      </c>
    </row>
    <row r="186" spans="1:2" x14ac:dyDescent="0.3">
      <c r="A186">
        <f>'Daily Analysis'!E186</f>
        <v>35.037025496919732</v>
      </c>
      <c r="B186">
        <f>'Daily Analysis'!D186</f>
        <v>2990</v>
      </c>
    </row>
    <row r="187" spans="1:2" x14ac:dyDescent="0.3">
      <c r="A187">
        <f>'Daily Analysis'!E187</f>
        <v>35.039570185568238</v>
      </c>
      <c r="B187">
        <f>'Daily Analysis'!D187</f>
        <v>2667</v>
      </c>
    </row>
    <row r="188" spans="1:2" x14ac:dyDescent="0.3">
      <c r="A188">
        <f>'Daily Analysis'!E188</f>
        <v>35.043785603408622</v>
      </c>
      <c r="B188">
        <f>'Daily Analysis'!D188</f>
        <v>2799</v>
      </c>
    </row>
    <row r="189" spans="1:2" x14ac:dyDescent="0.3">
      <c r="A189">
        <f>'Daily Analysis'!E189</f>
        <v>35.040912937510939</v>
      </c>
      <c r="B189">
        <f>'Daily Analysis'!D189</f>
        <v>3355</v>
      </c>
    </row>
    <row r="190" spans="1:2" x14ac:dyDescent="0.3">
      <c r="A190">
        <f>'Daily Analysis'!E190</f>
        <v>35.041498987088588</v>
      </c>
      <c r="B190">
        <f>'Daily Analysis'!D190</f>
        <v>2002</v>
      </c>
    </row>
    <row r="191" spans="1:2" x14ac:dyDescent="0.3">
      <c r="A191">
        <f>'Daily Analysis'!E191</f>
        <v>35.037323481185112</v>
      </c>
      <c r="B191">
        <f>'Daily Analysis'!D191</f>
        <v>1967</v>
      </c>
    </row>
    <row r="192" spans="1:2" x14ac:dyDescent="0.3">
      <c r="A192">
        <f>'Daily Analysis'!E192</f>
        <v>35.041177386347641</v>
      </c>
      <c r="B192">
        <f>'Daily Analysis'!D192</f>
        <v>3094</v>
      </c>
    </row>
    <row r="193" spans="1:2" x14ac:dyDescent="0.3">
      <c r="A193">
        <f>'Daily Analysis'!E193</f>
        <v>35.03323692012895</v>
      </c>
      <c r="B193">
        <f>'Daily Analysis'!D193</f>
        <v>2335</v>
      </c>
    </row>
    <row r="194" spans="1:2" x14ac:dyDescent="0.3">
      <c r="A194">
        <f>'Daily Analysis'!E194</f>
        <v>35.039946001829684</v>
      </c>
      <c r="B194">
        <f>'Daily Analysis'!D194</f>
        <v>2968</v>
      </c>
    </row>
    <row r="195" spans="1:2" x14ac:dyDescent="0.3">
      <c r="A195">
        <f>'Daily Analysis'!E195</f>
        <v>35.037408957771923</v>
      </c>
      <c r="B195">
        <f>'Daily Analysis'!D195</f>
        <v>3825</v>
      </c>
    </row>
    <row r="196" spans="1:2" x14ac:dyDescent="0.3">
      <c r="A196">
        <f>'Daily Analysis'!E196</f>
        <v>35.043169609251855</v>
      </c>
      <c r="B196">
        <f>'Daily Analysis'!D196</f>
        <v>2833</v>
      </c>
    </row>
    <row r="197" spans="1:2" x14ac:dyDescent="0.3">
      <c r="A197">
        <f>'Daily Analysis'!E197</f>
        <v>35.028352360761616</v>
      </c>
      <c r="B197">
        <f>'Daily Analysis'!D197</f>
        <v>1419</v>
      </c>
    </row>
    <row r="198" spans="1:2" x14ac:dyDescent="0.3">
      <c r="A198">
        <f>'Daily Analysis'!E198</f>
        <v>35.046292213264223</v>
      </c>
      <c r="B198">
        <f>'Daily Analysis'!D198</f>
        <v>2151</v>
      </c>
    </row>
    <row r="199" spans="1:2" x14ac:dyDescent="0.3">
      <c r="A199">
        <f>'Daily Analysis'!E199</f>
        <v>35.0343818850669</v>
      </c>
      <c r="B199">
        <f>'Daily Analysis'!D199</f>
        <v>3148</v>
      </c>
    </row>
    <row r="200" spans="1:2" x14ac:dyDescent="0.3">
      <c r="A200">
        <f>'Daily Analysis'!E200</f>
        <v>32.442836519258258</v>
      </c>
      <c r="B200">
        <f>'Daily Analysis'!D200</f>
        <v>4825</v>
      </c>
    </row>
    <row r="201" spans="1:2" x14ac:dyDescent="0.3">
      <c r="A201">
        <f>'Daily Analysis'!E201</f>
        <v>35.033835803173481</v>
      </c>
      <c r="B201">
        <f>'Daily Analysis'!D201</f>
        <v>2307</v>
      </c>
    </row>
    <row r="202" spans="1:2" x14ac:dyDescent="0.3">
      <c r="A202">
        <f>'Daily Analysis'!E202</f>
        <v>35.033929043690975</v>
      </c>
      <c r="B202">
        <f>'Daily Analysis'!D202</f>
        <v>3557</v>
      </c>
    </row>
    <row r="203" spans="1:2" x14ac:dyDescent="0.3">
      <c r="A203">
        <f>'Daily Analysis'!E203</f>
        <v>32.43272552149309</v>
      </c>
      <c r="B203">
        <f>'Daily Analysis'!D203</f>
        <v>7485</v>
      </c>
    </row>
    <row r="204" spans="1:2" x14ac:dyDescent="0.3">
      <c r="A204">
        <f>'Daily Analysis'!E204</f>
        <v>35.040462804545342</v>
      </c>
      <c r="B204">
        <f>'Daily Analysis'!D204</f>
        <v>2428</v>
      </c>
    </row>
    <row r="205" spans="1:2" x14ac:dyDescent="0.3">
      <c r="A205">
        <f>'Daily Analysis'!E205</f>
        <v>35.045683808994283</v>
      </c>
      <c r="B205">
        <f>'Daily Analysis'!D205</f>
        <v>2475</v>
      </c>
    </row>
    <row r="206" spans="1:2" x14ac:dyDescent="0.3">
      <c r="A206">
        <f>'Daily Analysis'!E206</f>
        <v>35.026956620284828</v>
      </c>
      <c r="B206">
        <f>'Daily Analysis'!D206</f>
        <v>1618</v>
      </c>
    </row>
    <row r="207" spans="1:2" x14ac:dyDescent="0.3">
      <c r="A207">
        <f>'Daily Analysis'!E207</f>
        <v>32.460276236630143</v>
      </c>
      <c r="B207">
        <f>'Daily Analysis'!D207</f>
        <v>5106</v>
      </c>
    </row>
    <row r="208" spans="1:2" x14ac:dyDescent="0.3">
      <c r="A208">
        <f>'Daily Analysis'!E208</f>
        <v>35.037833933202954</v>
      </c>
      <c r="B208">
        <f>'Daily Analysis'!D208</f>
        <v>2729</v>
      </c>
    </row>
    <row r="209" spans="1:2" x14ac:dyDescent="0.3">
      <c r="A209">
        <f>'Daily Analysis'!E209</f>
        <v>32.440007282265533</v>
      </c>
      <c r="B209">
        <f>'Daily Analysis'!D209</f>
        <v>15897</v>
      </c>
    </row>
    <row r="210" spans="1:2" x14ac:dyDescent="0.3">
      <c r="A210">
        <f>'Daily Analysis'!E210</f>
        <v>32.439045525447767</v>
      </c>
      <c r="B210">
        <f>'Daily Analysis'!D210</f>
        <v>17343</v>
      </c>
    </row>
    <row r="211" spans="1:2" x14ac:dyDescent="0.3">
      <c r="A211">
        <f>'Daily Analysis'!E211</f>
        <v>32.44863237358026</v>
      </c>
      <c r="B211">
        <f>'Daily Analysis'!D211</f>
        <v>8207</v>
      </c>
    </row>
    <row r="212" spans="1:2" x14ac:dyDescent="0.3">
      <c r="A212">
        <f>'Daily Analysis'!E212</f>
        <v>32.45007160044571</v>
      </c>
      <c r="B212">
        <f>'Daily Analysis'!D212</f>
        <v>9018</v>
      </c>
    </row>
    <row r="213" spans="1:2" x14ac:dyDescent="0.3">
      <c r="A213">
        <f>'Daily Analysis'!E213</f>
        <v>32.431428386981096</v>
      </c>
      <c r="B213">
        <f>'Daily Analysis'!D213</f>
        <v>6548</v>
      </c>
    </row>
    <row r="214" spans="1:2" x14ac:dyDescent="0.3">
      <c r="A214">
        <f>'Daily Analysis'!E214</f>
        <v>32.451545737714831</v>
      </c>
      <c r="B214">
        <f>'Daily Analysis'!D214</f>
        <v>6102</v>
      </c>
    </row>
    <row r="215" spans="1:2" x14ac:dyDescent="0.3">
      <c r="A215">
        <f>'Daily Analysis'!E215</f>
        <v>32.44491955360845</v>
      </c>
      <c r="B215">
        <f>'Daily Analysis'!D215</f>
        <v>9108</v>
      </c>
    </row>
    <row r="216" spans="1:2" x14ac:dyDescent="0.3">
      <c r="A216">
        <f>'Daily Analysis'!E216</f>
        <v>32.43200684692583</v>
      </c>
      <c r="B216">
        <f>'Daily Analysis'!D216</f>
        <v>18867</v>
      </c>
    </row>
    <row r="217" spans="1:2" x14ac:dyDescent="0.3">
      <c r="A217">
        <f>'Daily Analysis'!E217</f>
        <v>32.433203612688608</v>
      </c>
      <c r="B217">
        <f>'Daily Analysis'!D217</f>
        <v>19384</v>
      </c>
    </row>
    <row r="218" spans="1:2" x14ac:dyDescent="0.3">
      <c r="A218">
        <f>'Daily Analysis'!E218</f>
        <v>32.436681487380653</v>
      </c>
      <c r="B218">
        <f>'Daily Analysis'!D218</f>
        <v>9473</v>
      </c>
    </row>
    <row r="219" spans="1:2" x14ac:dyDescent="0.3">
      <c r="A219">
        <f>'Daily Analysis'!E219</f>
        <v>32.417773736431585</v>
      </c>
      <c r="B219">
        <f>'Daily Analysis'!D219</f>
        <v>11170</v>
      </c>
    </row>
    <row r="220" spans="1:2" x14ac:dyDescent="0.3">
      <c r="A220">
        <f>'Daily Analysis'!E220</f>
        <v>32.424866020605094</v>
      </c>
      <c r="B220">
        <f>'Daily Analysis'!D220</f>
        <v>8091</v>
      </c>
    </row>
    <row r="221" spans="1:2" x14ac:dyDescent="0.3">
      <c r="A221">
        <f>'Daily Analysis'!E221</f>
        <v>35.040340208767354</v>
      </c>
      <c r="B221">
        <f>'Daily Analysis'!D221</f>
        <v>2303</v>
      </c>
    </row>
    <row r="222" spans="1:2" x14ac:dyDescent="0.3">
      <c r="A222">
        <f>'Daily Analysis'!E222</f>
        <v>35.043305976705263</v>
      </c>
      <c r="B222">
        <f>'Daily Analysis'!D222</f>
        <v>2947</v>
      </c>
    </row>
    <row r="223" spans="1:2" x14ac:dyDescent="0.3">
      <c r="A223">
        <f>'Daily Analysis'!E223</f>
        <v>32.448783197982117</v>
      </c>
      <c r="B223">
        <f>'Daily Analysis'!D223</f>
        <v>13542</v>
      </c>
    </row>
    <row r="224" spans="1:2" x14ac:dyDescent="0.3">
      <c r="A224">
        <f>'Daily Analysis'!E224</f>
        <v>32.46078413027594</v>
      </c>
      <c r="B224">
        <f>'Daily Analysis'!D224</f>
        <v>12588</v>
      </c>
    </row>
    <row r="225" spans="1:2" x14ac:dyDescent="0.3">
      <c r="A225">
        <f>'Daily Analysis'!E225</f>
        <v>32.471281999244596</v>
      </c>
      <c r="B225">
        <f>'Daily Analysis'!D225</f>
        <v>6032</v>
      </c>
    </row>
    <row r="226" spans="1:2" x14ac:dyDescent="0.3">
      <c r="A226">
        <f>'Daily Analysis'!E226</f>
        <v>32.459814636670799</v>
      </c>
      <c r="B226">
        <f>'Daily Analysis'!D226</f>
        <v>7158</v>
      </c>
    </row>
    <row r="227" spans="1:2" x14ac:dyDescent="0.3">
      <c r="A227">
        <f>'Daily Analysis'!E227</f>
        <v>32.462081041000289</v>
      </c>
      <c r="B227">
        <f>'Daily Analysis'!D227</f>
        <v>5863</v>
      </c>
    </row>
    <row r="228" spans="1:2" x14ac:dyDescent="0.3">
      <c r="A228">
        <f>'Daily Analysis'!E228</f>
        <v>32.452087746362594</v>
      </c>
      <c r="B228">
        <f>'Daily Analysis'!D228</f>
        <v>6092</v>
      </c>
    </row>
    <row r="229" spans="1:2" x14ac:dyDescent="0.3">
      <c r="A229">
        <f>'Daily Analysis'!E229</f>
        <v>32.435521532333361</v>
      </c>
      <c r="B229">
        <f>'Daily Analysis'!D229</f>
        <v>5485</v>
      </c>
    </row>
    <row r="230" spans="1:2" x14ac:dyDescent="0.3">
      <c r="A230">
        <f>'Daily Analysis'!E230</f>
        <v>32.448199249451818</v>
      </c>
      <c r="B230">
        <f>'Daily Analysis'!D230</f>
        <v>14587</v>
      </c>
    </row>
    <row r="231" spans="1:2" x14ac:dyDescent="0.3">
      <c r="A231">
        <f>'Daily Analysis'!E231</f>
        <v>32.458401783502985</v>
      </c>
      <c r="B231">
        <f>'Daily Analysis'!D231</f>
        <v>16686</v>
      </c>
    </row>
    <row r="232" spans="1:2" x14ac:dyDescent="0.3">
      <c r="A232">
        <f>'Daily Analysis'!E232</f>
        <v>32.454468704967077</v>
      </c>
      <c r="B232">
        <f>'Daily Analysis'!D232</f>
        <v>7380</v>
      </c>
    </row>
    <row r="233" spans="1:2" x14ac:dyDescent="0.3">
      <c r="A233">
        <f>'Daily Analysis'!E233</f>
        <v>32.454758717237183</v>
      </c>
      <c r="B233">
        <f>'Daily Analysis'!D233</f>
        <v>7864</v>
      </c>
    </row>
    <row r="234" spans="1:2" x14ac:dyDescent="0.3">
      <c r="A234">
        <f>'Daily Analysis'!E234</f>
        <v>32.457405324636653</v>
      </c>
      <c r="B234">
        <f>'Daily Analysis'!D234</f>
        <v>4941</v>
      </c>
    </row>
    <row r="235" spans="1:2" x14ac:dyDescent="0.3">
      <c r="A235">
        <f>'Daily Analysis'!E235</f>
        <v>33.311460347998484</v>
      </c>
      <c r="B235">
        <f>'Daily Analysis'!D235</f>
        <v>5151</v>
      </c>
    </row>
    <row r="236" spans="1:2" x14ac:dyDescent="0.3">
      <c r="A236">
        <f>'Daily Analysis'!E236</f>
        <v>33.321440871062336</v>
      </c>
      <c r="B236">
        <f>'Daily Analysis'!D236</f>
        <v>4928</v>
      </c>
    </row>
    <row r="237" spans="1:2" x14ac:dyDescent="0.3">
      <c r="A237">
        <f>'Daily Analysis'!E237</f>
        <v>33.316724352683487</v>
      </c>
      <c r="B237">
        <f>'Daily Analysis'!D237</f>
        <v>11309</v>
      </c>
    </row>
    <row r="238" spans="1:2" x14ac:dyDescent="0.3">
      <c r="A238">
        <f>'Daily Analysis'!E238</f>
        <v>33.32354910587835</v>
      </c>
      <c r="B238">
        <f>'Daily Analysis'!D238</f>
        <v>13613</v>
      </c>
    </row>
    <row r="239" spans="1:2" x14ac:dyDescent="0.3">
      <c r="A239">
        <f>'Daily Analysis'!E239</f>
        <v>33.373661402981412</v>
      </c>
      <c r="B239">
        <f>'Daily Analysis'!D239</f>
        <v>6424</v>
      </c>
    </row>
    <row r="240" spans="1:2" x14ac:dyDescent="0.3">
      <c r="A240">
        <f>'Daily Analysis'!E240</f>
        <v>33.330249902289054</v>
      </c>
      <c r="B240">
        <f>'Daily Analysis'!D240</f>
        <v>9493</v>
      </c>
    </row>
    <row r="241" spans="1:2" x14ac:dyDescent="0.3">
      <c r="A241">
        <f>'Daily Analysis'!E241</f>
        <v>31.87091499415342</v>
      </c>
      <c r="B241">
        <f>'Daily Analysis'!D241</f>
        <v>7619</v>
      </c>
    </row>
    <row r="242" spans="1:2" x14ac:dyDescent="0.3">
      <c r="A242">
        <f>'Daily Analysis'!E242</f>
        <v>30.835363484585205</v>
      </c>
      <c r="B242">
        <f>'Daily Analysis'!D242</f>
        <v>8909</v>
      </c>
    </row>
    <row r="243" spans="1:2" x14ac:dyDescent="0.3">
      <c r="A243">
        <f>'Daily Analysis'!E243</f>
        <v>30.722163023212453</v>
      </c>
      <c r="B243">
        <f>'Daily Analysis'!D243</f>
        <v>8400</v>
      </c>
    </row>
    <row r="244" spans="1:2" x14ac:dyDescent="0.3">
      <c r="A244">
        <f>'Daily Analysis'!E244</f>
        <v>30.750489889926612</v>
      </c>
      <c r="B244">
        <f>'Daily Analysis'!D244</f>
        <v>19317</v>
      </c>
    </row>
    <row r="245" spans="1:2" x14ac:dyDescent="0.3">
      <c r="A245">
        <f>'Daily Analysis'!E245</f>
        <v>30.763479743387361</v>
      </c>
      <c r="B245">
        <f>'Daily Analysis'!D245</f>
        <v>23310</v>
      </c>
    </row>
    <row r="246" spans="1:2" x14ac:dyDescent="0.3">
      <c r="A246">
        <f>'Daily Analysis'!E246</f>
        <v>30.754851135910783</v>
      </c>
      <c r="B246">
        <f>'Daily Analysis'!D246</f>
        <v>11646</v>
      </c>
    </row>
    <row r="247" spans="1:2" x14ac:dyDescent="0.3">
      <c r="A247">
        <f>'Daily Analysis'!E247</f>
        <v>30.721555040092884</v>
      </c>
      <c r="B247">
        <f>'Daily Analysis'!D247</f>
        <v>19366</v>
      </c>
    </row>
    <row r="248" spans="1:2" x14ac:dyDescent="0.3">
      <c r="A248">
        <f>'Daily Analysis'!E248</f>
        <v>30.702370088622562</v>
      </c>
      <c r="B248">
        <f>'Daily Analysis'!D248</f>
        <v>15291</v>
      </c>
    </row>
    <row r="249" spans="1:2" x14ac:dyDescent="0.3">
      <c r="A249">
        <f>'Daily Analysis'!E249</f>
        <v>30.732966843722689</v>
      </c>
      <c r="B249">
        <f>'Daily Analysis'!D249</f>
        <v>15100</v>
      </c>
    </row>
    <row r="250" spans="1:2" x14ac:dyDescent="0.3">
      <c r="A250">
        <f>'Daily Analysis'!E250</f>
        <v>30.727268199644893</v>
      </c>
      <c r="B250">
        <f>'Daily Analysis'!D250</f>
        <v>10164</v>
      </c>
    </row>
    <row r="251" spans="1:2" x14ac:dyDescent="0.3">
      <c r="A251">
        <f>'Daily Analysis'!E251</f>
        <v>30.734457415357504</v>
      </c>
      <c r="B251">
        <f>'Daily Analysis'!D251</f>
        <v>16310</v>
      </c>
    </row>
    <row r="252" spans="1:2" x14ac:dyDescent="0.3">
      <c r="A252">
        <f>'Daily Analysis'!E252</f>
        <v>30.731381915938421</v>
      </c>
      <c r="B252">
        <f>'Daily Analysis'!D252</f>
        <v>17985</v>
      </c>
    </row>
    <row r="253" spans="1:2" x14ac:dyDescent="0.3">
      <c r="A253">
        <f>'Daily Analysis'!E253</f>
        <v>30.728840185133308</v>
      </c>
      <c r="B253">
        <f>'Daily Analysis'!D253</f>
        <v>7620</v>
      </c>
    </row>
    <row r="254" spans="1:2" x14ac:dyDescent="0.3">
      <c r="A254">
        <f>'Daily Analysis'!E254</f>
        <v>30.721474959701656</v>
      </c>
      <c r="B254">
        <f>'Daily Analysis'!D254</f>
        <v>7958</v>
      </c>
    </row>
    <row r="255" spans="1:2" x14ac:dyDescent="0.3">
      <c r="A255">
        <f>'Daily Analysis'!E255</f>
        <v>35.041288974681358</v>
      </c>
      <c r="B255">
        <f>'Daily Analysis'!D255</f>
        <v>3503</v>
      </c>
    </row>
    <row r="256" spans="1:2" x14ac:dyDescent="0.3">
      <c r="A256">
        <f>'Daily Analysis'!E256</f>
        <v>35.04067772128225</v>
      </c>
      <c r="B256">
        <f>'Daily Analysis'!D256</f>
        <v>2247</v>
      </c>
    </row>
    <row r="257" spans="1:2" x14ac:dyDescent="0.3">
      <c r="A257">
        <f>'Daily Analysis'!E257</f>
        <v>35.034656781384633</v>
      </c>
      <c r="B257">
        <f>'Daily Analysis'!D257</f>
        <v>2023</v>
      </c>
    </row>
    <row r="258" spans="1:2" x14ac:dyDescent="0.3">
      <c r="A258">
        <f>'Daily Analysis'!E258</f>
        <v>35.038753278376987</v>
      </c>
      <c r="B258">
        <f>'Daily Analysis'!D258</f>
        <v>4242</v>
      </c>
    </row>
    <row r="259" spans="1:2" x14ac:dyDescent="0.3">
      <c r="A259">
        <f>'Daily Analysis'!E259</f>
        <v>35.038732663116505</v>
      </c>
      <c r="B259">
        <f>'Daily Analysis'!D259</f>
        <v>4901</v>
      </c>
    </row>
    <row r="260" spans="1:2" x14ac:dyDescent="0.3">
      <c r="A260">
        <f>'Daily Analysis'!E260</f>
        <v>35.03676482973291</v>
      </c>
      <c r="B260">
        <f>'Daily Analysis'!D260</f>
        <v>2467</v>
      </c>
    </row>
    <row r="261" spans="1:2" x14ac:dyDescent="0.3">
      <c r="A261">
        <f>'Daily Analysis'!E261</f>
        <v>35.033852769047201</v>
      </c>
      <c r="B261">
        <f>'Daily Analysis'!D261</f>
        <v>3432</v>
      </c>
    </row>
    <row r="262" spans="1:2" x14ac:dyDescent="0.3">
      <c r="A262">
        <f>'Daily Analysis'!E262</f>
        <v>35.033345976497301</v>
      </c>
      <c r="B262">
        <f>'Daily Analysis'!D262</f>
        <v>2375</v>
      </c>
    </row>
    <row r="263" spans="1:2" x14ac:dyDescent="0.3">
      <c r="A263">
        <f>'Daily Analysis'!E263</f>
        <v>35.044197023715427</v>
      </c>
      <c r="B263">
        <f>'Daily Analysis'!D263</f>
        <v>2105</v>
      </c>
    </row>
    <row r="264" spans="1:2" x14ac:dyDescent="0.3">
      <c r="A264">
        <f>'Daily Analysis'!E264</f>
        <v>35.027974326826929</v>
      </c>
      <c r="B264">
        <f>'Daily Analysis'!D264</f>
        <v>1982</v>
      </c>
    </row>
    <row r="265" spans="1:2" x14ac:dyDescent="0.3">
      <c r="A265">
        <f>'Daily Analysis'!E265</f>
        <v>35.03319389215617</v>
      </c>
      <c r="B265">
        <f>'Daily Analysis'!D265</f>
        <v>3915</v>
      </c>
    </row>
    <row r="266" spans="1:2" x14ac:dyDescent="0.3">
      <c r="A266">
        <f>'Daily Analysis'!E266</f>
        <v>35.037431412322661</v>
      </c>
      <c r="B266">
        <f>'Daily Analysis'!D266</f>
        <v>4383</v>
      </c>
    </row>
    <row r="267" spans="1:2" x14ac:dyDescent="0.3">
      <c r="A267">
        <f>'Daily Analysis'!E267</f>
        <v>35.031644552425355</v>
      </c>
      <c r="B267">
        <f>'Daily Analysis'!D267</f>
        <v>2159</v>
      </c>
    </row>
    <row r="268" spans="1:2" x14ac:dyDescent="0.3">
      <c r="A268">
        <f>'Daily Analysis'!E268</f>
        <v>35.037009958599874</v>
      </c>
      <c r="B268">
        <f>'Daily Analysis'!D268</f>
        <v>2592</v>
      </c>
    </row>
    <row r="269" spans="1:2" x14ac:dyDescent="0.3">
      <c r="A269">
        <f>'Daily Analysis'!E269</f>
        <v>35.03600266989185</v>
      </c>
      <c r="B269">
        <f>'Daily Analysis'!D269</f>
        <v>3143</v>
      </c>
    </row>
    <row r="270" spans="1:2" x14ac:dyDescent="0.3">
      <c r="A270">
        <f>'Daily Analysis'!E270</f>
        <v>32.508654655666675</v>
      </c>
      <c r="B270">
        <f>'Daily Analysis'!D270</f>
        <v>6457</v>
      </c>
    </row>
    <row r="271" spans="1:2" x14ac:dyDescent="0.3">
      <c r="A271">
        <f>'Daily Analysis'!E271</f>
        <v>32.463600232701637</v>
      </c>
      <c r="B271">
        <f>'Daily Analysis'!D271</f>
        <v>11039</v>
      </c>
    </row>
    <row r="272" spans="1:2" x14ac:dyDescent="0.3">
      <c r="A272">
        <f>'Daily Analysis'!E272</f>
        <v>32.460855844275905</v>
      </c>
      <c r="B272">
        <f>'Daily Analysis'!D272</f>
        <v>18036</v>
      </c>
    </row>
    <row r="273" spans="1:2" x14ac:dyDescent="0.3">
      <c r="A273">
        <f>'Daily Analysis'!E273</f>
        <v>32.445658701920422</v>
      </c>
      <c r="B273">
        <f>'Daily Analysis'!D273</f>
        <v>19017</v>
      </c>
    </row>
    <row r="274" spans="1:2" x14ac:dyDescent="0.3">
      <c r="A274">
        <f>'Daily Analysis'!E274</f>
        <v>32.451194364410597</v>
      </c>
      <c r="B274">
        <f>'Daily Analysis'!D274</f>
        <v>8747</v>
      </c>
    </row>
    <row r="275" spans="1:2" x14ac:dyDescent="0.3">
      <c r="A275">
        <f>'Daily Analysis'!E275</f>
        <v>32.443489673266946</v>
      </c>
      <c r="B275">
        <f>'Daily Analysis'!D275</f>
        <v>8147</v>
      </c>
    </row>
    <row r="276" spans="1:2" x14ac:dyDescent="0.3">
      <c r="A276">
        <f>'Daily Analysis'!E276</f>
        <v>32.441553221169436</v>
      </c>
      <c r="B276">
        <f>'Daily Analysis'!D276</f>
        <v>11036</v>
      </c>
    </row>
    <row r="277" spans="1:2" x14ac:dyDescent="0.3">
      <c r="A277">
        <f>'Daily Analysis'!E277</f>
        <v>32.429802552116733</v>
      </c>
      <c r="B277">
        <f>'Daily Analysis'!D277</f>
        <v>18330</v>
      </c>
    </row>
    <row r="278" spans="1:2" x14ac:dyDescent="0.3">
      <c r="A278">
        <f>'Daily Analysis'!E278</f>
        <v>32.442092190887323</v>
      </c>
      <c r="B278">
        <f>'Daily Analysis'!D278</f>
        <v>14503</v>
      </c>
    </row>
    <row r="279" spans="1:2" x14ac:dyDescent="0.3">
      <c r="A279">
        <f>'Daily Analysis'!E279</f>
        <v>32.446736435935975</v>
      </c>
      <c r="B279">
        <f>'Daily Analysis'!D279</f>
        <v>15986</v>
      </c>
    </row>
    <row r="280" spans="1:2" x14ac:dyDescent="0.3">
      <c r="A280">
        <f>'Daily Analysis'!E280</f>
        <v>32.450468695478698</v>
      </c>
      <c r="B280">
        <f>'Daily Analysis'!D280</f>
        <v>20223</v>
      </c>
    </row>
    <row r="281" spans="1:2" x14ac:dyDescent="0.3">
      <c r="A281">
        <f>'Daily Analysis'!E281</f>
        <v>32.447586341879649</v>
      </c>
      <c r="B281">
        <f>'Daily Analysis'!D281</f>
        <v>8631</v>
      </c>
    </row>
    <row r="282" spans="1:2" x14ac:dyDescent="0.3">
      <c r="A282">
        <f>'Daily Analysis'!E282</f>
        <v>32.442181315826382</v>
      </c>
      <c r="B282">
        <f>'Daily Analysis'!D282</f>
        <v>11579</v>
      </c>
    </row>
    <row r="283" spans="1:2" x14ac:dyDescent="0.3">
      <c r="A283">
        <f>'Daily Analysis'!E283</f>
        <v>36.723891143921357</v>
      </c>
      <c r="B283">
        <f>'Daily Analysis'!D283</f>
        <v>2127</v>
      </c>
    </row>
    <row r="284" spans="1:2" x14ac:dyDescent="0.3">
      <c r="A284">
        <f>'Daily Analysis'!E284</f>
        <v>36.666215700229003</v>
      </c>
      <c r="B284">
        <f>'Daily Analysis'!D284</f>
        <v>1923</v>
      </c>
    </row>
    <row r="285" spans="1:2" x14ac:dyDescent="0.3">
      <c r="A285">
        <f>'Daily Analysis'!E285</f>
        <v>36.767999660937022</v>
      </c>
      <c r="B285">
        <f>'Daily Analysis'!D285</f>
        <v>2809</v>
      </c>
    </row>
    <row r="286" spans="1:2" x14ac:dyDescent="0.3">
      <c r="A286">
        <f>'Daily Analysis'!E286</f>
        <v>36.769869511290864</v>
      </c>
      <c r="B286">
        <f>'Daily Analysis'!D286</f>
        <v>4891</v>
      </c>
    </row>
    <row r="287" spans="1:2" x14ac:dyDescent="0.3">
      <c r="A287">
        <f>'Daily Analysis'!E287</f>
        <v>36.731836017268471</v>
      </c>
      <c r="B287">
        <f>'Daily Analysis'!D287</f>
        <v>3758</v>
      </c>
    </row>
    <row r="288" spans="1:2" x14ac:dyDescent="0.3">
      <c r="A288">
        <f>'Daily Analysis'!E288</f>
        <v>36.747478765785893</v>
      </c>
      <c r="B288">
        <f>'Daily Analysis'!D288</f>
        <v>1661</v>
      </c>
    </row>
    <row r="289" spans="1:2" x14ac:dyDescent="0.3">
      <c r="A289">
        <f>'Daily Analysis'!E289</f>
        <v>36.779559090695642</v>
      </c>
      <c r="B289">
        <f>'Daily Analysis'!D289</f>
        <v>2360</v>
      </c>
    </row>
    <row r="290" spans="1:2" x14ac:dyDescent="0.3">
      <c r="A290">
        <f>'Daily Analysis'!E290</f>
        <v>36.732049348838828</v>
      </c>
      <c r="B290">
        <f>'Daily Analysis'!D290</f>
        <v>1894</v>
      </c>
    </row>
    <row r="291" spans="1:2" x14ac:dyDescent="0.3">
      <c r="A291">
        <f>'Daily Analysis'!E291</f>
        <v>36.77462101049673</v>
      </c>
      <c r="B291">
        <f>'Daily Analysis'!D291</f>
        <v>3548</v>
      </c>
    </row>
    <row r="292" spans="1:2" x14ac:dyDescent="0.3">
      <c r="A292">
        <f>'Daily Analysis'!E292</f>
        <v>36.754061551555857</v>
      </c>
      <c r="B292">
        <f>'Daily Analysis'!D292</f>
        <v>2591</v>
      </c>
    </row>
    <row r="293" spans="1:2" x14ac:dyDescent="0.3">
      <c r="A293">
        <f>'Daily Analysis'!E293</f>
        <v>36.762180772396931</v>
      </c>
      <c r="B293">
        <f>'Daily Analysis'!D293</f>
        <v>3293</v>
      </c>
    </row>
    <row r="294" spans="1:2" x14ac:dyDescent="0.3">
      <c r="A294">
        <f>'Daily Analysis'!E294</f>
        <v>36.759686919393822</v>
      </c>
      <c r="B294">
        <f>'Daily Analysis'!D294</f>
        <v>4611</v>
      </c>
    </row>
    <row r="295" spans="1:2" x14ac:dyDescent="0.3">
      <c r="A295">
        <f>'Daily Analysis'!E295</f>
        <v>36.74731599493596</v>
      </c>
      <c r="B295">
        <f>'Daily Analysis'!D295</f>
        <v>2468</v>
      </c>
    </row>
    <row r="296" spans="1:2" x14ac:dyDescent="0.3">
      <c r="A296">
        <f>'Daily Analysis'!E296</f>
        <v>36.683705374717739</v>
      </c>
      <c r="B296">
        <f>'Daily Analysis'!D296</f>
        <v>2773</v>
      </c>
    </row>
    <row r="297" spans="1:2" x14ac:dyDescent="0.3">
      <c r="A297">
        <f>'Daily Analysis'!E297</f>
        <v>36.730263328150052</v>
      </c>
      <c r="B297">
        <f>'Daily Analysis'!D297</f>
        <v>2815</v>
      </c>
    </row>
    <row r="298" spans="1:2" x14ac:dyDescent="0.3">
      <c r="A298">
        <f>'Daily Analysis'!E298</f>
        <v>36.681080746398301</v>
      </c>
      <c r="B298">
        <f>'Daily Analysis'!D298</f>
        <v>2701</v>
      </c>
    </row>
    <row r="299" spans="1:2" x14ac:dyDescent="0.3">
      <c r="A299">
        <f>'Daily Analysis'!E299</f>
        <v>36.7695755260551</v>
      </c>
      <c r="B299">
        <f>'Daily Analysis'!D299</f>
        <v>2651</v>
      </c>
    </row>
    <row r="300" spans="1:2" x14ac:dyDescent="0.3">
      <c r="A300">
        <f>'Daily Analysis'!E300</f>
        <v>36.716509774781947</v>
      </c>
      <c r="B300">
        <f>'Daily Analysis'!D300</f>
        <v>6781</v>
      </c>
    </row>
    <row r="301" spans="1:2" x14ac:dyDescent="0.3">
      <c r="A301">
        <f>'Daily Analysis'!E301</f>
        <v>36.697985610425548</v>
      </c>
      <c r="B301">
        <f>'Daily Analysis'!D301</f>
        <v>8249</v>
      </c>
    </row>
    <row r="302" spans="1:2" x14ac:dyDescent="0.3">
      <c r="A302">
        <f>'Daily Analysis'!E302</f>
        <v>36.699236951443091</v>
      </c>
      <c r="B302">
        <f>'Daily Analysis'!D302</f>
        <v>3502</v>
      </c>
    </row>
    <row r="303" spans="1:2" x14ac:dyDescent="0.3">
      <c r="A303">
        <f>'Daily Analysis'!E303</f>
        <v>36.765071748818663</v>
      </c>
      <c r="B303">
        <f>'Daily Analysis'!D303</f>
        <v>3949</v>
      </c>
    </row>
    <row r="304" spans="1:2" x14ac:dyDescent="0.3">
      <c r="A304">
        <f>'Daily Analysis'!E304</f>
        <v>36.76696370918345</v>
      </c>
      <c r="B304">
        <f>'Daily Analysis'!D304</f>
        <v>2435</v>
      </c>
    </row>
    <row r="305" spans="1:2" x14ac:dyDescent="0.3">
      <c r="A305">
        <f>'Daily Analysis'!E305</f>
        <v>36.734714534682389</v>
      </c>
      <c r="B305">
        <f>'Daily Analysis'!D305</f>
        <v>2232</v>
      </c>
    </row>
    <row r="306" spans="1:2" x14ac:dyDescent="0.3">
      <c r="A306">
        <f>'Daily Analysis'!E306</f>
        <v>36.725232409162537</v>
      </c>
      <c r="B306">
        <f>'Daily Analysis'!D306</f>
        <v>1898</v>
      </c>
    </row>
    <row r="307" spans="1:2" x14ac:dyDescent="0.3">
      <c r="A307">
        <f>'Daily Analysis'!E307</f>
        <v>36.7318480976909</v>
      </c>
      <c r="B307">
        <f>'Daily Analysis'!D307</f>
        <v>4537</v>
      </c>
    </row>
    <row r="308" spans="1:2" x14ac:dyDescent="0.3">
      <c r="A308">
        <f>'Daily Analysis'!E308</f>
        <v>36.768663029011535</v>
      </c>
      <c r="B308">
        <f>'Daily Analysis'!D308</f>
        <v>6730</v>
      </c>
    </row>
    <row r="309" spans="1:2" x14ac:dyDescent="0.3">
      <c r="A309">
        <f>'Daily Analysis'!E309</f>
        <v>36.769732840310766</v>
      </c>
      <c r="B309">
        <f>'Daily Analysis'!D309</f>
        <v>4038</v>
      </c>
    </row>
    <row r="310" spans="1:2" x14ac:dyDescent="0.3">
      <c r="A310">
        <f>'Daily Analysis'!E310</f>
        <v>36.797871821250887</v>
      </c>
      <c r="B310">
        <f>'Daily Analysis'!D310</f>
        <v>5581</v>
      </c>
    </row>
    <row r="311" spans="1:2" x14ac:dyDescent="0.3">
      <c r="A311">
        <f>'Daily Analysis'!E311</f>
        <v>39.398444559765444</v>
      </c>
      <c r="B311">
        <f>'Daily Analysis'!D311</f>
        <v>2519</v>
      </c>
    </row>
    <row r="312" spans="1:2" x14ac:dyDescent="0.3">
      <c r="A312">
        <f>'Daily Analysis'!E312</f>
        <v>39.39191288579886</v>
      </c>
      <c r="B312">
        <f>'Daily Analysis'!D312</f>
        <v>1847</v>
      </c>
    </row>
    <row r="313" spans="1:2" x14ac:dyDescent="0.3">
      <c r="A313">
        <f>'Daily Analysis'!E313</f>
        <v>37.621246461929466</v>
      </c>
      <c r="B313">
        <f>'Daily Analysis'!D313</f>
        <v>2309</v>
      </c>
    </row>
    <row r="314" spans="1:2" x14ac:dyDescent="0.3">
      <c r="A314">
        <f>'Daily Analysis'!E314</f>
        <v>37.659270247771417</v>
      </c>
      <c r="B314">
        <f>'Daily Analysis'!D314</f>
        <v>3722</v>
      </c>
    </row>
    <row r="315" spans="1:2" x14ac:dyDescent="0.3">
      <c r="A315">
        <f>'Daily Analysis'!E315</f>
        <v>37.658693248120642</v>
      </c>
      <c r="B315">
        <f>'Daily Analysis'!D315</f>
        <v>4268</v>
      </c>
    </row>
    <row r="316" spans="1:2" x14ac:dyDescent="0.3">
      <c r="A316">
        <f>'Daily Analysis'!E316</f>
        <v>37.660380475836121</v>
      </c>
      <c r="B316">
        <f>'Daily Analysis'!D316</f>
        <v>1968</v>
      </c>
    </row>
    <row r="317" spans="1:2" x14ac:dyDescent="0.3">
      <c r="A317">
        <f>'Daily Analysis'!E317</f>
        <v>37.749648569710068</v>
      </c>
      <c r="B317">
        <f>'Daily Analysis'!D317</f>
        <v>2016</v>
      </c>
    </row>
    <row r="318" spans="1:2" x14ac:dyDescent="0.3">
      <c r="A318">
        <f>'Daily Analysis'!E318</f>
        <v>37.610799315016948</v>
      </c>
      <c r="B318">
        <f>'Daily Analysis'!D318</f>
        <v>1497</v>
      </c>
    </row>
    <row r="319" spans="1:2" x14ac:dyDescent="0.3">
      <c r="A319">
        <f>'Daily Analysis'!E319</f>
        <v>37.623147537686741</v>
      </c>
      <c r="B319">
        <f>'Daily Analysis'!D319</f>
        <v>1314</v>
      </c>
    </row>
    <row r="320" spans="1:2" x14ac:dyDescent="0.3">
      <c r="A320">
        <f>'Daily Analysis'!E320</f>
        <v>37.539646933138044</v>
      </c>
      <c r="B320">
        <f>'Daily Analysis'!D320</f>
        <v>1466</v>
      </c>
    </row>
    <row r="321" spans="1:2" x14ac:dyDescent="0.3">
      <c r="A321">
        <f>'Daily Analysis'!E321</f>
        <v>37.602451291346988</v>
      </c>
      <c r="B321">
        <f>'Daily Analysis'!D321</f>
        <v>3984</v>
      </c>
    </row>
    <row r="322" spans="1:2" x14ac:dyDescent="0.3">
      <c r="A322">
        <f>'Daily Analysis'!E322</f>
        <v>37.627136761747252</v>
      </c>
      <c r="B322">
        <f>'Daily Analysis'!D322</f>
        <v>4802</v>
      </c>
    </row>
    <row r="323" spans="1:2" x14ac:dyDescent="0.3">
      <c r="A323">
        <f>'Daily Analysis'!E323</f>
        <v>37.615982531095923</v>
      </c>
      <c r="B323">
        <f>'Daily Analysis'!D323</f>
        <v>2017</v>
      </c>
    </row>
    <row r="324" spans="1:2" x14ac:dyDescent="0.3">
      <c r="A324">
        <f>'Daily Analysis'!E324</f>
        <v>37.576549448485032</v>
      </c>
      <c r="B324">
        <f>'Daily Analysis'!D324</f>
        <v>2297</v>
      </c>
    </row>
    <row r="325" spans="1:2" x14ac:dyDescent="0.3">
      <c r="A325">
        <f>'Daily Analysis'!E325</f>
        <v>37.616695947189413</v>
      </c>
      <c r="B325">
        <f>'Daily Analysis'!D325</f>
        <v>1665</v>
      </c>
    </row>
    <row r="326" spans="1:2" x14ac:dyDescent="0.3">
      <c r="A326">
        <f>'Daily Analysis'!E326</f>
        <v>37.590320186165954</v>
      </c>
      <c r="B326">
        <f>'Daily Analysis'!D326</f>
        <v>1291</v>
      </c>
    </row>
    <row r="327" spans="1:2" x14ac:dyDescent="0.3">
      <c r="A327">
        <f>'Daily Analysis'!E327</f>
        <v>37.502484473233103</v>
      </c>
      <c r="B327">
        <f>'Daily Analysis'!D327</f>
        <v>1361</v>
      </c>
    </row>
    <row r="328" spans="1:2" x14ac:dyDescent="0.3">
      <c r="A328">
        <f>'Daily Analysis'!E328</f>
        <v>42.134209398922721</v>
      </c>
      <c r="B328">
        <f>'Daily Analysis'!D328</f>
        <v>1281</v>
      </c>
    </row>
    <row r="329" spans="1:2" x14ac:dyDescent="0.3">
      <c r="A329">
        <f>'Daily Analysis'!E329</f>
        <v>42.333317766051586</v>
      </c>
      <c r="B329">
        <f>'Daily Analysis'!D329</f>
        <v>1122</v>
      </c>
    </row>
    <row r="330" spans="1:2" x14ac:dyDescent="0.3">
      <c r="A330">
        <f>'Daily Analysis'!E330</f>
        <v>42.360856891071755</v>
      </c>
      <c r="B330">
        <f>'Daily Analysis'!D330</f>
        <v>737</v>
      </c>
    </row>
    <row r="331" spans="1:2" x14ac:dyDescent="0.3">
      <c r="A331">
        <f>'Daily Analysis'!E331</f>
        <v>41.919382017893916</v>
      </c>
      <c r="B331">
        <f>'Daily Analysis'!D331</f>
        <v>641</v>
      </c>
    </row>
    <row r="332" spans="1:2" x14ac:dyDescent="0.3">
      <c r="A332">
        <f>'Daily Analysis'!E332</f>
        <v>41.870498236239676</v>
      </c>
      <c r="B332">
        <f>'Daily Analysis'!D332</f>
        <v>968</v>
      </c>
    </row>
    <row r="333" spans="1:2" x14ac:dyDescent="0.3">
      <c r="A333">
        <f>'Daily Analysis'!E333</f>
        <v>42.836997651692357</v>
      </c>
      <c r="B333">
        <f>'Daily Analysis'!D333</f>
        <v>709</v>
      </c>
    </row>
    <row r="334" spans="1:2" x14ac:dyDescent="0.3">
      <c r="A334">
        <f>'Daily Analysis'!E334</f>
        <v>42.928021325852136</v>
      </c>
      <c r="B334">
        <f>'Daily Analysis'!D334</f>
        <v>880</v>
      </c>
    </row>
    <row r="335" spans="1:2" x14ac:dyDescent="0.3">
      <c r="A335">
        <f>'Daily Analysis'!E335</f>
        <v>42.717340622819343</v>
      </c>
      <c r="B335">
        <f>'Daily Analysis'!D335</f>
        <v>1096</v>
      </c>
    </row>
    <row r="336" spans="1:2" x14ac:dyDescent="0.3">
      <c r="A336">
        <f>'Daily Analysis'!E336</f>
        <v>42.708716416712157</v>
      </c>
      <c r="B336">
        <f>'Daily Analysis'!D336</f>
        <v>2068</v>
      </c>
    </row>
    <row r="337" spans="1:2" x14ac:dyDescent="0.3">
      <c r="A337">
        <f>'Daily Analysis'!E337</f>
        <v>42.542243296754357</v>
      </c>
      <c r="B337">
        <f>'Daily Analysis'!D337</f>
        <v>2375</v>
      </c>
    </row>
    <row r="338" spans="1:2" x14ac:dyDescent="0.3">
      <c r="A338">
        <f>'Daily Analysis'!E338</f>
        <v>42.175227788327248</v>
      </c>
      <c r="B338">
        <f>'Daily Analysis'!D338</f>
        <v>2492</v>
      </c>
    </row>
    <row r="339" spans="1:2" x14ac:dyDescent="0.3">
      <c r="A339">
        <f>'Daily Analysis'!E339</f>
        <v>40.654159211119762</v>
      </c>
      <c r="B339">
        <f>'Daily Analysis'!D339</f>
        <v>2170</v>
      </c>
    </row>
    <row r="340" spans="1:2" x14ac:dyDescent="0.3">
      <c r="A340">
        <f>'Daily Analysis'!E340</f>
        <v>40.129130767500207</v>
      </c>
      <c r="B340">
        <f>'Daily Analysis'!D340</f>
        <v>1784</v>
      </c>
    </row>
    <row r="341" spans="1:2" x14ac:dyDescent="0.3">
      <c r="A341">
        <f>'Daily Analysis'!E341</f>
        <v>40.202208839634686</v>
      </c>
      <c r="B341">
        <f>'Daily Analysis'!D341</f>
        <v>1368</v>
      </c>
    </row>
    <row r="342" spans="1:2" x14ac:dyDescent="0.3">
      <c r="A342">
        <f>'Daily Analysis'!E342</f>
        <v>40.691839921538921</v>
      </c>
      <c r="B342">
        <f>'Daily Analysis'!D342</f>
        <v>1914</v>
      </c>
    </row>
    <row r="343" spans="1:2" x14ac:dyDescent="0.3">
      <c r="A343">
        <f>'Daily Analysis'!E343</f>
        <v>39.938942024880845</v>
      </c>
      <c r="B343">
        <f>'Daily Analysis'!D343</f>
        <v>3765</v>
      </c>
    </row>
    <row r="344" spans="1:2" x14ac:dyDescent="0.3">
      <c r="A344">
        <f>'Daily Analysis'!E344</f>
        <v>38.597115086780676</v>
      </c>
      <c r="B344">
        <f>'Daily Analysis'!D344</f>
        <v>2712</v>
      </c>
    </row>
    <row r="345" spans="1:2" x14ac:dyDescent="0.3">
      <c r="A345">
        <f>'Daily Analysis'!E345</f>
        <v>40.558744588237964</v>
      </c>
      <c r="B345">
        <f>'Daily Analysis'!D345</f>
        <v>2222</v>
      </c>
    </row>
    <row r="346" spans="1:2" x14ac:dyDescent="0.3">
      <c r="A346">
        <f>'Daily Analysis'!E346</f>
        <v>40.529523749753082</v>
      </c>
      <c r="B346">
        <f>'Daily Analysis'!D346</f>
        <v>1861</v>
      </c>
    </row>
    <row r="347" spans="1:2" x14ac:dyDescent="0.3">
      <c r="A347">
        <f>'Daily Analysis'!E347</f>
        <v>39.522541986733501</v>
      </c>
      <c r="B347">
        <f>'Daily Analysis'!D347</f>
        <v>4095</v>
      </c>
    </row>
    <row r="348" spans="1:2" x14ac:dyDescent="0.3">
      <c r="A348">
        <f>'Daily Analysis'!E348</f>
        <v>38.153321377917628</v>
      </c>
      <c r="B348">
        <f>'Daily Analysis'!D348</f>
        <v>4157</v>
      </c>
    </row>
    <row r="349" spans="1:2" x14ac:dyDescent="0.3">
      <c r="A349">
        <f>'Daily Analysis'!E349</f>
        <v>38.44773329059791</v>
      </c>
      <c r="B349">
        <f>'Daily Analysis'!D349</f>
        <v>7259</v>
      </c>
    </row>
    <row r="350" spans="1:2" x14ac:dyDescent="0.3">
      <c r="A350">
        <f>'Daily Analysis'!E350</f>
        <v>38.258855342956103</v>
      </c>
      <c r="B350">
        <f>'Daily Analysis'!D350</f>
        <v>9654</v>
      </c>
    </row>
    <row r="351" spans="1:2" x14ac:dyDescent="0.3">
      <c r="A351">
        <f>'Daily Analysis'!E351</f>
        <v>38.320403222281669</v>
      </c>
      <c r="B351">
        <f>'Daily Analysis'!D351</f>
        <v>4632</v>
      </c>
    </row>
    <row r="352" spans="1:2" x14ac:dyDescent="0.3">
      <c r="A352">
        <f>'Daily Analysis'!E352</f>
        <v>38.44798102142591</v>
      </c>
      <c r="B352">
        <f>'Daily Analysis'!D352</f>
        <v>7341</v>
      </c>
    </row>
    <row r="353" spans="1:2" x14ac:dyDescent="0.3">
      <c r="A353">
        <f>'Daily Analysis'!E353</f>
        <v>38.541765489673558</v>
      </c>
      <c r="B353">
        <f>'Daily Analysis'!D353</f>
        <v>4308</v>
      </c>
    </row>
    <row r="354" spans="1:2" x14ac:dyDescent="0.3">
      <c r="A354">
        <f>'Daily Analysis'!E354</f>
        <v>38.528072020739614</v>
      </c>
      <c r="B354">
        <f>'Daily Analysis'!D354</f>
        <v>3865</v>
      </c>
    </row>
    <row r="355" spans="1:2" x14ac:dyDescent="0.3">
      <c r="A355">
        <f>'Daily Analysis'!E355</f>
        <v>38.267614012834947</v>
      </c>
      <c r="B355">
        <f>'Daily Analysis'!D355</f>
        <v>5288</v>
      </c>
    </row>
    <row r="356" spans="1:2" x14ac:dyDescent="0.3">
      <c r="A356">
        <f>'Daily Analysis'!E356</f>
        <v>38.418100314414481</v>
      </c>
      <c r="B356">
        <f>'Daily Analysis'!D356</f>
        <v>7141</v>
      </c>
    </row>
    <row r="357" spans="1:2" x14ac:dyDescent="0.3">
      <c r="A357">
        <f>'Daily Analysis'!E357</f>
        <v>38.239849378153444</v>
      </c>
      <c r="B357">
        <f>'Daily Analysis'!D357</f>
        <v>8268</v>
      </c>
    </row>
    <row r="358" spans="1:2" x14ac:dyDescent="0.3">
      <c r="A358">
        <f>'Daily Analysis'!E358</f>
        <v>38.280863274259787</v>
      </c>
      <c r="B358">
        <f>'Daily Analysis'!D358</f>
        <v>4541</v>
      </c>
    </row>
    <row r="359" spans="1:2" x14ac:dyDescent="0.3">
      <c r="A359">
        <f>'Daily Analysis'!E359</f>
        <v>40.798779783687969</v>
      </c>
      <c r="B359">
        <f>'Daily Analysis'!D359</f>
        <v>5014</v>
      </c>
    </row>
    <row r="360" spans="1:2" x14ac:dyDescent="0.3">
      <c r="A360">
        <f>'Daily Analysis'!E360</f>
        <v>40.678160305645306</v>
      </c>
      <c r="B360">
        <f>'Daily Analysis'!D360</f>
        <v>7778</v>
      </c>
    </row>
    <row r="361" spans="1:2" x14ac:dyDescent="0.3">
      <c r="A361">
        <f>'Daily Analysis'!E361</f>
        <v>41.174555016820023</v>
      </c>
      <c r="B361">
        <f>'Daily Analysis'!D361</f>
        <v>11809</v>
      </c>
    </row>
    <row r="362" spans="1:2" x14ac:dyDescent="0.3">
      <c r="A362">
        <f>'Daily Analysis'!E362</f>
        <v>41.174202183195689</v>
      </c>
      <c r="B362">
        <f>'Daily Analysis'!D362</f>
        <v>3344</v>
      </c>
    </row>
    <row r="363" spans="1:2" x14ac:dyDescent="0.3">
      <c r="A363">
        <f>'Daily Analysis'!E363</f>
        <v>41.148813010291065</v>
      </c>
      <c r="B363">
        <f>'Daily Analysis'!D363</f>
        <v>1169</v>
      </c>
    </row>
    <row r="364" spans="1:2" x14ac:dyDescent="0.3">
      <c r="A364">
        <f>'Daily Analysis'!E364</f>
        <v>41.166715987499295</v>
      </c>
      <c r="B364">
        <f>'Daily Analysis'!D364</f>
        <v>2676</v>
      </c>
    </row>
    <row r="365" spans="1:2" x14ac:dyDescent="0.3">
      <c r="A365">
        <f>'Daily Analysis'!E365</f>
        <v>41.175514068825507</v>
      </c>
      <c r="B365">
        <f>'Daily Analysis'!D365</f>
        <v>1677</v>
      </c>
    </row>
    <row r="366" spans="1:2" x14ac:dyDescent="0.3">
      <c r="A366">
        <f>'Daily Analysis'!E366</f>
        <v>41.182381514620822</v>
      </c>
      <c r="B366">
        <f>'Daily Analysis'!D366</f>
        <v>3237</v>
      </c>
    </row>
    <row r="367" spans="1:2" x14ac:dyDescent="0.3">
      <c r="A367">
        <f>'Daily Analysis'!E367</f>
        <v>38.592741977680575</v>
      </c>
      <c r="B367">
        <f>'Daily Analysis'!D367</f>
        <v>5607</v>
      </c>
    </row>
    <row r="368" spans="1:2" x14ac:dyDescent="0.3">
      <c r="A368">
        <f>'Daily Analysis'!E368</f>
        <v>38.573046493313797</v>
      </c>
      <c r="B368">
        <f>'Daily Analysis'!D368</f>
        <v>9464</v>
      </c>
    </row>
    <row r="369" spans="1:2" x14ac:dyDescent="0.3">
      <c r="A369">
        <f>'Daily Analysis'!E369</f>
        <v>38.609783000603443</v>
      </c>
      <c r="B369">
        <f>'Daily Analysis'!D369</f>
        <v>2905</v>
      </c>
    </row>
    <row r="370" spans="1:2" x14ac:dyDescent="0.3">
      <c r="A370">
        <f>'Daily Analysis'!E370</f>
        <v>38.6019452755678</v>
      </c>
      <c r="B370">
        <f>'Daily Analysis'!D370</f>
        <v>7023</v>
      </c>
    </row>
    <row r="371" spans="1:2" x14ac:dyDescent="0.3">
      <c r="A371">
        <f>'Daily Analysis'!E371</f>
        <v>38.583156225415792</v>
      </c>
      <c r="B371">
        <f>'Daily Analysis'!D371</f>
        <v>6371</v>
      </c>
    </row>
    <row r="372" spans="1:2" x14ac:dyDescent="0.3">
      <c r="A372">
        <f>'Daily Analysis'!E372</f>
        <v>38.580192906044267</v>
      </c>
      <c r="B372">
        <f>'Daily Analysis'!D372</f>
        <v>4624</v>
      </c>
    </row>
    <row r="373" spans="1:2" x14ac:dyDescent="0.3">
      <c r="A373">
        <f>'Daily Analysis'!E373</f>
        <v>38.559319832825786</v>
      </c>
      <c r="B373">
        <f>'Daily Analysis'!D373</f>
        <v>5717</v>
      </c>
    </row>
    <row r="374" spans="1:2" x14ac:dyDescent="0.3">
      <c r="A374">
        <f>'Daily Analysis'!E374</f>
        <v>38.583249452216492</v>
      </c>
      <c r="B374">
        <f>'Daily Analysis'!D374</f>
        <v>4705</v>
      </c>
    </row>
    <row r="375" spans="1:2" x14ac:dyDescent="0.3">
      <c r="A375">
        <f>'Daily Analysis'!E375</f>
        <v>41.176475937326856</v>
      </c>
      <c r="B375">
        <f>'Daily Analysis'!D375</f>
        <v>2020</v>
      </c>
    </row>
    <row r="376" spans="1:2" x14ac:dyDescent="0.3">
      <c r="A376">
        <f>'Daily Analysis'!E376</f>
        <v>41.164228773396879</v>
      </c>
      <c r="B376">
        <f>'Daily Analysis'!D376</f>
        <v>1868</v>
      </c>
    </row>
    <row r="377" spans="1:2" x14ac:dyDescent="0.3">
      <c r="A377">
        <f>'Daily Analysis'!E377</f>
        <v>41.176658230298401</v>
      </c>
      <c r="B377">
        <f>'Daily Analysis'!D377</f>
        <v>3008</v>
      </c>
    </row>
    <row r="378" spans="1:2" x14ac:dyDescent="0.3">
      <c r="A378">
        <f>'Daily Analysis'!E378</f>
        <v>41.175042317084973</v>
      </c>
      <c r="B378">
        <f>'Daily Analysis'!D378</f>
        <v>2934</v>
      </c>
    </row>
    <row r="379" spans="1:2" x14ac:dyDescent="0.3">
      <c r="A379">
        <f>'Daily Analysis'!E379</f>
        <v>41.181874171201407</v>
      </c>
      <c r="B379">
        <f>'Daily Analysis'!D379</f>
        <v>1690</v>
      </c>
    </row>
    <row r="380" spans="1:2" x14ac:dyDescent="0.3">
      <c r="A380">
        <f>'Daily Analysis'!E380</f>
        <v>41.175070170680335</v>
      </c>
      <c r="B380">
        <f>'Daily Analysis'!D380</f>
        <v>2058</v>
      </c>
    </row>
    <row r="381" spans="1:2" x14ac:dyDescent="0.3">
      <c r="A381">
        <f>'Daily Analysis'!E381</f>
        <v>41.180873973337818</v>
      </c>
      <c r="B381">
        <f>'Daily Analysis'!D381</f>
        <v>1570</v>
      </c>
    </row>
    <row r="382" spans="1:2" x14ac:dyDescent="0.3">
      <c r="A382">
        <f>'Daily Analysis'!E382</f>
        <v>41.184914267648857</v>
      </c>
      <c r="B382">
        <f>'Daily Analysis'!D382</f>
        <v>1446</v>
      </c>
    </row>
    <row r="383" spans="1:2" x14ac:dyDescent="0.3">
      <c r="A383">
        <f>'Daily Analysis'!E383</f>
        <v>41.16645338767848</v>
      </c>
      <c r="B383">
        <f>'Daily Analysis'!D383</f>
        <v>1921</v>
      </c>
    </row>
    <row r="384" spans="1:2" x14ac:dyDescent="0.3">
      <c r="A384">
        <f>'Daily Analysis'!E384</f>
        <v>41.180506141486333</v>
      </c>
      <c r="B384">
        <f>'Daily Analysis'!D384</f>
        <v>3629</v>
      </c>
    </row>
    <row r="385" spans="1:2" x14ac:dyDescent="0.3">
      <c r="A385">
        <f>'Daily Analysis'!E385</f>
        <v>41.173764463294283</v>
      </c>
      <c r="B385">
        <f>'Daily Analysis'!D385</f>
        <v>4144</v>
      </c>
    </row>
    <row r="386" spans="1:2" x14ac:dyDescent="0.3">
      <c r="A386">
        <f>'Daily Analysis'!E386</f>
        <v>41.181423222733052</v>
      </c>
      <c r="B386">
        <f>'Daily Analysis'!D386</f>
        <v>1815</v>
      </c>
    </row>
    <row r="387" spans="1:2" x14ac:dyDescent="0.3">
      <c r="A387">
        <f>'Daily Analysis'!E387</f>
        <v>41.180521425988928</v>
      </c>
      <c r="B387">
        <f>'Daily Analysis'!D387</f>
        <v>2189</v>
      </c>
    </row>
    <row r="388" spans="1:2" x14ac:dyDescent="0.3">
      <c r="A388">
        <f>'Daily Analysis'!E388</f>
        <v>41.172899327011379</v>
      </c>
      <c r="B388">
        <f>'Daily Analysis'!D388</f>
        <v>2376</v>
      </c>
    </row>
    <row r="389" spans="1:2" x14ac:dyDescent="0.3">
      <c r="A389">
        <f>'Daily Analysis'!E389</f>
        <v>41.177691243226469</v>
      </c>
      <c r="B389">
        <f>'Daily Analysis'!D389</f>
        <v>1525</v>
      </c>
    </row>
    <row r="390" spans="1:2" x14ac:dyDescent="0.3">
      <c r="A390">
        <f>'Daily Analysis'!E390</f>
        <v>41.18254320982696</v>
      </c>
      <c r="B390">
        <f>'Daily Analysis'!D390</f>
        <v>1616</v>
      </c>
    </row>
    <row r="391" spans="1:2" x14ac:dyDescent="0.3">
      <c r="A391">
        <f>'Daily Analysis'!E391</f>
        <v>41.168722571401091</v>
      </c>
      <c r="B391">
        <f>'Daily Analysis'!D391</f>
        <v>3757</v>
      </c>
    </row>
    <row r="392" spans="1:2" x14ac:dyDescent="0.3">
      <c r="A392">
        <f>'Daily Analysis'!E392</f>
        <v>41.173049448862237</v>
      </c>
      <c r="B392">
        <f>'Daily Analysis'!D392</f>
        <v>3855</v>
      </c>
    </row>
    <row r="393" spans="1:2" x14ac:dyDescent="0.3">
      <c r="A393">
        <f>'Daily Analysis'!E393</f>
        <v>41.16619763944675</v>
      </c>
      <c r="B393">
        <f>'Daily Analysis'!D393</f>
        <v>1897</v>
      </c>
    </row>
    <row r="394" spans="1:2" x14ac:dyDescent="0.3">
      <c r="A394">
        <f>'Daily Analysis'!E394</f>
        <v>41.179552485999942</v>
      </c>
      <c r="B394">
        <f>'Daily Analysis'!D394</f>
        <v>2230</v>
      </c>
    </row>
    <row r="395" spans="1:2" x14ac:dyDescent="0.3">
      <c r="A395">
        <f>'Daily Analysis'!E395</f>
        <v>41.172692878722181</v>
      </c>
      <c r="B395">
        <f>'Daily Analysis'!D395</f>
        <v>1870</v>
      </c>
    </row>
    <row r="396" spans="1:2" x14ac:dyDescent="0.3">
      <c r="A396">
        <f>'Daily Analysis'!E396</f>
        <v>41.166815037759704</v>
      </c>
      <c r="B396">
        <f>'Daily Analysis'!D396</f>
        <v>1455</v>
      </c>
    </row>
    <row r="397" spans="1:2" x14ac:dyDescent="0.3">
      <c r="A397">
        <f>'Daily Analysis'!E397</f>
        <v>41.171116409712901</v>
      </c>
      <c r="B397">
        <f>'Daily Analysis'!D397</f>
        <v>1392</v>
      </c>
    </row>
    <row r="398" spans="1:2" x14ac:dyDescent="0.3">
      <c r="A398">
        <f>'Daily Analysis'!E398</f>
        <v>41.168976274705507</v>
      </c>
      <c r="B398">
        <f>'Daily Analysis'!D398</f>
        <v>3268</v>
      </c>
    </row>
    <row r="399" spans="1:2" x14ac:dyDescent="0.3">
      <c r="A399">
        <f>'Daily Analysis'!E399</f>
        <v>41.175156725454606</v>
      </c>
      <c r="B399">
        <f>'Daily Analysis'!D399</f>
        <v>4862</v>
      </c>
    </row>
    <row r="400" spans="1:2" x14ac:dyDescent="0.3">
      <c r="A400">
        <f>'Daily Analysis'!E400</f>
        <v>41.16925102753008</v>
      </c>
      <c r="B400">
        <f>'Daily Analysis'!D400</f>
        <v>4165</v>
      </c>
    </row>
    <row r="401" spans="1:2" x14ac:dyDescent="0.3">
      <c r="A401">
        <f>'Daily Analysis'!E401</f>
        <v>41.176992898905077</v>
      </c>
      <c r="B401">
        <f>'Daily Analysis'!D401</f>
        <v>3685</v>
      </c>
    </row>
    <row r="402" spans="1:2" x14ac:dyDescent="0.3">
      <c r="A402">
        <f>'Daily Analysis'!E402</f>
        <v>41.174846069212947</v>
      </c>
      <c r="B402">
        <f>'Daily Analysis'!D402</f>
        <v>2479</v>
      </c>
    </row>
    <row r="403" spans="1:2" x14ac:dyDescent="0.3">
      <c r="A403">
        <f>'Daily Analysis'!E403</f>
        <v>41.154167142159793</v>
      </c>
      <c r="B403">
        <f>'Daily Analysis'!D403</f>
        <v>2005</v>
      </c>
    </row>
    <row r="404" spans="1:2" x14ac:dyDescent="0.3">
      <c r="A404">
        <f>'Daily Analysis'!E404</f>
        <v>41.186570818244427</v>
      </c>
      <c r="B404">
        <f>'Daily Analysis'!D404</f>
        <v>1122</v>
      </c>
    </row>
    <row r="405" spans="1:2" x14ac:dyDescent="0.3">
      <c r="A405">
        <f>'Daily Analysis'!E405</f>
        <v>41.176952358530322</v>
      </c>
      <c r="B405">
        <f>'Daily Analysis'!D405</f>
        <v>2082</v>
      </c>
    </row>
    <row r="406" spans="1:2" x14ac:dyDescent="0.3">
      <c r="A406">
        <f>'Daily Analysis'!E406</f>
        <v>41.165290824177383</v>
      </c>
      <c r="B406">
        <f>'Daily Analysis'!D406</f>
        <v>2573</v>
      </c>
    </row>
    <row r="407" spans="1:2" x14ac:dyDescent="0.3">
      <c r="A407">
        <f>'Daily Analysis'!E407</f>
        <v>41.173427774081446</v>
      </c>
      <c r="B407">
        <f>'Daily Analysis'!D407</f>
        <v>1774</v>
      </c>
    </row>
    <row r="408" spans="1:2" x14ac:dyDescent="0.3">
      <c r="A408">
        <f>'Daily Analysis'!E408</f>
        <v>41.172643858746291</v>
      </c>
      <c r="B408">
        <f>'Daily Analysis'!D408</f>
        <v>2378</v>
      </c>
    </row>
    <row r="409" spans="1:2" x14ac:dyDescent="0.3">
      <c r="A409">
        <f>'Daily Analysis'!E409</f>
        <v>37.712106584480935</v>
      </c>
      <c r="B409">
        <f>'Daily Analysis'!D409</f>
        <v>3677</v>
      </c>
    </row>
    <row r="410" spans="1:2" x14ac:dyDescent="0.3">
      <c r="A410">
        <f>'Daily Analysis'!E410</f>
        <v>37.720889397144454</v>
      </c>
      <c r="B410">
        <f>'Daily Analysis'!D410</f>
        <v>4299</v>
      </c>
    </row>
    <row r="411" spans="1:2" x14ac:dyDescent="0.3">
      <c r="A411">
        <f>'Daily Analysis'!E411</f>
        <v>37.702810779511815</v>
      </c>
      <c r="B411">
        <f>'Daily Analysis'!D411</f>
        <v>3674</v>
      </c>
    </row>
    <row r="412" spans="1:2" x14ac:dyDescent="0.3">
      <c r="A412">
        <f>'Daily Analysis'!E412</f>
        <v>37.727241295019304</v>
      </c>
      <c r="B412">
        <f>'Daily Analysis'!D412</f>
        <v>9505</v>
      </c>
    </row>
    <row r="413" spans="1:2" x14ac:dyDescent="0.3">
      <c r="A413">
        <f>'Daily Analysis'!E413</f>
        <v>37.733370340576769</v>
      </c>
      <c r="B413">
        <f>'Daily Analysis'!D413</f>
        <v>11237</v>
      </c>
    </row>
    <row r="414" spans="1:2" x14ac:dyDescent="0.3">
      <c r="A414">
        <f>'Daily Analysis'!E414</f>
        <v>37.710224265284019</v>
      </c>
      <c r="B414">
        <f>'Daily Analysis'!D414</f>
        <v>5406</v>
      </c>
    </row>
    <row r="415" spans="1:2" x14ac:dyDescent="0.3">
      <c r="A415">
        <f>'Daily Analysis'!E415</f>
        <v>37.719159995349898</v>
      </c>
      <c r="B415">
        <f>'Daily Analysis'!D415</f>
        <v>5846</v>
      </c>
    </row>
    <row r="416" spans="1:2" x14ac:dyDescent="0.3">
      <c r="A416">
        <f>'Daily Analysis'!E416</f>
        <v>37.688105837959924</v>
      </c>
      <c r="B416">
        <f>'Daily Analysis'!D416</f>
        <v>3713</v>
      </c>
    </row>
    <row r="417" spans="1:2" x14ac:dyDescent="0.3">
      <c r="A417">
        <f>'Daily Analysis'!E417</f>
        <v>37.720082516366254</v>
      </c>
      <c r="B417">
        <f>'Daily Analysis'!D417</f>
        <v>4270</v>
      </c>
    </row>
    <row r="418" spans="1:2" x14ac:dyDescent="0.3">
      <c r="A418">
        <f>'Daily Analysis'!E418</f>
        <v>37.713233652988031</v>
      </c>
      <c r="B418">
        <f>'Daily Analysis'!D418</f>
        <v>3827</v>
      </c>
    </row>
    <row r="419" spans="1:2" x14ac:dyDescent="0.3">
      <c r="A419">
        <f>'Daily Analysis'!E419</f>
        <v>37.718373126950233</v>
      </c>
      <c r="B419">
        <f>'Daily Analysis'!D419</f>
        <v>7770</v>
      </c>
    </row>
    <row r="420" spans="1:2" x14ac:dyDescent="0.3">
      <c r="A420">
        <f>'Daily Analysis'!E420</f>
        <v>37.705175156562682</v>
      </c>
      <c r="B420">
        <f>'Daily Analysis'!D420</f>
        <v>7102</v>
      </c>
    </row>
    <row r="421" spans="1:2" x14ac:dyDescent="0.3">
      <c r="A421">
        <f>'Daily Analysis'!E421</f>
        <v>37.708616525395009</v>
      </c>
      <c r="B421">
        <f>'Daily Analysis'!D421</f>
        <v>3608</v>
      </c>
    </row>
    <row r="422" spans="1:2" x14ac:dyDescent="0.3">
      <c r="A422">
        <f>'Daily Analysis'!E422</f>
        <v>40.327122832734496</v>
      </c>
      <c r="B422">
        <f>'Daily Analysis'!D422</f>
        <v>2150</v>
      </c>
    </row>
    <row r="423" spans="1:2" x14ac:dyDescent="0.3">
      <c r="A423">
        <f>'Daily Analysis'!E423</f>
        <v>37.736900145889187</v>
      </c>
      <c r="B423">
        <f>'Daily Analysis'!D423</f>
        <v>2530</v>
      </c>
    </row>
    <row r="424" spans="1:2" x14ac:dyDescent="0.3">
      <c r="A424">
        <f>'Daily Analysis'!E424</f>
        <v>37.774914815720827</v>
      </c>
      <c r="B424">
        <f>'Daily Analysis'!D424</f>
        <v>5253</v>
      </c>
    </row>
    <row r="425" spans="1:2" x14ac:dyDescent="0.3">
      <c r="A425">
        <f>'Daily Analysis'!E425</f>
        <v>37.71079693093867</v>
      </c>
      <c r="B425">
        <f>'Daily Analysis'!D425</f>
        <v>4171</v>
      </c>
    </row>
    <row r="426" spans="1:2" x14ac:dyDescent="0.3">
      <c r="A426">
        <f>'Daily Analysis'!E426</f>
        <v>37.707292196694084</v>
      </c>
      <c r="B426">
        <f>'Daily Analysis'!D426</f>
        <v>8156</v>
      </c>
    </row>
    <row r="427" spans="1:2" x14ac:dyDescent="0.3">
      <c r="A427">
        <f>'Daily Analysis'!E427</f>
        <v>37.747285231311281</v>
      </c>
      <c r="B427">
        <f>'Daily Analysis'!D427</f>
        <v>9296</v>
      </c>
    </row>
    <row r="428" spans="1:2" x14ac:dyDescent="0.3">
      <c r="A428">
        <f>'Daily Analysis'!E428</f>
        <v>37.733579705033165</v>
      </c>
      <c r="B428">
        <f>'Daily Analysis'!D428</f>
        <v>6803</v>
      </c>
    </row>
    <row r="429" spans="1:2" x14ac:dyDescent="0.3">
      <c r="A429">
        <f>'Daily Analysis'!E429</f>
        <v>37.727952544462788</v>
      </c>
      <c r="B429">
        <f>'Daily Analysis'!D429</f>
        <v>6221</v>
      </c>
    </row>
    <row r="430" spans="1:2" x14ac:dyDescent="0.3">
      <c r="A430">
        <f>'Daily Analysis'!E430</f>
        <v>37.722064051970833</v>
      </c>
      <c r="B430">
        <f>'Daily Analysis'!D430</f>
        <v>6611</v>
      </c>
    </row>
    <row r="431" spans="1:2" x14ac:dyDescent="0.3">
      <c r="A431">
        <f>'Daily Analysis'!E431</f>
        <v>37.73366128418791</v>
      </c>
      <c r="B431">
        <f>'Daily Analysis'!D431</f>
        <v>6843</v>
      </c>
    </row>
    <row r="432" spans="1:2" x14ac:dyDescent="0.3">
      <c r="A432">
        <f>'Daily Analysis'!E432</f>
        <v>37.837178315921484</v>
      </c>
      <c r="B432">
        <f>'Daily Analysis'!D432</f>
        <v>3858</v>
      </c>
    </row>
    <row r="433" spans="1:2" x14ac:dyDescent="0.3">
      <c r="A433">
        <f>'Daily Analysis'!E433</f>
        <v>37.772145424195877</v>
      </c>
      <c r="B433">
        <f>'Daily Analysis'!D433</f>
        <v>7128</v>
      </c>
    </row>
    <row r="434" spans="1:2" x14ac:dyDescent="0.3">
      <c r="A434">
        <f>'Daily Analysis'!E434</f>
        <v>37.765499151137206</v>
      </c>
      <c r="B434">
        <f>'Daily Analysis'!D434</f>
        <v>8127</v>
      </c>
    </row>
    <row r="435" spans="1:2" x14ac:dyDescent="0.3">
      <c r="A435">
        <f>'Daily Analysis'!E435</f>
        <v>41.168845455963051</v>
      </c>
      <c r="B435">
        <f>'Daily Analysis'!D435</f>
        <v>2966</v>
      </c>
    </row>
    <row r="436" spans="1:2" x14ac:dyDescent="0.3">
      <c r="A436">
        <f>'Daily Analysis'!E436</f>
        <v>41.169097548127048</v>
      </c>
      <c r="B436">
        <f>'Daily Analysis'!D436</f>
        <v>2858</v>
      </c>
    </row>
    <row r="437" spans="1:2" x14ac:dyDescent="0.3">
      <c r="A437">
        <f>'Daily Analysis'!E437</f>
        <v>41.172463222371789</v>
      </c>
      <c r="B437">
        <f>'Daily Analysis'!D437</f>
        <v>1518</v>
      </c>
    </row>
    <row r="438" spans="1:2" x14ac:dyDescent="0.3">
      <c r="A438">
        <f>'Daily Analysis'!E438</f>
        <v>41.171705717366791</v>
      </c>
      <c r="B438">
        <f>'Daily Analysis'!D438</f>
        <v>1386</v>
      </c>
    </row>
    <row r="439" spans="1:2" x14ac:dyDescent="0.3">
      <c r="A439">
        <f>'Daily Analysis'!E439</f>
        <v>41.173655953396441</v>
      </c>
      <c r="B439">
        <f>'Daily Analysis'!D439</f>
        <v>1166</v>
      </c>
    </row>
    <row r="440" spans="1:2" x14ac:dyDescent="0.3">
      <c r="A440">
        <f>'Daily Analysis'!E440</f>
        <v>41.166084512200598</v>
      </c>
      <c r="B440">
        <f>'Daily Analysis'!D440</f>
        <v>2853</v>
      </c>
    </row>
    <row r="441" spans="1:2" x14ac:dyDescent="0.3">
      <c r="A441">
        <f>'Daily Analysis'!E441</f>
        <v>41.178984933233579</v>
      </c>
      <c r="B441">
        <f>'Daily Analysis'!D441</f>
        <v>3657</v>
      </c>
    </row>
    <row r="442" spans="1:2" x14ac:dyDescent="0.3">
      <c r="A442">
        <f>'Daily Analysis'!E442</f>
        <v>41.172578144476006</v>
      </c>
      <c r="B442">
        <f>'Daily Analysis'!D442</f>
        <v>1631</v>
      </c>
    </row>
    <row r="443" spans="1:2" x14ac:dyDescent="0.3">
      <c r="A443">
        <f>'Daily Analysis'!E443</f>
        <v>41.16145444032184</v>
      </c>
      <c r="B443">
        <f>'Daily Analysis'!D443</f>
        <v>1959</v>
      </c>
    </row>
    <row r="444" spans="1:2" x14ac:dyDescent="0.3">
      <c r="A444">
        <f>'Daily Analysis'!E444</f>
        <v>41.194826909219813</v>
      </c>
      <c r="B444">
        <f>'Daily Analysis'!D444</f>
        <v>1230</v>
      </c>
    </row>
    <row r="445" spans="1:2" x14ac:dyDescent="0.3">
      <c r="A445">
        <f>'Daily Analysis'!E445</f>
        <v>41.158200224145723</v>
      </c>
      <c r="B445">
        <f>'Daily Analysis'!D445</f>
        <v>1182</v>
      </c>
    </row>
    <row r="446" spans="1:2" x14ac:dyDescent="0.3">
      <c r="A446">
        <f>'Daily Analysis'!E446</f>
        <v>41.155407254905001</v>
      </c>
      <c r="B446">
        <f>'Daily Analysis'!D446</f>
        <v>1050</v>
      </c>
    </row>
    <row r="447" spans="1:2" x14ac:dyDescent="0.3">
      <c r="A447">
        <f>'Daily Analysis'!E447</f>
        <v>41.173403355116612</v>
      </c>
      <c r="B447">
        <f>'Daily Analysis'!D447</f>
        <v>2353</v>
      </c>
    </row>
    <row r="448" spans="1:2" x14ac:dyDescent="0.3">
      <c r="A448">
        <f>'Daily Analysis'!E448</f>
        <v>41.18116224677177</v>
      </c>
      <c r="B448">
        <f>'Daily Analysis'!D448</f>
        <v>2947</v>
      </c>
    </row>
    <row r="449" spans="1:2" x14ac:dyDescent="0.3">
      <c r="A449">
        <f>'Daily Analysis'!E449</f>
        <v>41.177347092232701</v>
      </c>
      <c r="B449">
        <f>'Daily Analysis'!D449</f>
        <v>1626</v>
      </c>
    </row>
    <row r="450" spans="1:2" x14ac:dyDescent="0.3">
      <c r="A450">
        <f>'Daily Analysis'!E450</f>
        <v>41.165056054620635</v>
      </c>
      <c r="B450">
        <f>'Daily Analysis'!D450</f>
        <v>1976</v>
      </c>
    </row>
    <row r="451" spans="1:2" x14ac:dyDescent="0.3">
      <c r="A451">
        <f>'Daily Analysis'!E451</f>
        <v>37.759875577215098</v>
      </c>
      <c r="B451">
        <f>'Daily Analysis'!D451</f>
        <v>3312</v>
      </c>
    </row>
    <row r="452" spans="1:2" x14ac:dyDescent="0.3">
      <c r="A452">
        <f>'Daily Analysis'!E452</f>
        <v>37.771305376190959</v>
      </c>
      <c r="B452">
        <f>'Daily Analysis'!D452</f>
        <v>6704</v>
      </c>
    </row>
    <row r="453" spans="1:2" x14ac:dyDescent="0.3">
      <c r="A453">
        <f>'Daily Analysis'!E453</f>
        <v>37.713423050924256</v>
      </c>
      <c r="B453">
        <f>'Daily Analysis'!D453</f>
        <v>6077</v>
      </c>
    </row>
    <row r="454" spans="1:2" x14ac:dyDescent="0.3">
      <c r="A454">
        <f>'Daily Analysis'!E454</f>
        <v>37.736133704514138</v>
      </c>
      <c r="B454">
        <f>'Daily Analysis'!D454</f>
        <v>9386</v>
      </c>
    </row>
    <row r="455" spans="1:2" x14ac:dyDescent="0.3">
      <c r="A455">
        <f>'Daily Analysis'!E455</f>
        <v>37.721424073186633</v>
      </c>
      <c r="B455">
        <f>'Daily Analysis'!D455</f>
        <v>12181</v>
      </c>
    </row>
    <row r="456" spans="1:2" x14ac:dyDescent="0.3">
      <c r="A456">
        <f>'Daily Analysis'!E456</f>
        <v>37.746823053867985</v>
      </c>
      <c r="B456">
        <f>'Daily Analysis'!D456</f>
        <v>5937</v>
      </c>
    </row>
    <row r="457" spans="1:2" x14ac:dyDescent="0.3">
      <c r="A457">
        <f>'Daily Analysis'!E457</f>
        <v>37.715309986392903</v>
      </c>
      <c r="B457">
        <f>'Daily Analysis'!D457</f>
        <v>5706</v>
      </c>
    </row>
    <row r="458" spans="1:2" x14ac:dyDescent="0.3">
      <c r="A458">
        <f>'Daily Analysis'!E458</f>
        <v>37.738553448897882</v>
      </c>
      <c r="B458">
        <f>'Daily Analysis'!D458</f>
        <v>9421</v>
      </c>
    </row>
    <row r="459" spans="1:2" x14ac:dyDescent="0.3">
      <c r="A459">
        <f>'Daily Analysis'!E459</f>
        <v>37.774993861600393</v>
      </c>
      <c r="B459">
        <f>'Daily Analysis'!D459</f>
        <v>13207</v>
      </c>
    </row>
    <row r="460" spans="1:2" x14ac:dyDescent="0.3">
      <c r="A460">
        <f>'Daily Analysis'!E460</f>
        <v>37.760466300709915</v>
      </c>
      <c r="B460">
        <f>'Daily Analysis'!D460</f>
        <v>18936</v>
      </c>
    </row>
    <row r="461" spans="1:2" x14ac:dyDescent="0.3">
      <c r="A461">
        <f>'Daily Analysis'!E461</f>
        <v>37.790803199668893</v>
      </c>
      <c r="B461">
        <f>'Daily Analysis'!D461</f>
        <v>13503</v>
      </c>
    </row>
    <row r="462" spans="1:2" x14ac:dyDescent="0.3">
      <c r="A462">
        <f>'Daily Analysis'!E462</f>
        <v>37.76434334834066</v>
      </c>
      <c r="B462">
        <f>'Daily Analysis'!D462</f>
        <v>10600</v>
      </c>
    </row>
    <row r="463" spans="1:2" x14ac:dyDescent="0.3">
      <c r="A463">
        <f>'Daily Analysis'!E463</f>
        <v>37.754999566983457</v>
      </c>
      <c r="B463">
        <f>'Daily Analysis'!D463</f>
        <v>3591</v>
      </c>
    </row>
    <row r="464" spans="1:2" x14ac:dyDescent="0.3">
      <c r="A464">
        <f>'Daily Analysis'!E464</f>
        <v>37.730822003445056</v>
      </c>
      <c r="B464">
        <f>'Daily Analysis'!D464</f>
        <v>4836</v>
      </c>
    </row>
    <row r="465" spans="1:2" x14ac:dyDescent="0.3">
      <c r="A465">
        <f>'Daily Analysis'!E465</f>
        <v>40.665639965379555</v>
      </c>
      <c r="B465">
        <f>'Daily Analysis'!D465</f>
        <v>4348</v>
      </c>
    </row>
    <row r="466" spans="1:2" x14ac:dyDescent="0.3">
      <c r="A466">
        <f>'Daily Analysis'!E466</f>
        <v>41.174080605956263</v>
      </c>
      <c r="B466">
        <f>'Daily Analysis'!D466</f>
        <v>2451</v>
      </c>
    </row>
    <row r="467" spans="1:2" x14ac:dyDescent="0.3">
      <c r="A467">
        <f>'Daily Analysis'!E467</f>
        <v>41.174571515683844</v>
      </c>
      <c r="B467">
        <f>'Daily Analysis'!D467</f>
        <v>1814</v>
      </c>
    </row>
    <row r="468" spans="1:2" x14ac:dyDescent="0.3">
      <c r="A468">
        <f>'Daily Analysis'!E468</f>
        <v>41.179450217230141</v>
      </c>
      <c r="B468">
        <f>'Daily Analysis'!D468</f>
        <v>2770</v>
      </c>
    </row>
    <row r="469" spans="1:2" x14ac:dyDescent="0.3">
      <c r="A469">
        <f>'Daily Analysis'!E469</f>
        <v>41.180924785535936</v>
      </c>
      <c r="B469">
        <f>'Daily Analysis'!D469</f>
        <v>3072</v>
      </c>
    </row>
    <row r="470" spans="1:2" x14ac:dyDescent="0.3">
      <c r="A470">
        <f>'Daily Analysis'!E470</f>
        <v>41.183365767652795</v>
      </c>
      <c r="B470">
        <f>'Daily Analysis'!D470</f>
        <v>1934</v>
      </c>
    </row>
    <row r="471" spans="1:2" x14ac:dyDescent="0.3">
      <c r="A471">
        <f>'Daily Analysis'!E471</f>
        <v>41.177529681817852</v>
      </c>
      <c r="B471">
        <f>'Daily Analysis'!D471</f>
        <v>2019</v>
      </c>
    </row>
    <row r="472" spans="1:2" x14ac:dyDescent="0.3">
      <c r="A472">
        <f>'Daily Analysis'!E472</f>
        <v>41.650691584954288</v>
      </c>
      <c r="B472">
        <f>'Daily Analysis'!D472</f>
        <v>979</v>
      </c>
    </row>
    <row r="473" spans="1:2" x14ac:dyDescent="0.3">
      <c r="A473">
        <f>'Daily Analysis'!E473</f>
        <v>41.6870228369459</v>
      </c>
      <c r="B473">
        <f>'Daily Analysis'!D473</f>
        <v>1398</v>
      </c>
    </row>
    <row r="474" spans="1:2" x14ac:dyDescent="0.3">
      <c r="A474">
        <f>'Daily Analysis'!E474</f>
        <v>41.736311722387512</v>
      </c>
      <c r="B474">
        <f>'Daily Analysis'!D474</f>
        <v>1198</v>
      </c>
    </row>
    <row r="475" spans="1:2" x14ac:dyDescent="0.3">
      <c r="A475">
        <f>'Daily Analysis'!E475</f>
        <v>41.815661602466072</v>
      </c>
      <c r="B475">
        <f>'Daily Analysis'!D475</f>
        <v>2485</v>
      </c>
    </row>
    <row r="476" spans="1:2" x14ac:dyDescent="0.3">
      <c r="A476">
        <f>'Daily Analysis'!E476</f>
        <v>41.879956688706301</v>
      </c>
      <c r="B476">
        <f>'Daily Analysis'!D476</f>
        <v>3172</v>
      </c>
    </row>
    <row r="477" spans="1:2" x14ac:dyDescent="0.3">
      <c r="A477">
        <f>'Daily Analysis'!E477</f>
        <v>41.941624099652643</v>
      </c>
      <c r="B477">
        <f>'Daily Analysis'!D477</f>
        <v>1497</v>
      </c>
    </row>
    <row r="478" spans="1:2" x14ac:dyDescent="0.3">
      <c r="A478">
        <f>'Daily Analysis'!E478</f>
        <v>41.929235634842584</v>
      </c>
      <c r="B478">
        <f>'Daily Analysis'!D478</f>
        <v>1365</v>
      </c>
    </row>
    <row r="479" spans="1:2" x14ac:dyDescent="0.3">
      <c r="A479">
        <f>'Daily Analysis'!E479</f>
        <v>42.035732043614196</v>
      </c>
      <c r="B479">
        <f>'Daily Analysis'!D479</f>
        <v>1353</v>
      </c>
    </row>
    <row r="480" spans="1:2" x14ac:dyDescent="0.3">
      <c r="A480">
        <f>'Daily Analysis'!E480</f>
        <v>38.597771740883573</v>
      </c>
      <c r="B480">
        <f>'Daily Analysis'!D480</f>
        <v>3439</v>
      </c>
    </row>
    <row r="481" spans="1:2" x14ac:dyDescent="0.3">
      <c r="A481">
        <f>'Daily Analysis'!E481</f>
        <v>42.057419071213396</v>
      </c>
      <c r="B481">
        <f>'Daily Analysis'!D481</f>
        <v>1434</v>
      </c>
    </row>
    <row r="482" spans="1:2" x14ac:dyDescent="0.3">
      <c r="A482">
        <f>'Daily Analysis'!E482</f>
        <v>38.64001444879883</v>
      </c>
      <c r="B482">
        <f>'Daily Analysis'!D482</f>
        <v>8892</v>
      </c>
    </row>
    <row r="483" spans="1:2" x14ac:dyDescent="0.3">
      <c r="A483">
        <f>'Daily Analysis'!E483</f>
        <v>37.802975884335261</v>
      </c>
      <c r="B483">
        <f>'Daily Analysis'!D483</f>
        <v>13144</v>
      </c>
    </row>
    <row r="484" spans="1:2" x14ac:dyDescent="0.3">
      <c r="A484">
        <f>'Daily Analysis'!E484</f>
        <v>38.688903236466729</v>
      </c>
      <c r="B484">
        <f>'Daily Analysis'!D484</f>
        <v>5179</v>
      </c>
    </row>
    <row r="485" spans="1:2" x14ac:dyDescent="0.3">
      <c r="A485">
        <f>'Daily Analysis'!E485</f>
        <v>38.697260035743163</v>
      </c>
      <c r="B485">
        <f>'Daily Analysis'!D485</f>
        <v>5014</v>
      </c>
    </row>
    <row r="486" spans="1:2" x14ac:dyDescent="0.3">
      <c r="A486">
        <f>'Daily Analysis'!E486</f>
        <v>38.606276171359887</v>
      </c>
      <c r="B486">
        <f>'Daily Analysis'!D486</f>
        <v>4936</v>
      </c>
    </row>
    <row r="487" spans="1:2" x14ac:dyDescent="0.3">
      <c r="A487">
        <f>'Daily Analysis'!E487</f>
        <v>38.637941674293671</v>
      </c>
      <c r="B487">
        <f>'Daily Analysis'!D487</f>
        <v>5150</v>
      </c>
    </row>
    <row r="488" spans="1:2" x14ac:dyDescent="0.3">
      <c r="A488">
        <f>'Daily Analysis'!E488</f>
        <v>38.602330465222131</v>
      </c>
      <c r="B488">
        <f>'Daily Analysis'!D488</f>
        <v>9986</v>
      </c>
    </row>
    <row r="489" spans="1:2" x14ac:dyDescent="0.3">
      <c r="A489">
        <f>'Daily Analysis'!E489</f>
        <v>38.62591131777306</v>
      </c>
      <c r="B489">
        <f>'Daily Analysis'!D489</f>
        <v>12937</v>
      </c>
    </row>
    <row r="490" spans="1:2" x14ac:dyDescent="0.3">
      <c r="A490">
        <f>'Daily Analysis'!E490</f>
        <v>37.788901029795582</v>
      </c>
      <c r="B490">
        <f>'Daily Analysis'!D490</f>
        <v>12217</v>
      </c>
    </row>
    <row r="491" spans="1:2" x14ac:dyDescent="0.3">
      <c r="A491">
        <f>'Daily Analysis'!E491</f>
        <v>38.61651669714535</v>
      </c>
      <c r="B491">
        <f>'Daily Analysis'!D491</f>
        <v>6721</v>
      </c>
    </row>
    <row r="492" spans="1:2" x14ac:dyDescent="0.3">
      <c r="A492">
        <f>'Daily Analysis'!E492</f>
        <v>38.670683858696933</v>
      </c>
      <c r="B492">
        <f>'Daily Analysis'!D492</f>
        <v>8283</v>
      </c>
    </row>
    <row r="493" spans="1:2" x14ac:dyDescent="0.3">
      <c r="A493">
        <f>'Daily Analysis'!E493</f>
        <v>38.753512865603327</v>
      </c>
      <c r="B493">
        <f>'Daily Analysis'!D493</f>
        <v>6191</v>
      </c>
    </row>
    <row r="494" spans="1:2" x14ac:dyDescent="0.3">
      <c r="A494">
        <f>'Daily Analysis'!E494</f>
        <v>37.757038944479845</v>
      </c>
      <c r="B494">
        <f>'Daily Analysis'!D494</f>
        <v>5959</v>
      </c>
    </row>
    <row r="495" spans="1:2" x14ac:dyDescent="0.3">
      <c r="A495">
        <f>'Daily Analysis'!E495</f>
        <v>41.150973219769554</v>
      </c>
      <c r="B495">
        <f>'Daily Analysis'!D495</f>
        <v>2848</v>
      </c>
    </row>
    <row r="496" spans="1:2" x14ac:dyDescent="0.3">
      <c r="A496">
        <f>'Daily Analysis'!E496</f>
        <v>37.790260609609021</v>
      </c>
      <c r="B496">
        <f>'Daily Analysis'!D496</f>
        <v>8748</v>
      </c>
    </row>
    <row r="497" spans="1:2" x14ac:dyDescent="0.3">
      <c r="A497">
        <f>'Daily Analysis'!E497</f>
        <v>37.755070167074258</v>
      </c>
      <c r="B497">
        <f>'Daily Analysis'!D497</f>
        <v>10329</v>
      </c>
    </row>
    <row r="498" spans="1:2" x14ac:dyDescent="0.3">
      <c r="A498">
        <f>'Daily Analysis'!E498</f>
        <v>37.763265365888962</v>
      </c>
      <c r="B498">
        <f>'Daily Analysis'!D498</f>
        <v>4410</v>
      </c>
    </row>
    <row r="499" spans="1:2" x14ac:dyDescent="0.3">
      <c r="A499">
        <f>'Daily Analysis'!E499</f>
        <v>37.748318937384042</v>
      </c>
      <c r="B499">
        <f>'Daily Analysis'!D499</f>
        <v>5257</v>
      </c>
    </row>
    <row r="500" spans="1:2" x14ac:dyDescent="0.3">
      <c r="A500">
        <f>'Daily Analysis'!E500</f>
        <v>37.745633167782884</v>
      </c>
      <c r="B500">
        <f>'Daily Analysis'!D500</f>
        <v>5118</v>
      </c>
    </row>
    <row r="501" spans="1:2" x14ac:dyDescent="0.3">
      <c r="A501">
        <f>'Daily Analysis'!E501</f>
        <v>37.73313537320243</v>
      </c>
      <c r="B501">
        <f>'Daily Analysis'!D501</f>
        <v>4410</v>
      </c>
    </row>
    <row r="502" spans="1:2" x14ac:dyDescent="0.3">
      <c r="A502">
        <f>'Daily Analysis'!E502</f>
        <v>37.74762183224545</v>
      </c>
      <c r="B502">
        <f>'Daily Analysis'!D502</f>
        <v>3952</v>
      </c>
    </row>
    <row r="503" spans="1:2" x14ac:dyDescent="0.3">
      <c r="A503">
        <f>'Daily Analysis'!E503</f>
        <v>37.742223084433476</v>
      </c>
      <c r="B503">
        <f>'Daily Analysis'!D503</f>
        <v>10084</v>
      </c>
    </row>
    <row r="504" spans="1:2" x14ac:dyDescent="0.3">
      <c r="A504">
        <f>'Daily Analysis'!E504</f>
        <v>37.732595670589312</v>
      </c>
      <c r="B504">
        <f>'Daily Analysis'!D504</f>
        <v>10964</v>
      </c>
    </row>
    <row r="505" spans="1:2" x14ac:dyDescent="0.3">
      <c r="A505">
        <f>'Daily Analysis'!E505</f>
        <v>37.733689683837937</v>
      </c>
      <c r="B505">
        <f>'Daily Analysis'!D505</f>
        <v>4695</v>
      </c>
    </row>
    <row r="506" spans="1:2" x14ac:dyDescent="0.3">
      <c r="A506">
        <f>'Daily Analysis'!E506</f>
        <v>37.73693823954811</v>
      </c>
      <c r="B506">
        <f>'Daily Analysis'!D506</f>
        <v>5205</v>
      </c>
    </row>
    <row r="507" spans="1:2" x14ac:dyDescent="0.3">
      <c r="A507">
        <f>'Daily Analysis'!E507</f>
        <v>37.916677340243325</v>
      </c>
      <c r="B507">
        <f>'Daily Analysis'!D507</f>
        <v>3638</v>
      </c>
    </row>
    <row r="508" spans="1:2" x14ac:dyDescent="0.3">
      <c r="A508">
        <f>'Daily Analysis'!E508</f>
        <v>37.818908468728424</v>
      </c>
      <c r="B508">
        <f>'Daily Analysis'!D508</f>
        <v>4394</v>
      </c>
    </row>
    <row r="509" spans="1:2" x14ac:dyDescent="0.3">
      <c r="A509">
        <f>'Daily Analysis'!E509</f>
        <v>42.049889449621851</v>
      </c>
      <c r="B509">
        <f>'Daily Analysis'!D509</f>
        <v>2012</v>
      </c>
    </row>
    <row r="510" spans="1:2" x14ac:dyDescent="0.3">
      <c r="A510">
        <f>'Daily Analysis'!E510</f>
        <v>37.745838644940285</v>
      </c>
      <c r="B510">
        <f>'Daily Analysis'!D510</f>
        <v>8526</v>
      </c>
    </row>
    <row r="511" spans="1:2" x14ac:dyDescent="0.3">
      <c r="A511">
        <f>'Daily Analysis'!E511</f>
        <v>37.735707520721881</v>
      </c>
      <c r="B511">
        <f>'Daily Analysis'!D511</f>
        <v>11096</v>
      </c>
    </row>
    <row r="512" spans="1:2" x14ac:dyDescent="0.3">
      <c r="A512">
        <f>'Daily Analysis'!E512</f>
        <v>37.76815904374282</v>
      </c>
      <c r="B512">
        <f>'Daily Analysis'!D512</f>
        <v>4489</v>
      </c>
    </row>
    <row r="513" spans="1:2" x14ac:dyDescent="0.3">
      <c r="A513">
        <f>'Daily Analysis'!E513</f>
        <v>37.738706392358246</v>
      </c>
      <c r="B513">
        <f>'Daily Analysis'!D513</f>
        <v>6795</v>
      </c>
    </row>
    <row r="514" spans="1:2" x14ac:dyDescent="0.3">
      <c r="A514">
        <f>'Daily Analysis'!E514</f>
        <v>37.74103963938488</v>
      </c>
      <c r="B514">
        <f>'Daily Analysis'!D514</f>
        <v>5283</v>
      </c>
    </row>
    <row r="515" spans="1:2" x14ac:dyDescent="0.3">
      <c r="A515">
        <f>'Daily Analysis'!E515</f>
        <v>37.742790072610475</v>
      </c>
      <c r="B515">
        <f>'Daily Analysis'!D515</f>
        <v>6453</v>
      </c>
    </row>
    <row r="516" spans="1:2" x14ac:dyDescent="0.3">
      <c r="A516">
        <f>'Daily Analysis'!E516</f>
        <v>37.737610558032358</v>
      </c>
      <c r="B516">
        <f>'Daily Analysis'!D516</f>
        <v>5770</v>
      </c>
    </row>
    <row r="517" spans="1:2" x14ac:dyDescent="0.3">
      <c r="A517">
        <f>'Daily Analysis'!E517</f>
        <v>37.751719206024525</v>
      </c>
      <c r="B517">
        <f>'Daily Analysis'!D517</f>
        <v>12507</v>
      </c>
    </row>
    <row r="518" spans="1:2" x14ac:dyDescent="0.3">
      <c r="A518">
        <f>'Daily Analysis'!E518</f>
        <v>37.729565624531887</v>
      </c>
      <c r="B518">
        <f>'Daily Analysis'!D518</f>
        <v>14475</v>
      </c>
    </row>
    <row r="519" spans="1:2" x14ac:dyDescent="0.3">
      <c r="A519">
        <f>'Daily Analysis'!E519</f>
        <v>37.756793448382169</v>
      </c>
      <c r="B519">
        <f>'Daily Analysis'!D519</f>
        <v>7009</v>
      </c>
    </row>
    <row r="520" spans="1:2" x14ac:dyDescent="0.3">
      <c r="A520">
        <f>'Daily Analysis'!E520</f>
        <v>37.722963612762662</v>
      </c>
      <c r="B520">
        <f>'Daily Analysis'!D520</f>
        <v>11688</v>
      </c>
    </row>
    <row r="521" spans="1:2" x14ac:dyDescent="0.3">
      <c r="A521">
        <f>'Daily Analysis'!E521</f>
        <v>37.720737654648772</v>
      </c>
      <c r="B521">
        <f>'Daily Analysis'!D521</f>
        <v>8863</v>
      </c>
    </row>
    <row r="522" spans="1:2" x14ac:dyDescent="0.3">
      <c r="A522">
        <f>'Daily Analysis'!E522</f>
        <v>37.749836125741886</v>
      </c>
      <c r="B522">
        <f>'Daily Analysis'!D522</f>
        <v>7148</v>
      </c>
    </row>
    <row r="523" spans="1:2" x14ac:dyDescent="0.3">
      <c r="A523">
        <f>'Daily Analysis'!E523</f>
        <v>37.766896222273807</v>
      </c>
      <c r="B523">
        <f>'Daily Analysis'!D523</f>
        <v>5326</v>
      </c>
    </row>
    <row r="524" spans="1:2" x14ac:dyDescent="0.3">
      <c r="A524">
        <f>'Daily Analysis'!E524</f>
        <v>37.744190860216825</v>
      </c>
      <c r="B524">
        <f>'Daily Analysis'!D524</f>
        <v>7775</v>
      </c>
    </row>
    <row r="525" spans="1:2" x14ac:dyDescent="0.3">
      <c r="A525">
        <f>'Daily Analysis'!E525</f>
        <v>37.753971887678802</v>
      </c>
      <c r="B525">
        <f>'Daily Analysis'!D525</f>
        <v>9255</v>
      </c>
    </row>
    <row r="526" spans="1:2" x14ac:dyDescent="0.3">
      <c r="A526">
        <f>'Daily Analysis'!E526</f>
        <v>37.7475651877239</v>
      </c>
      <c r="B526">
        <f>'Daily Analysis'!D526</f>
        <v>4758</v>
      </c>
    </row>
    <row r="527" spans="1:2" x14ac:dyDescent="0.3">
      <c r="A527">
        <f>'Daily Analysis'!E527</f>
        <v>42.024701751135893</v>
      </c>
      <c r="B527">
        <f>'Daily Analysis'!D527</f>
        <v>2613</v>
      </c>
    </row>
    <row r="528" spans="1:2" x14ac:dyDescent="0.3">
      <c r="A528">
        <f>'Daily Analysis'!E528</f>
        <v>42.052961941885044</v>
      </c>
      <c r="B528">
        <f>'Daily Analysis'!D528</f>
        <v>1830</v>
      </c>
    </row>
    <row r="529" spans="1:2" x14ac:dyDescent="0.3">
      <c r="A529">
        <f>'Daily Analysis'!E529</f>
        <v>42.030453602148476</v>
      </c>
      <c r="B529">
        <f>'Daily Analysis'!D529</f>
        <v>1694</v>
      </c>
    </row>
    <row r="530" spans="1:2" x14ac:dyDescent="0.3">
      <c r="A530">
        <f>'Daily Analysis'!E530</f>
        <v>42.014827448431653</v>
      </c>
      <c r="B530">
        <f>'Daily Analysis'!D530</f>
        <v>1642</v>
      </c>
    </row>
    <row r="531" spans="1:2" x14ac:dyDescent="0.3">
      <c r="A531">
        <f>'Daily Analysis'!E531</f>
        <v>42.047934750137237</v>
      </c>
      <c r="B531">
        <f>'Daily Analysis'!D531</f>
        <v>3690</v>
      </c>
    </row>
    <row r="532" spans="1:2" x14ac:dyDescent="0.3">
      <c r="A532">
        <f>'Daily Analysis'!E532</f>
        <v>42.032135137605337</v>
      </c>
      <c r="B532">
        <f>'Daily Analysis'!D532</f>
        <v>4404</v>
      </c>
    </row>
    <row r="533" spans="1:2" x14ac:dyDescent="0.3">
      <c r="A533">
        <f>'Daily Analysis'!E533</f>
        <v>42.058004021490426</v>
      </c>
      <c r="B533">
        <f>'Daily Analysis'!D533</f>
        <v>1992</v>
      </c>
    </row>
    <row r="534" spans="1:2" x14ac:dyDescent="0.3">
      <c r="A534">
        <f>'Daily Analysis'!E534</f>
        <v>42.030243050536299</v>
      </c>
      <c r="B534">
        <f>'Daily Analysis'!D534</f>
        <v>3557</v>
      </c>
    </row>
    <row r="535" spans="1:2" x14ac:dyDescent="0.3">
      <c r="A535">
        <f>'Daily Analysis'!E535</f>
        <v>41.95294229336271</v>
      </c>
      <c r="B535">
        <f>'Daily Analysis'!D535</f>
        <v>2395</v>
      </c>
    </row>
    <row r="536" spans="1:2" x14ac:dyDescent="0.3">
      <c r="A536">
        <f>'Daily Analysis'!E536</f>
        <v>42.015427050509047</v>
      </c>
      <c r="B536">
        <f>'Daily Analysis'!D536</f>
        <v>2120</v>
      </c>
    </row>
    <row r="537" spans="1:2" x14ac:dyDescent="0.3">
      <c r="A537">
        <f>'Daily Analysis'!E537</f>
        <v>41.998184457343747</v>
      </c>
      <c r="B537">
        <f>'Daily Analysis'!D537</f>
        <v>1875</v>
      </c>
    </row>
    <row r="538" spans="1:2" x14ac:dyDescent="0.3">
      <c r="A538">
        <f>'Daily Analysis'!E538</f>
        <v>42.03595451112156</v>
      </c>
      <c r="B538">
        <f>'Daily Analysis'!D538</f>
        <v>3376</v>
      </c>
    </row>
    <row r="539" spans="1:2" x14ac:dyDescent="0.3">
      <c r="A539">
        <f>'Daily Analysis'!E539</f>
        <v>42.042284152847081</v>
      </c>
      <c r="B539">
        <f>'Daily Analysis'!D539</f>
        <v>4027</v>
      </c>
    </row>
    <row r="540" spans="1:2" x14ac:dyDescent="0.3">
      <c r="A540">
        <f>'Daily Analysis'!E540</f>
        <v>42.064023889129899</v>
      </c>
      <c r="B540">
        <f>'Daily Analysis'!D540</f>
        <v>2128</v>
      </c>
    </row>
    <row r="541" spans="1:2" x14ac:dyDescent="0.3">
      <c r="A541">
        <f>'Daily Analysis'!E541</f>
        <v>42.025452267418949</v>
      </c>
      <c r="B541">
        <f>'Daily Analysis'!D541</f>
        <v>2046</v>
      </c>
    </row>
    <row r="542" spans="1:2" x14ac:dyDescent="0.3">
      <c r="A542">
        <f>'Daily Analysis'!E542</f>
        <v>42.015822817528871</v>
      </c>
      <c r="B542">
        <f>'Daily Analysis'!D542</f>
        <v>1546</v>
      </c>
    </row>
    <row r="543" spans="1:2" x14ac:dyDescent="0.3">
      <c r="A543">
        <f>'Daily Analysis'!E543</f>
        <v>37.779387964379339</v>
      </c>
      <c r="B543">
        <f>'Daily Analysis'!D543</f>
        <v>2822</v>
      </c>
    </row>
    <row r="544" spans="1:2" x14ac:dyDescent="0.3">
      <c r="A544">
        <f>'Daily Analysis'!E544</f>
        <v>37.789068303235915</v>
      </c>
      <c r="B544">
        <f>'Daily Analysis'!D544</f>
        <v>4865</v>
      </c>
    </row>
    <row r="545" spans="1:2" x14ac:dyDescent="0.3">
      <c r="A545">
        <f>'Daily Analysis'!E545</f>
        <v>37.820093975663397</v>
      </c>
      <c r="B545">
        <f>'Daily Analysis'!D545</f>
        <v>8450</v>
      </c>
    </row>
    <row r="546" spans="1:2" x14ac:dyDescent="0.3">
      <c r="A546">
        <f>'Daily Analysis'!E546</f>
        <v>37.793834053904781</v>
      </c>
      <c r="B546">
        <f>'Daily Analysis'!D546</f>
        <v>9770</v>
      </c>
    </row>
    <row r="547" spans="1:2" x14ac:dyDescent="0.3">
      <c r="A547">
        <f>'Daily Analysis'!E547</f>
        <v>37.779505717690334</v>
      </c>
      <c r="B547">
        <f>'Daily Analysis'!D547</f>
        <v>4914</v>
      </c>
    </row>
    <row r="548" spans="1:2" x14ac:dyDescent="0.3">
      <c r="A548">
        <f>'Daily Analysis'!E548</f>
        <v>37.755475891414527</v>
      </c>
      <c r="B548">
        <f>'Daily Analysis'!D548</f>
        <v>4385</v>
      </c>
    </row>
    <row r="549" spans="1:2" x14ac:dyDescent="0.3">
      <c r="A549">
        <f>'Daily Analysis'!E549</f>
        <v>37.758145229241428</v>
      </c>
      <c r="B549">
        <f>'Daily Analysis'!D549</f>
        <v>5627</v>
      </c>
    </row>
    <row r="550" spans="1:2" x14ac:dyDescent="0.3">
      <c r="A550">
        <f>'Daily Analysis'!E550</f>
        <v>37.748195410135814</v>
      </c>
      <c r="B550">
        <f>'Daily Analysis'!D550</f>
        <v>8086</v>
      </c>
    </row>
    <row r="551" spans="1:2" x14ac:dyDescent="0.3">
      <c r="A551">
        <f>'Daily Analysis'!E551</f>
        <v>37.728817240133182</v>
      </c>
      <c r="B551">
        <f>'Daily Analysis'!D551</f>
        <v>6639</v>
      </c>
    </row>
    <row r="552" spans="1:2" x14ac:dyDescent="0.3">
      <c r="A552">
        <f>'Daily Analysis'!E552</f>
        <v>37.78300685557565</v>
      </c>
      <c r="B552">
        <f>'Daily Analysis'!D552</f>
        <v>7104</v>
      </c>
    </row>
    <row r="553" spans="1:2" x14ac:dyDescent="0.3">
      <c r="A553">
        <f>'Daily Analysis'!E553</f>
        <v>37.82466508110857</v>
      </c>
      <c r="B553">
        <f>'Daily Analysis'!D553</f>
        <v>8364</v>
      </c>
    </row>
    <row r="554" spans="1:2" x14ac:dyDescent="0.3">
      <c r="A554">
        <f>'Daily Analysis'!E554</f>
        <v>37.837203004887606</v>
      </c>
      <c r="B554">
        <f>'Daily Analysis'!D554</f>
        <v>4146</v>
      </c>
    </row>
    <row r="555" spans="1:2" x14ac:dyDescent="0.3">
      <c r="A555">
        <f>'Daily Analysis'!E555</f>
        <v>37.815203551576069</v>
      </c>
      <c r="B555">
        <f>'Daily Analysis'!D555</f>
        <v>4601</v>
      </c>
    </row>
    <row r="556" spans="1:2" x14ac:dyDescent="0.3">
      <c r="A556">
        <f>'Daily Analysis'!E556</f>
        <v>37.782846101334925</v>
      </c>
      <c r="B556">
        <f>'Daily Analysis'!D556</f>
        <v>3593</v>
      </c>
    </row>
    <row r="557" spans="1:2" x14ac:dyDescent="0.3">
      <c r="A557">
        <f>'Daily Analysis'!E557</f>
        <v>39.936854026504029</v>
      </c>
      <c r="B557">
        <f>'Daily Analysis'!D557</f>
        <v>2114</v>
      </c>
    </row>
    <row r="558" spans="1:2" x14ac:dyDescent="0.3">
      <c r="A558">
        <f>'Daily Analysis'!E558</f>
        <v>39.407451466627847</v>
      </c>
      <c r="B558">
        <f>'Daily Analysis'!D558</f>
        <v>1797</v>
      </c>
    </row>
    <row r="559" spans="1:2" x14ac:dyDescent="0.3">
      <c r="A559">
        <f>'Daily Analysis'!E559</f>
        <v>39.431346401735958</v>
      </c>
      <c r="B559">
        <f>'Daily Analysis'!D559</f>
        <v>3195</v>
      </c>
    </row>
    <row r="560" spans="1:2" x14ac:dyDescent="0.3">
      <c r="A560">
        <f>'Daily Analysis'!E560</f>
        <v>39.604501819534462</v>
      </c>
      <c r="B560">
        <f>'Daily Analysis'!D560</f>
        <v>3595</v>
      </c>
    </row>
    <row r="561" spans="1:2" x14ac:dyDescent="0.3">
      <c r="A561">
        <f>'Daily Analysis'!E561</f>
        <v>39.146339950245483</v>
      </c>
      <c r="B561">
        <f>'Daily Analysis'!D561</f>
        <v>1467</v>
      </c>
    </row>
    <row r="562" spans="1:2" x14ac:dyDescent="0.3">
      <c r="A562">
        <f>'Daily Analysis'!E562</f>
        <v>39.336230436167931</v>
      </c>
      <c r="B562">
        <f>'Daily Analysis'!D562</f>
        <v>1610</v>
      </c>
    </row>
    <row r="563" spans="1:2" x14ac:dyDescent="0.3">
      <c r="A563">
        <f>'Daily Analysis'!E563</f>
        <v>39.205071578653687</v>
      </c>
      <c r="B563">
        <f>'Daily Analysis'!D563</f>
        <v>1307</v>
      </c>
    </row>
    <row r="564" spans="1:2" x14ac:dyDescent="0.3">
      <c r="A564">
        <f>'Daily Analysis'!E564</f>
        <v>39.183629663048904</v>
      </c>
      <c r="B564">
        <f>'Daily Analysis'!D564</f>
        <v>2050</v>
      </c>
    </row>
    <row r="565" spans="1:2" x14ac:dyDescent="0.3">
      <c r="A565">
        <f>'Daily Analysis'!E565</f>
        <v>38.892680220692398</v>
      </c>
      <c r="B565">
        <f>'Daily Analysis'!D565</f>
        <v>1849</v>
      </c>
    </row>
    <row r="566" spans="1:2" x14ac:dyDescent="0.3">
      <c r="A566">
        <f>'Daily Analysis'!E566</f>
        <v>38.828765320764298</v>
      </c>
      <c r="B566">
        <f>'Daily Analysis'!D566</f>
        <v>3070</v>
      </c>
    </row>
    <row r="567" spans="1:2" x14ac:dyDescent="0.3">
      <c r="A567">
        <f>'Daily Analysis'!E567</f>
        <v>38.964864135080191</v>
      </c>
      <c r="B567">
        <f>'Daily Analysis'!D567</f>
        <v>3322</v>
      </c>
    </row>
    <row r="568" spans="1:2" x14ac:dyDescent="0.3">
      <c r="A568">
        <f>'Daily Analysis'!E568</f>
        <v>39.17545405404654</v>
      </c>
      <c r="B568">
        <f>'Daily Analysis'!D568</f>
        <v>1982</v>
      </c>
    </row>
    <row r="569" spans="1:2" x14ac:dyDescent="0.3">
      <c r="A569">
        <f>'Daily Analysis'!E569</f>
        <v>39.130750062926694</v>
      </c>
      <c r="B569">
        <f>'Daily Analysis'!D569</f>
        <v>1787</v>
      </c>
    </row>
    <row r="570" spans="1:2" x14ac:dyDescent="0.3">
      <c r="A570">
        <f>'Daily Analysis'!E570</f>
        <v>38.988648050021737</v>
      </c>
      <c r="B570">
        <f>'Daily Analysis'!D570</f>
        <v>1846</v>
      </c>
    </row>
    <row r="571" spans="1:2" x14ac:dyDescent="0.3">
      <c r="A571">
        <f>'Daily Analysis'!E571</f>
        <v>38.795882979168347</v>
      </c>
      <c r="B571">
        <f>'Daily Analysis'!D571</f>
        <v>1142</v>
      </c>
    </row>
    <row r="572" spans="1:2" x14ac:dyDescent="0.3">
      <c r="A572">
        <f>'Daily Analysis'!E572</f>
        <v>38.523485427041813</v>
      </c>
      <c r="B572">
        <f>'Daily Analysis'!D572</f>
        <v>1734</v>
      </c>
    </row>
    <row r="573" spans="1:2" x14ac:dyDescent="0.3">
      <c r="A573">
        <f>'Daily Analysis'!E573</f>
        <v>38.566920172109974</v>
      </c>
      <c r="B573">
        <f>'Daily Analysis'!D573</f>
        <v>3259</v>
      </c>
    </row>
    <row r="574" spans="1:2" x14ac:dyDescent="0.3">
      <c r="A574">
        <f>'Daily Analysis'!E574</f>
        <v>38.808775196986339</v>
      </c>
      <c r="B574">
        <f>'Daily Analysis'!D574</f>
        <v>3572</v>
      </c>
    </row>
    <row r="575" spans="1:2" x14ac:dyDescent="0.3">
      <c r="A575">
        <f>'Daily Analysis'!E575</f>
        <v>38.74587260871521</v>
      </c>
      <c r="B575">
        <f>'Daily Analysis'!D575</f>
        <v>2109</v>
      </c>
    </row>
    <row r="576" spans="1:2" x14ac:dyDescent="0.3">
      <c r="A576">
        <f>'Daily Analysis'!E576</f>
        <v>38.734550115022358</v>
      </c>
      <c r="B576">
        <f>'Daily Analysis'!D576</f>
        <v>2242</v>
      </c>
    </row>
    <row r="577" spans="1:2" x14ac:dyDescent="0.3">
      <c r="A577">
        <f>'Daily Analysis'!E577</f>
        <v>38.654535470760095</v>
      </c>
      <c r="B577">
        <f>'Daily Analysis'!D577</f>
        <v>1474</v>
      </c>
    </row>
    <row r="578" spans="1:2" x14ac:dyDescent="0.3">
      <c r="A578">
        <f>'Daily Analysis'!E578</f>
        <v>38.692011605742486</v>
      </c>
      <c r="B578">
        <f>'Daily Analysis'!D578</f>
        <v>1381</v>
      </c>
    </row>
    <row r="579" spans="1:2" x14ac:dyDescent="0.3">
      <c r="A579">
        <f>'Daily Analysis'!E579</f>
        <v>38.744962627111988</v>
      </c>
      <c r="B579">
        <f>'Daily Analysis'!D579</f>
        <v>1423</v>
      </c>
    </row>
    <row r="580" spans="1:2" x14ac:dyDescent="0.3">
      <c r="A580">
        <f>'Daily Analysis'!E580</f>
        <v>38.779040318894438</v>
      </c>
      <c r="B580">
        <f>'Daily Analysis'!D580</f>
        <v>3740</v>
      </c>
    </row>
    <row r="581" spans="1:2" x14ac:dyDescent="0.3">
      <c r="A581">
        <f>'Daily Analysis'!E581</f>
        <v>38.919134626081899</v>
      </c>
      <c r="B581">
        <f>'Daily Analysis'!D581</f>
        <v>4453</v>
      </c>
    </row>
    <row r="582" spans="1:2" x14ac:dyDescent="0.3">
      <c r="A582">
        <f>'Daily Analysis'!E582</f>
        <v>39.040894026744908</v>
      </c>
      <c r="B582">
        <f>'Daily Analysis'!D582</f>
        <v>2258</v>
      </c>
    </row>
    <row r="583" spans="1:2" x14ac:dyDescent="0.3">
      <c r="A583">
        <f>'Daily Analysis'!E583</f>
        <v>39.123446406842035</v>
      </c>
      <c r="B583">
        <f>'Daily Analysis'!D583</f>
        <v>2074</v>
      </c>
    </row>
    <row r="584" spans="1:2" x14ac:dyDescent="0.3">
      <c r="A584">
        <f>'Daily Analysis'!E584</f>
        <v>38.700987931111356</v>
      </c>
      <c r="B584">
        <f>'Daily Analysis'!D584</f>
        <v>2007</v>
      </c>
    </row>
    <row r="585" spans="1:2" x14ac:dyDescent="0.3">
      <c r="A585">
        <f>'Daily Analysis'!E585</f>
        <v>38.749190222946865</v>
      </c>
      <c r="B585">
        <f>'Daily Analysis'!D585</f>
        <v>1948</v>
      </c>
    </row>
    <row r="586" spans="1:2" x14ac:dyDescent="0.3">
      <c r="A586">
        <f>'Daily Analysis'!E586</f>
        <v>38.686040635817115</v>
      </c>
      <c r="B586">
        <f>'Daily Analysis'!D586</f>
        <v>1922</v>
      </c>
    </row>
    <row r="587" spans="1:2" x14ac:dyDescent="0.3">
      <c r="A587">
        <f>'Daily Analysis'!E587</f>
        <v>38.96595734867163</v>
      </c>
      <c r="B587">
        <f>'Daily Analysis'!D587</f>
        <v>3088</v>
      </c>
    </row>
    <row r="588" spans="1:2" x14ac:dyDescent="0.3">
      <c r="A588">
        <f>'Daily Analysis'!E588</f>
        <v>38.922076004727387</v>
      </c>
      <c r="B588">
        <f>'Daily Analysis'!D588</f>
        <v>3388</v>
      </c>
    </row>
    <row r="589" spans="1:2" x14ac:dyDescent="0.3">
      <c r="A589">
        <f>'Daily Analysis'!E589</f>
        <v>38.839507583652512</v>
      </c>
      <c r="B589">
        <f>'Daily Analysis'!D589</f>
        <v>1944</v>
      </c>
    </row>
    <row r="590" spans="1:2" x14ac:dyDescent="0.3">
      <c r="A590">
        <f>'Daily Analysis'!E590</f>
        <v>38.613729414503581</v>
      </c>
      <c r="B590">
        <f>'Daily Analysis'!D590</f>
        <v>1812</v>
      </c>
    </row>
    <row r="591" spans="1:2" x14ac:dyDescent="0.3">
      <c r="A591">
        <f>'Daily Analysis'!E591</f>
        <v>38.507453005297741</v>
      </c>
      <c r="B591">
        <f>'Daily Analysis'!D591</f>
        <v>1563</v>
      </c>
    </row>
    <row r="592" spans="1:2" x14ac:dyDescent="0.3">
      <c r="A592">
        <f>'Daily Analysis'!E592</f>
        <v>38.171392614086464</v>
      </c>
      <c r="B592">
        <f>'Daily Analysis'!D592</f>
        <v>1171</v>
      </c>
    </row>
    <row r="593" spans="1:2" x14ac:dyDescent="0.3">
      <c r="A593">
        <f>'Daily Analysis'!E593</f>
        <v>38.128897642444684</v>
      </c>
      <c r="B593">
        <f>'Daily Analysis'!D593</f>
        <v>1035</v>
      </c>
    </row>
    <row r="594" spans="1:2" x14ac:dyDescent="0.3">
      <c r="A594">
        <f>'Daily Analysis'!E594</f>
        <v>38.181618559243546</v>
      </c>
      <c r="B594">
        <f>'Daily Analysis'!D594</f>
        <v>2247</v>
      </c>
    </row>
    <row r="595" spans="1:2" x14ac:dyDescent="0.3">
      <c r="A595">
        <f>'Daily Analysis'!E595</f>
        <v>38.22946872679325</v>
      </c>
      <c r="B595">
        <f>'Daily Analysis'!D595</f>
        <v>3068</v>
      </c>
    </row>
    <row r="596" spans="1:2" x14ac:dyDescent="0.3">
      <c r="A596">
        <f>'Daily Analysis'!E596</f>
        <v>38.07934673300133</v>
      </c>
      <c r="B596">
        <f>'Daily Analysis'!D596</f>
        <v>1866</v>
      </c>
    </row>
    <row r="597" spans="1:2" x14ac:dyDescent="0.3">
      <c r="A597">
        <f>'Daily Analysis'!E597</f>
        <v>38.103002635106726</v>
      </c>
      <c r="B597">
        <f>'Daily Analysis'!D597</f>
        <v>1690</v>
      </c>
    </row>
    <row r="598" spans="1:2" x14ac:dyDescent="0.3">
      <c r="A598">
        <f>'Daily Analysis'!E598</f>
        <v>38.140967551762749</v>
      </c>
      <c r="B598">
        <f>'Daily Analysis'!D598</f>
        <v>922</v>
      </c>
    </row>
    <row r="599" spans="1:2" x14ac:dyDescent="0.3">
      <c r="A599">
        <f>'Daily Analysis'!E599</f>
        <v>38.467190720414109</v>
      </c>
      <c r="B599">
        <f>'Daily Analysis'!D599</f>
        <v>604</v>
      </c>
    </row>
    <row r="600" spans="1:2" x14ac:dyDescent="0.3">
      <c r="A600">
        <f>'Daily Analysis'!E600</f>
        <v>38.499155803732691</v>
      </c>
      <c r="B600">
        <f>'Daily Analysis'!D600</f>
        <v>643</v>
      </c>
    </row>
    <row r="601" spans="1:2" x14ac:dyDescent="0.3">
      <c r="A601">
        <f>'Daily Analysis'!E601</f>
        <v>38.230948668522181</v>
      </c>
      <c r="B601">
        <f>'Daily Analysis'!D601</f>
        <v>2006</v>
      </c>
    </row>
    <row r="602" spans="1:2" x14ac:dyDescent="0.3">
      <c r="A602">
        <f>'Daily Analysis'!E602</f>
        <v>38.188723120044003</v>
      </c>
      <c r="B602">
        <f>'Daily Analysis'!D602</f>
        <v>2677</v>
      </c>
    </row>
    <row r="603" spans="1:2" x14ac:dyDescent="0.3">
      <c r="A603">
        <f>'Daily Analysis'!E603</f>
        <v>38.837674182542855</v>
      </c>
      <c r="B603">
        <f>'Daily Analysis'!D603</f>
        <v>1467</v>
      </c>
    </row>
    <row r="604" spans="1:2" x14ac:dyDescent="0.3">
      <c r="A604">
        <f>'Daily Analysis'!E604</f>
        <v>38.902310939244352</v>
      </c>
      <c r="B604">
        <f>'Daily Analysis'!D604</f>
        <v>1528</v>
      </c>
    </row>
    <row r="605" spans="1:2" x14ac:dyDescent="0.3">
      <c r="A605">
        <f>'Daily Analysis'!E605</f>
        <v>34.226943752205187</v>
      </c>
      <c r="B605">
        <f>'Daily Analysis'!D605</f>
        <v>6360</v>
      </c>
    </row>
    <row r="606" spans="1:2" x14ac:dyDescent="0.3">
      <c r="A606">
        <f>'Daily Analysis'!E606</f>
        <v>34.28236551290555</v>
      </c>
      <c r="B606">
        <f>'Daily Analysis'!D606</f>
        <v>8035</v>
      </c>
    </row>
    <row r="607" spans="1:2" x14ac:dyDescent="0.3">
      <c r="A607">
        <f>'Daily Analysis'!E607</f>
        <v>34.26694614030373</v>
      </c>
      <c r="B607">
        <f>'Daily Analysis'!D607</f>
        <v>6675</v>
      </c>
    </row>
    <row r="608" spans="1:2" x14ac:dyDescent="0.3">
      <c r="A608">
        <f>'Daily Analysis'!E608</f>
        <v>34.213514563064606</v>
      </c>
      <c r="B608">
        <f>'Daily Analysis'!D608</f>
        <v>11330</v>
      </c>
    </row>
    <row r="609" spans="1:2" x14ac:dyDescent="0.3">
      <c r="A609">
        <f>'Daily Analysis'!E609</f>
        <v>34.202610861149125</v>
      </c>
      <c r="B609">
        <f>'Daily Analysis'!D609</f>
        <v>13484</v>
      </c>
    </row>
    <row r="610" spans="1:2" x14ac:dyDescent="0.3">
      <c r="A610">
        <f>'Daily Analysis'!E610</f>
        <v>34.204241023072044</v>
      </c>
      <c r="B610">
        <f>'Daily Analysis'!D610</f>
        <v>5913</v>
      </c>
    </row>
    <row r="611" spans="1:2" x14ac:dyDescent="0.3">
      <c r="A611">
        <f>'Daily Analysis'!E611</f>
        <v>34.210447997025604</v>
      </c>
      <c r="B611">
        <f>'Daily Analysis'!D611</f>
        <v>9721</v>
      </c>
    </row>
    <row r="612" spans="1:2" x14ac:dyDescent="0.3">
      <c r="A612">
        <f>'Daily Analysis'!E612</f>
        <v>34.183776457491199</v>
      </c>
      <c r="B612">
        <f>'Daily Analysis'!D612</f>
        <v>11257</v>
      </c>
    </row>
    <row r="613" spans="1:2" x14ac:dyDescent="0.3">
      <c r="A613">
        <f>'Daily Analysis'!E613</f>
        <v>34.228494385307449</v>
      </c>
      <c r="B613">
        <f>'Daily Analysis'!D613</f>
        <v>10102</v>
      </c>
    </row>
    <row r="614" spans="1:2" x14ac:dyDescent="0.3">
      <c r="A614">
        <f>'Daily Analysis'!E614</f>
        <v>34.209006689437651</v>
      </c>
      <c r="B614">
        <f>'Daily Analysis'!D614</f>
        <v>7938</v>
      </c>
    </row>
    <row r="615" spans="1:2" x14ac:dyDescent="0.3">
      <c r="A615">
        <f>'Daily Analysis'!E615</f>
        <v>34.263305702705892</v>
      </c>
      <c r="B615">
        <f>'Daily Analysis'!D615</f>
        <v>9936</v>
      </c>
    </row>
    <row r="616" spans="1:2" x14ac:dyDescent="0.3">
      <c r="A616">
        <f>'Daily Analysis'!E616</f>
        <v>34.24003867162812</v>
      </c>
      <c r="B616">
        <f>'Daily Analysis'!D616</f>
        <v>10643</v>
      </c>
    </row>
    <row r="617" spans="1:2" x14ac:dyDescent="0.3">
      <c r="A617">
        <f>'Daily Analysis'!E617</f>
        <v>34.316584269086498</v>
      </c>
      <c r="B617">
        <f>'Daily Analysis'!D617</f>
        <v>4800</v>
      </c>
    </row>
    <row r="618" spans="1:2" x14ac:dyDescent="0.3">
      <c r="A618">
        <f>'Daily Analysis'!E618</f>
        <v>34.223622675733822</v>
      </c>
      <c r="B618">
        <f>'Daily Analysis'!D618</f>
        <v>5228</v>
      </c>
    </row>
    <row r="619" spans="1:2" x14ac:dyDescent="0.3">
      <c r="A619">
        <f>'Daily Analysis'!E619</f>
        <v>38.832595475563807</v>
      </c>
      <c r="B619">
        <f>'Daily Analysis'!D619</f>
        <v>1810</v>
      </c>
    </row>
    <row r="620" spans="1:2" x14ac:dyDescent="0.3">
      <c r="A620">
        <f>'Daily Analysis'!E620</f>
        <v>38.762711831570876</v>
      </c>
      <c r="B620">
        <f>'Daily Analysis'!D620</f>
        <v>1961</v>
      </c>
    </row>
    <row r="621" spans="1:2" x14ac:dyDescent="0.3">
      <c r="A621">
        <f>'Daily Analysis'!E621</f>
        <v>39.291223333393049</v>
      </c>
      <c r="B621">
        <f>'Daily Analysis'!D621</f>
        <v>1232</v>
      </c>
    </row>
    <row r="622" spans="1:2" x14ac:dyDescent="0.3">
      <c r="A622">
        <f>'Daily Analysis'!E622</f>
        <v>39.17047718358706</v>
      </c>
      <c r="B622">
        <f>'Daily Analysis'!D622</f>
        <v>2194</v>
      </c>
    </row>
    <row r="623" spans="1:2" x14ac:dyDescent="0.3">
      <c r="A623">
        <f>'Daily Analysis'!E623</f>
        <v>39.061777708771523</v>
      </c>
      <c r="B623">
        <f>'Daily Analysis'!D623</f>
        <v>1469</v>
      </c>
    </row>
    <row r="624" spans="1:2" x14ac:dyDescent="0.3">
      <c r="A624">
        <f>'Daily Analysis'!E624</f>
        <v>39.179489015989297</v>
      </c>
      <c r="B624">
        <f>'Daily Analysis'!D624</f>
        <v>829</v>
      </c>
    </row>
    <row r="625" spans="1:2" x14ac:dyDescent="0.3">
      <c r="A625">
        <f>'Daily Analysis'!E625</f>
        <v>39.247692952156036</v>
      </c>
      <c r="B625">
        <f>'Daily Analysis'!D625</f>
        <v>1329</v>
      </c>
    </row>
    <row r="626" spans="1:2" x14ac:dyDescent="0.3">
      <c r="A626">
        <f>'Daily Analysis'!E626</f>
        <v>39.232953514996339</v>
      </c>
      <c r="B626">
        <f>'Daily Analysis'!D626</f>
        <v>1300</v>
      </c>
    </row>
    <row r="627" spans="1:2" x14ac:dyDescent="0.3">
      <c r="A627">
        <f>'Daily Analysis'!E627</f>
        <v>39.061728274534438</v>
      </c>
      <c r="B627">
        <f>'Daily Analysis'!D627</f>
        <v>773</v>
      </c>
    </row>
    <row r="628" spans="1:2" x14ac:dyDescent="0.3">
      <c r="A628">
        <f>'Daily Analysis'!E628</f>
        <v>39.146345533625158</v>
      </c>
      <c r="B628">
        <f>'Daily Analysis'!D628</f>
        <v>760</v>
      </c>
    </row>
    <row r="629" spans="1:2" x14ac:dyDescent="0.3">
      <c r="A629">
        <f>'Daily Analysis'!E629</f>
        <v>39.033982585490243</v>
      </c>
      <c r="B629">
        <f>'Daily Analysis'!D629</f>
        <v>1755</v>
      </c>
    </row>
    <row r="630" spans="1:2" x14ac:dyDescent="0.3">
      <c r="A630">
        <f>'Daily Analysis'!E630</f>
        <v>39.069400768567661</v>
      </c>
      <c r="B630">
        <f>'Daily Analysis'!D630</f>
        <v>1766</v>
      </c>
    </row>
    <row r="631" spans="1:2" x14ac:dyDescent="0.3">
      <c r="A631">
        <f>'Daily Analysis'!E631</f>
        <v>38.827392170130103</v>
      </c>
      <c r="B631">
        <f>'Daily Analysis'!D631</f>
        <v>1078</v>
      </c>
    </row>
    <row r="632" spans="1:2" x14ac:dyDescent="0.3">
      <c r="A632">
        <f>'Daily Analysis'!E632</f>
        <v>39.415895450089181</v>
      </c>
      <c r="B632">
        <f>'Daily Analysis'!D632</f>
        <v>1124</v>
      </c>
    </row>
    <row r="633" spans="1:2" x14ac:dyDescent="0.3">
      <c r="A633">
        <f>'Daily Analysis'!E633</f>
        <v>39.424110093748098</v>
      </c>
      <c r="B633">
        <f>'Daily Analysis'!D633</f>
        <v>1182</v>
      </c>
    </row>
    <row r="634" spans="1:2" x14ac:dyDescent="0.3">
      <c r="A634">
        <f>'Daily Analysis'!E634</f>
        <v>33.606109306133582</v>
      </c>
      <c r="B634">
        <f>'Daily Analysis'!D634</f>
        <v>3725</v>
      </c>
    </row>
    <row r="635" spans="1:2" x14ac:dyDescent="0.3">
      <c r="A635">
        <f>'Daily Analysis'!E635</f>
        <v>33.400891594304895</v>
      </c>
      <c r="B635">
        <f>'Daily Analysis'!D635</f>
        <v>4492</v>
      </c>
    </row>
    <row r="636" spans="1:2" x14ac:dyDescent="0.3">
      <c r="A636">
        <f>'Daily Analysis'!E636</f>
        <v>33.366971164520294</v>
      </c>
      <c r="B636">
        <f>'Daily Analysis'!D636</f>
        <v>11030</v>
      </c>
    </row>
    <row r="637" spans="1:2" x14ac:dyDescent="0.3">
      <c r="A637">
        <f>'Daily Analysis'!E637</f>
        <v>33.370026412336628</v>
      </c>
      <c r="B637">
        <f>'Daily Analysis'!D637</f>
        <v>10528</v>
      </c>
    </row>
    <row r="638" spans="1:2" x14ac:dyDescent="0.3">
      <c r="A638">
        <f>'Daily Analysis'!E638</f>
        <v>33.358516173402222</v>
      </c>
      <c r="B638">
        <f>'Daily Analysis'!D638</f>
        <v>4895</v>
      </c>
    </row>
    <row r="639" spans="1:2" x14ac:dyDescent="0.3">
      <c r="A639">
        <f>'Daily Analysis'!E639</f>
        <v>33.372807515310555</v>
      </c>
      <c r="B639">
        <f>'Daily Analysis'!D639</f>
        <v>5720</v>
      </c>
    </row>
    <row r="640" spans="1:2" x14ac:dyDescent="0.3">
      <c r="A640">
        <f>'Daily Analysis'!E640</f>
        <v>33.368034810113713</v>
      </c>
      <c r="B640">
        <f>'Daily Analysis'!D640</f>
        <v>4288</v>
      </c>
    </row>
    <row r="641" spans="1:2" x14ac:dyDescent="0.3">
      <c r="A641">
        <f>'Daily Analysis'!E641</f>
        <v>33.379633275773116</v>
      </c>
      <c r="B641">
        <f>'Daily Analysis'!D641</f>
        <v>9693</v>
      </c>
    </row>
    <row r="642" spans="1:2" x14ac:dyDescent="0.3">
      <c r="A642">
        <f>'Daily Analysis'!E642</f>
        <v>33.345406809693038</v>
      </c>
      <c r="B642">
        <f>'Daily Analysis'!D642</f>
        <v>12065</v>
      </c>
    </row>
    <row r="643" spans="1:2" x14ac:dyDescent="0.3">
      <c r="A643">
        <f>'Daily Analysis'!E643</f>
        <v>33.478072363913419</v>
      </c>
      <c r="B643">
        <f>'Daily Analysis'!D643</f>
        <v>11758</v>
      </c>
    </row>
    <row r="644" spans="1:2" x14ac:dyDescent="0.3">
      <c r="A644">
        <f>'Daily Analysis'!E644</f>
        <v>33.39502961777147</v>
      </c>
      <c r="B644">
        <f>'Daily Analysis'!D644</f>
        <v>13508</v>
      </c>
    </row>
    <row r="645" spans="1:2" x14ac:dyDescent="0.3">
      <c r="A645">
        <f>'Daily Analysis'!E645</f>
        <v>33.344720608270372</v>
      </c>
      <c r="B645">
        <f>'Daily Analysis'!D645</f>
        <v>6085</v>
      </c>
    </row>
    <row r="646" spans="1:2" x14ac:dyDescent="0.3">
      <c r="A646">
        <f>'Daily Analysis'!E646</f>
        <v>33.36629433237696</v>
      </c>
      <c r="B646">
        <f>'Daily Analysis'!D646</f>
        <v>8828</v>
      </c>
    </row>
    <row r="647" spans="1:2" x14ac:dyDescent="0.3">
      <c r="A647">
        <f>'Daily Analysis'!E647</f>
        <v>33.396372550863504</v>
      </c>
      <c r="B647">
        <f>'Daily Analysis'!D647</f>
        <v>6636</v>
      </c>
    </row>
    <row r="648" spans="1:2" x14ac:dyDescent="0.3">
      <c r="A648">
        <f>'Daily Analysis'!E648</f>
        <v>39.437967003813419</v>
      </c>
      <c r="B648">
        <f>'Daily Analysis'!D648</f>
        <v>1622</v>
      </c>
    </row>
    <row r="649" spans="1:2" x14ac:dyDescent="0.3">
      <c r="A649">
        <f>'Daily Analysis'!E649</f>
        <v>39.424302053756861</v>
      </c>
      <c r="B649">
        <f>'Daily Analysis'!D649</f>
        <v>1512</v>
      </c>
    </row>
    <row r="650" spans="1:2" x14ac:dyDescent="0.3">
      <c r="A650">
        <f>'Daily Analysis'!E650</f>
        <v>39.423311421524886</v>
      </c>
      <c r="B650">
        <f>'Daily Analysis'!D650</f>
        <v>3211</v>
      </c>
    </row>
    <row r="651" spans="1:2" x14ac:dyDescent="0.3">
      <c r="A651">
        <f>'Daily Analysis'!E651</f>
        <v>39.432009084781335</v>
      </c>
      <c r="B651">
        <f>'Daily Analysis'!D651</f>
        <v>3037</v>
      </c>
    </row>
    <row r="652" spans="1:2" x14ac:dyDescent="0.3">
      <c r="A652">
        <f>'Daily Analysis'!E652</f>
        <v>39.43228741901811</v>
      </c>
      <c r="B652">
        <f>'Daily Analysis'!D652</f>
        <v>1456</v>
      </c>
    </row>
    <row r="653" spans="1:2" x14ac:dyDescent="0.3">
      <c r="A653">
        <f>'Daily Analysis'!E653</f>
        <v>39.419206101437112</v>
      </c>
      <c r="B653">
        <f>'Daily Analysis'!D653</f>
        <v>1465</v>
      </c>
    </row>
    <row r="654" spans="1:2" x14ac:dyDescent="0.3">
      <c r="A654">
        <f>'Daily Analysis'!E654</f>
        <v>39.431060937677053</v>
      </c>
      <c r="B654">
        <f>'Daily Analysis'!D654</f>
        <v>1018</v>
      </c>
    </row>
    <row r="655" spans="1:2" x14ac:dyDescent="0.3">
      <c r="A655">
        <f>'Daily Analysis'!E655</f>
        <v>39.43534333163575</v>
      </c>
      <c r="B655">
        <f>'Daily Analysis'!D655</f>
        <v>1070</v>
      </c>
    </row>
    <row r="656" spans="1:2" x14ac:dyDescent="0.3">
      <c r="A656">
        <f>'Daily Analysis'!E656</f>
        <v>39.41842112409018</v>
      </c>
      <c r="B656">
        <f>'Daily Analysis'!D656</f>
        <v>1357</v>
      </c>
    </row>
    <row r="657" spans="1:2" x14ac:dyDescent="0.3">
      <c r="A657">
        <f>'Daily Analysis'!E657</f>
        <v>39.433920215508003</v>
      </c>
      <c r="B657">
        <f>'Daily Analysis'!D657</f>
        <v>2810</v>
      </c>
    </row>
    <row r="658" spans="1:2" x14ac:dyDescent="0.3">
      <c r="A658">
        <f>'Daily Analysis'!E658</f>
        <v>39.422768988901595</v>
      </c>
      <c r="B658">
        <f>'Daily Analysis'!D658</f>
        <v>2829</v>
      </c>
    </row>
    <row r="659" spans="1:2" x14ac:dyDescent="0.3">
      <c r="A659">
        <f>'Daily Analysis'!E659</f>
        <v>39.425272688695038</v>
      </c>
      <c r="B659">
        <f>'Daily Analysis'!D659</f>
        <v>1517</v>
      </c>
    </row>
    <row r="660" spans="1:2" x14ac:dyDescent="0.3">
      <c r="A660">
        <f>'Daily Analysis'!E660</f>
        <v>39.432613458245449</v>
      </c>
      <c r="B660">
        <f>'Daily Analysis'!D660</f>
        <v>1399</v>
      </c>
    </row>
    <row r="661" spans="1:2" x14ac:dyDescent="0.3">
      <c r="A661">
        <f>'Daily Analysis'!E661</f>
        <v>39.413946084306701</v>
      </c>
      <c r="B661">
        <f>'Daily Analysis'!D661</f>
        <v>1067</v>
      </c>
    </row>
    <row r="662" spans="1:2" x14ac:dyDescent="0.3">
      <c r="A662">
        <f>'Daily Analysis'!E662</f>
        <v>39.440249161851767</v>
      </c>
      <c r="B662">
        <f>'Daily Analysis'!D662</f>
        <v>1361</v>
      </c>
    </row>
    <row r="663" spans="1:2" x14ac:dyDescent="0.3">
      <c r="A663">
        <f>'Daily Analysis'!E663</f>
        <v>39.415199889432955</v>
      </c>
      <c r="B663">
        <f>'Daily Analysis'!D663</f>
        <v>1419</v>
      </c>
    </row>
    <row r="664" spans="1:2" x14ac:dyDescent="0.3">
      <c r="A664">
        <f>'Daily Analysis'!E664</f>
        <v>36.844704772523528</v>
      </c>
      <c r="B664">
        <f>'Daily Analysis'!D664</f>
        <v>5042</v>
      </c>
    </row>
    <row r="665" spans="1:2" x14ac:dyDescent="0.3">
      <c r="A665">
        <f>'Daily Analysis'!E665</f>
        <v>36.833078172080938</v>
      </c>
      <c r="B665">
        <f>'Daily Analysis'!D665</f>
        <v>6872</v>
      </c>
    </row>
    <row r="666" spans="1:2" x14ac:dyDescent="0.3">
      <c r="A666">
        <f>'Daily Analysis'!E666</f>
        <v>36.860924083950557</v>
      </c>
      <c r="B666">
        <f>'Daily Analysis'!D666</f>
        <v>3218</v>
      </c>
    </row>
    <row r="667" spans="1:2" x14ac:dyDescent="0.3">
      <c r="A667">
        <f>'Daily Analysis'!E667</f>
        <v>36.845170015647923</v>
      </c>
      <c r="B667">
        <f>'Daily Analysis'!D667</f>
        <v>3347</v>
      </c>
    </row>
    <row r="668" spans="1:2" x14ac:dyDescent="0.3">
      <c r="A668">
        <f>'Daily Analysis'!E668</f>
        <v>36.843335604470475</v>
      </c>
      <c r="B668">
        <f>'Daily Analysis'!D668</f>
        <v>3177</v>
      </c>
    </row>
    <row r="669" spans="1:2" x14ac:dyDescent="0.3">
      <c r="A669">
        <f>'Daily Analysis'!E669</f>
        <v>35.150041717100663</v>
      </c>
      <c r="B669">
        <f>'Daily Analysis'!D669</f>
        <v>4532</v>
      </c>
    </row>
    <row r="670" spans="1:2" x14ac:dyDescent="0.3">
      <c r="A670">
        <f>'Daily Analysis'!E670</f>
        <v>36.845376003683967</v>
      </c>
      <c r="B670">
        <f>'Daily Analysis'!D670</f>
        <v>3231</v>
      </c>
    </row>
    <row r="671" spans="1:2" x14ac:dyDescent="0.3">
      <c r="A671">
        <f>'Daily Analysis'!E671</f>
        <v>36.875174534786616</v>
      </c>
      <c r="B671">
        <f>'Daily Analysis'!D671</f>
        <v>7731</v>
      </c>
    </row>
    <row r="672" spans="1:2" x14ac:dyDescent="0.3">
      <c r="A672">
        <f>'Daily Analysis'!E672</f>
        <v>35.132419499782145</v>
      </c>
      <c r="B672">
        <f>'Daily Analysis'!D672</f>
        <v>11148</v>
      </c>
    </row>
    <row r="673" spans="1:2" x14ac:dyDescent="0.3">
      <c r="A673">
        <f>'Daily Analysis'!E673</f>
        <v>36.843380889509369</v>
      </c>
      <c r="B673">
        <f>'Daily Analysis'!D673</f>
        <v>7459</v>
      </c>
    </row>
    <row r="674" spans="1:2" x14ac:dyDescent="0.3">
      <c r="A674">
        <f>'Daily Analysis'!E674</f>
        <v>36.844590366452664</v>
      </c>
      <c r="B674">
        <f>'Daily Analysis'!D674</f>
        <v>7316</v>
      </c>
    </row>
    <row r="675" spans="1:2" x14ac:dyDescent="0.3">
      <c r="A675">
        <f>'Daily Analysis'!E675</f>
        <v>36.845333835184917</v>
      </c>
      <c r="B675">
        <f>'Daily Analysis'!D675</f>
        <v>5211</v>
      </c>
    </row>
    <row r="676" spans="1:2" x14ac:dyDescent="0.3">
      <c r="A676">
        <f>'Daily Analysis'!E676</f>
        <v>35.136588200488795</v>
      </c>
      <c r="B676">
        <f>'Daily Analysis'!D676</f>
        <v>5731</v>
      </c>
    </row>
    <row r="677" spans="1:2" x14ac:dyDescent="0.3">
      <c r="A677">
        <f>'Daily Analysis'!E677</f>
        <v>36.849327724951479</v>
      </c>
      <c r="B677">
        <f>'Daily Analysis'!D677</f>
        <v>3036</v>
      </c>
    </row>
    <row r="678" spans="1:2" x14ac:dyDescent="0.3">
      <c r="A678">
        <f>'Daily Analysis'!E678</f>
        <v>36.849936978847062</v>
      </c>
      <c r="B678">
        <f>'Daily Analysis'!D678</f>
        <v>5822</v>
      </c>
    </row>
    <row r="679" spans="1:2" x14ac:dyDescent="0.3">
      <c r="A679">
        <f>'Daily Analysis'!E679</f>
        <v>35.090051892484809</v>
      </c>
      <c r="B679">
        <f>'Daily Analysis'!D679</f>
        <v>7987</v>
      </c>
    </row>
    <row r="680" spans="1:2" x14ac:dyDescent="0.3">
      <c r="A680">
        <f>'Daily Analysis'!E680</f>
        <v>36.850749645590604</v>
      </c>
      <c r="B680">
        <f>'Daily Analysis'!D680</f>
        <v>3640</v>
      </c>
    </row>
    <row r="681" spans="1:2" x14ac:dyDescent="0.3">
      <c r="A681">
        <f>'Daily Analysis'!E681</f>
        <v>40.309437779270127</v>
      </c>
      <c r="B681">
        <f>'Daily Analysis'!D681</f>
        <v>2338</v>
      </c>
    </row>
    <row r="682" spans="1:2" x14ac:dyDescent="0.3">
      <c r="A682">
        <f>'Daily Analysis'!E682</f>
        <v>35.105822076585582</v>
      </c>
      <c r="B682">
        <f>'Daily Analysis'!D682</f>
        <v>3744</v>
      </c>
    </row>
    <row r="683" spans="1:2" x14ac:dyDescent="0.3">
      <c r="A683">
        <f>'Daily Analysis'!E683</f>
        <v>35.079208128789467</v>
      </c>
      <c r="B683">
        <f>'Daily Analysis'!D683</f>
        <v>4216</v>
      </c>
    </row>
    <row r="684" spans="1:2" x14ac:dyDescent="0.3">
      <c r="A684">
        <f>'Daily Analysis'!E684</f>
        <v>35.059597627617848</v>
      </c>
      <c r="B684">
        <f>'Daily Analysis'!D684</f>
        <v>4000</v>
      </c>
    </row>
    <row r="685" spans="1:2" x14ac:dyDescent="0.3">
      <c r="A685">
        <f>'Daily Analysis'!E685</f>
        <v>35.102290670784498</v>
      </c>
      <c r="B685">
        <f>'Daily Analysis'!D685</f>
        <v>10204</v>
      </c>
    </row>
    <row r="686" spans="1:2" x14ac:dyDescent="0.3">
      <c r="A686">
        <f>'Daily Analysis'!E686</f>
        <v>35.094914912942016</v>
      </c>
      <c r="B686">
        <f>'Daily Analysis'!D686</f>
        <v>10769</v>
      </c>
    </row>
    <row r="687" spans="1:2" x14ac:dyDescent="0.3">
      <c r="A687">
        <f>'Daily Analysis'!E687</f>
        <v>35.130119176183406</v>
      </c>
      <c r="B687">
        <f>'Daily Analysis'!D687</f>
        <v>4803</v>
      </c>
    </row>
    <row r="688" spans="1:2" x14ac:dyDescent="0.3">
      <c r="A688">
        <f>'Daily Analysis'!E688</f>
        <v>35.143310158096035</v>
      </c>
      <c r="B688">
        <f>'Daily Analysis'!D688</f>
        <v>5042</v>
      </c>
    </row>
    <row r="689" spans="1:2" x14ac:dyDescent="0.3">
      <c r="A689">
        <f>'Daily Analysis'!E689</f>
        <v>35.091835350632522</v>
      </c>
      <c r="B689">
        <f>'Daily Analysis'!D689</f>
        <v>4342</v>
      </c>
    </row>
    <row r="690" spans="1:2" x14ac:dyDescent="0.3">
      <c r="A690">
        <f>'Daily Analysis'!E690</f>
        <v>35.095622303549838</v>
      </c>
      <c r="B690">
        <f>'Daily Analysis'!D690</f>
        <v>4202</v>
      </c>
    </row>
    <row r="691" spans="1:2" x14ac:dyDescent="0.3">
      <c r="A691">
        <f>'Daily Analysis'!E691</f>
        <v>35.099289805433962</v>
      </c>
      <c r="B691">
        <f>'Daily Analysis'!D691</f>
        <v>4151</v>
      </c>
    </row>
    <row r="692" spans="1:2" x14ac:dyDescent="0.3">
      <c r="A692">
        <f>'Daily Analysis'!E692</f>
        <v>35.138786799664103</v>
      </c>
      <c r="B692">
        <f>'Daily Analysis'!D692</f>
        <v>8567</v>
      </c>
    </row>
    <row r="693" spans="1:2" x14ac:dyDescent="0.3">
      <c r="A693">
        <f>'Daily Analysis'!E693</f>
        <v>35.128597443114849</v>
      </c>
      <c r="B693">
        <f>'Daily Analysis'!D693</f>
        <v>8811</v>
      </c>
    </row>
    <row r="694" spans="1:2" x14ac:dyDescent="0.3">
      <c r="A694">
        <f>'Daily Analysis'!E694</f>
        <v>35.098879569011252</v>
      </c>
      <c r="B694">
        <f>'Daily Analysis'!D694</f>
        <v>4345</v>
      </c>
    </row>
    <row r="695" spans="1:2" x14ac:dyDescent="0.3">
      <c r="A695">
        <f>'Daily Analysis'!E695</f>
        <v>41.152082299483993</v>
      </c>
      <c r="B695">
        <f>'Daily Analysis'!D695</f>
        <v>1937</v>
      </c>
    </row>
    <row r="696" spans="1:2" x14ac:dyDescent="0.3">
      <c r="A696">
        <f>'Daily Analysis'!E696</f>
        <v>35.133347820885668</v>
      </c>
      <c r="B696">
        <f>'Daily Analysis'!D696</f>
        <v>3160</v>
      </c>
    </row>
    <row r="697" spans="1:2" x14ac:dyDescent="0.3">
      <c r="A697">
        <f>'Daily Analysis'!E697</f>
        <v>35.118610518961411</v>
      </c>
      <c r="B697">
        <f>'Daily Analysis'!D697</f>
        <v>6924</v>
      </c>
    </row>
    <row r="698" spans="1:2" x14ac:dyDescent="0.3">
      <c r="A698">
        <f>'Daily Analysis'!E698</f>
        <v>33.586021916520799</v>
      </c>
      <c r="B698">
        <f>'Daily Analysis'!D698</f>
        <v>9273</v>
      </c>
    </row>
    <row r="699" spans="1:2" x14ac:dyDescent="0.3">
      <c r="A699">
        <f>'Daily Analysis'!E699</f>
        <v>33.390424928662398</v>
      </c>
      <c r="B699">
        <f>'Daily Analysis'!D699</f>
        <v>11257</v>
      </c>
    </row>
    <row r="700" spans="1:2" x14ac:dyDescent="0.3">
      <c r="A700">
        <f>'Daily Analysis'!E700</f>
        <v>33.385026422556976</v>
      </c>
      <c r="B700">
        <f>'Daily Analysis'!D700</f>
        <v>13019</v>
      </c>
    </row>
    <row r="701" spans="1:2" x14ac:dyDescent="0.3">
      <c r="A701">
        <f>'Daily Analysis'!E701</f>
        <v>33.42734505609419</v>
      </c>
      <c r="B701">
        <f>'Daily Analysis'!D701</f>
        <v>7139</v>
      </c>
    </row>
    <row r="702" spans="1:2" x14ac:dyDescent="0.3">
      <c r="A702">
        <f>'Daily Analysis'!E702</f>
        <v>35.114329376733991</v>
      </c>
      <c r="B702">
        <f>'Daily Analysis'!D702</f>
        <v>7423</v>
      </c>
    </row>
    <row r="703" spans="1:2" x14ac:dyDescent="0.3">
      <c r="A703">
        <f>'Daily Analysis'!E703</f>
        <v>35.107677283687288</v>
      </c>
      <c r="B703">
        <f>'Daily Analysis'!D703</f>
        <v>7474</v>
      </c>
    </row>
    <row r="704" spans="1:2" x14ac:dyDescent="0.3">
      <c r="A704">
        <f>'Daily Analysis'!E704</f>
        <v>35.209426204803542</v>
      </c>
      <c r="B704">
        <f>'Daily Analysis'!D704</f>
        <v>7056</v>
      </c>
    </row>
    <row r="705" spans="1:2" x14ac:dyDescent="0.3">
      <c r="A705">
        <f>'Daily Analysis'!E705</f>
        <v>35.074813409224355</v>
      </c>
      <c r="B705">
        <f>'Daily Analysis'!D705</f>
        <v>5732</v>
      </c>
    </row>
    <row r="706" spans="1:2" x14ac:dyDescent="0.3">
      <c r="A706">
        <f>'Daily Analysis'!E706</f>
        <v>35.150559961944161</v>
      </c>
      <c r="B706">
        <f>'Daily Analysis'!D706</f>
        <v>9038</v>
      </c>
    </row>
    <row r="707" spans="1:2" x14ac:dyDescent="0.3">
      <c r="A707">
        <f>'Daily Analysis'!E707</f>
        <v>35.254528510493046</v>
      </c>
      <c r="B707">
        <f>'Daily Analysis'!D707</f>
        <v>10737</v>
      </c>
    </row>
    <row r="708" spans="1:2" x14ac:dyDescent="0.3">
      <c r="A708">
        <f>'Daily Analysis'!E708</f>
        <v>35.499616908191676</v>
      </c>
      <c r="B708">
        <f>'Daily Analysis'!D708</f>
        <v>5505</v>
      </c>
    </row>
    <row r="709" spans="1:2" x14ac:dyDescent="0.3">
      <c r="A709">
        <f>'Daily Analysis'!E709</f>
        <v>41.147226282315629</v>
      </c>
      <c r="B709">
        <f>'Daily Analysis'!D709</f>
        <v>2198</v>
      </c>
    </row>
    <row r="710" spans="1:2" x14ac:dyDescent="0.3">
      <c r="A710">
        <f>'Daily Analysis'!E710</f>
        <v>36.880564461759526</v>
      </c>
      <c r="B710">
        <f>'Daily Analysis'!D710</f>
        <v>3190</v>
      </c>
    </row>
    <row r="711" spans="1:2" x14ac:dyDescent="0.3">
      <c r="A711">
        <f>'Daily Analysis'!E711</f>
        <v>37.04388973694644</v>
      </c>
      <c r="B711">
        <f>'Daily Analysis'!D711</f>
        <v>3814</v>
      </c>
    </row>
    <row r="712" spans="1:2" x14ac:dyDescent="0.3">
      <c r="A712">
        <f>'Daily Analysis'!E712</f>
        <v>36.892989939111828</v>
      </c>
      <c r="B712">
        <f>'Daily Analysis'!D712</f>
        <v>3610</v>
      </c>
    </row>
    <row r="713" spans="1:2" x14ac:dyDescent="0.3">
      <c r="A713">
        <f>'Daily Analysis'!E713</f>
        <v>36.883291524071367</v>
      </c>
      <c r="B713">
        <f>'Daily Analysis'!D713</f>
        <v>6227</v>
      </c>
    </row>
    <row r="714" spans="1:2" x14ac:dyDescent="0.3">
      <c r="A714">
        <f>'Daily Analysis'!E714</f>
        <v>35.394693045937167</v>
      </c>
      <c r="B714">
        <f>'Daily Analysis'!D714</f>
        <v>9422</v>
      </c>
    </row>
    <row r="715" spans="1:2" x14ac:dyDescent="0.3">
      <c r="A715">
        <f>'Daily Analysis'!E715</f>
        <v>36.981030242541607</v>
      </c>
      <c r="B715">
        <f>'Daily Analysis'!D715</f>
        <v>5014</v>
      </c>
    </row>
    <row r="716" spans="1:2" x14ac:dyDescent="0.3">
      <c r="A716">
        <f>'Daily Analysis'!E716</f>
        <v>36.868108837417537</v>
      </c>
      <c r="B716">
        <f>'Daily Analysis'!D716</f>
        <v>4715</v>
      </c>
    </row>
    <row r="717" spans="1:2" x14ac:dyDescent="0.3">
      <c r="A717">
        <f>'Daily Analysis'!E717</f>
        <v>35.459066546240372</v>
      </c>
      <c r="B717">
        <f>'Daily Analysis'!D717</f>
        <v>6212</v>
      </c>
    </row>
    <row r="718" spans="1:2" x14ac:dyDescent="0.3">
      <c r="A718">
        <f>'Daily Analysis'!E718</f>
        <v>35.606388943855187</v>
      </c>
      <c r="B718">
        <f>'Daily Analysis'!D718</f>
        <v>6585</v>
      </c>
    </row>
    <row r="719" spans="1:2" x14ac:dyDescent="0.3">
      <c r="A719">
        <f>'Daily Analysis'!E719</f>
        <v>35.329389861230403</v>
      </c>
      <c r="B719">
        <f>'Daily Analysis'!D719</f>
        <v>6051</v>
      </c>
    </row>
    <row r="720" spans="1:2" x14ac:dyDescent="0.3">
      <c r="A720">
        <f>'Daily Analysis'!E720</f>
        <v>35.298453522102427</v>
      </c>
      <c r="B720">
        <f>'Daily Analysis'!D720</f>
        <v>7750</v>
      </c>
    </row>
    <row r="721" spans="1:2" x14ac:dyDescent="0.3">
      <c r="A721">
        <f>'Daily Analysis'!E721</f>
        <v>35.564466640592201</v>
      </c>
      <c r="B721">
        <f>'Daily Analysis'!D721</f>
        <v>9490</v>
      </c>
    </row>
    <row r="722" spans="1:2" x14ac:dyDescent="0.3">
      <c r="A722">
        <f>'Daily Analysis'!E722</f>
        <v>35.443355513958558</v>
      </c>
      <c r="B722">
        <f>'Daily Analysis'!D722</f>
        <v>4382</v>
      </c>
    </row>
    <row r="723" spans="1:2" x14ac:dyDescent="0.3">
      <c r="A723">
        <f>'Daily Analysis'!E723</f>
        <v>35.29079832310854</v>
      </c>
      <c r="B723">
        <f>'Daily Analysis'!D723</f>
        <v>8196</v>
      </c>
    </row>
    <row r="724" spans="1:2" x14ac:dyDescent="0.3">
      <c r="A724">
        <f>'Daily Analysis'!E724</f>
        <v>35.329497070124972</v>
      </c>
      <c r="B724">
        <f>'Daily Analysis'!D724</f>
        <v>8863</v>
      </c>
    </row>
    <row r="725" spans="1:2" x14ac:dyDescent="0.3">
      <c r="A725">
        <f>'Daily Analysis'!E725</f>
        <v>41.066787986687402</v>
      </c>
      <c r="B725">
        <f>'Daily Analysis'!D725</f>
        <v>6534</v>
      </c>
    </row>
    <row r="726" spans="1:2" x14ac:dyDescent="0.3">
      <c r="A726">
        <f>'Daily Analysis'!E726</f>
        <v>41.11406058265014</v>
      </c>
      <c r="B726">
        <f>'Daily Analysis'!D726</f>
        <v>9540</v>
      </c>
    </row>
    <row r="727" spans="1:2" x14ac:dyDescent="0.3">
      <c r="A727">
        <f>'Daily Analysis'!E727</f>
        <v>41.071555199278684</v>
      </c>
      <c r="B727">
        <f>'Daily Analysis'!D727</f>
        <v>3256</v>
      </c>
    </row>
    <row r="728" spans="1:2" x14ac:dyDescent="0.3">
      <c r="A728">
        <f>'Daily Analysis'!E728</f>
        <v>41.121929482518809</v>
      </c>
      <c r="B728">
        <f>'Daily Analysis'!D728</f>
        <v>2013</v>
      </c>
    </row>
    <row r="729" spans="1:2" x14ac:dyDescent="0.3">
      <c r="A729">
        <f>'Daily Analysis'!E729</f>
        <v>41.089147147718897</v>
      </c>
      <c r="B729">
        <f>'Daily Analysis'!D729</f>
        <v>1692</v>
      </c>
    </row>
    <row r="730" spans="1:2" x14ac:dyDescent="0.3">
      <c r="A730">
        <f>'Daily Analysis'!E730</f>
        <v>41.132118984342178</v>
      </c>
      <c r="B730">
        <f>'Daily Analysis'!D730</f>
        <v>3234</v>
      </c>
    </row>
    <row r="731" spans="1:2" x14ac:dyDescent="0.3">
      <c r="A731">
        <f>'Daily Analysis'!E731</f>
        <v>35.119233578361843</v>
      </c>
      <c r="B731">
        <f>'Daily Analysis'!D731</f>
        <v>4592</v>
      </c>
    </row>
    <row r="732" spans="1:2" x14ac:dyDescent="0.3">
      <c r="A732">
        <f>'Daily Analysis'!E732</f>
        <v>35.08548662579566</v>
      </c>
      <c r="B732">
        <f>'Daily Analysis'!D732</f>
        <v>5945</v>
      </c>
    </row>
    <row r="733" spans="1:2" x14ac:dyDescent="0.3">
      <c r="A733">
        <f>'Daily Analysis'!E733</f>
        <v>35.123842542788559</v>
      </c>
      <c r="B733">
        <f>'Daily Analysis'!D733</f>
        <v>9266</v>
      </c>
    </row>
    <row r="734" spans="1:2" x14ac:dyDescent="0.3">
      <c r="A734">
        <f>'Daily Analysis'!E734</f>
        <v>35.12118269080802</v>
      </c>
      <c r="B734">
        <f>'Daily Analysis'!D734</f>
        <v>3179</v>
      </c>
    </row>
    <row r="735" spans="1:2" x14ac:dyDescent="0.3">
      <c r="A735">
        <f>'Daily Analysis'!E735</f>
        <v>35.087749948463376</v>
      </c>
      <c r="B735">
        <f>'Daily Analysis'!D735</f>
        <v>7479</v>
      </c>
    </row>
    <row r="736" spans="1:2" x14ac:dyDescent="0.3">
      <c r="A736">
        <f>'Daily Analysis'!E736</f>
        <v>35.050604796198385</v>
      </c>
      <c r="B736">
        <f>'Daily Analysis'!D736</f>
        <v>4694</v>
      </c>
    </row>
    <row r="737" spans="1:2" x14ac:dyDescent="0.3">
      <c r="A737">
        <f>'Daily Analysis'!E737</f>
        <v>35.061857261149918</v>
      </c>
      <c r="B737">
        <f>'Daily Analysis'!D737</f>
        <v>7843</v>
      </c>
    </row>
    <row r="738" spans="1:2" x14ac:dyDescent="0.3">
      <c r="A738">
        <f>'Daily Analysis'!E738</f>
        <v>35.079324032311199</v>
      </c>
      <c r="B738">
        <f>'Daily Analysis'!D738</f>
        <v>6150</v>
      </c>
    </row>
    <row r="739" spans="1:2" x14ac:dyDescent="0.3">
      <c r="A739">
        <f>'Daily Analysis'!E739</f>
        <v>41.085790377979507</v>
      </c>
      <c r="B739">
        <f>'Daily Analysis'!D739</f>
        <v>2401</v>
      </c>
    </row>
    <row r="740" spans="1:2" x14ac:dyDescent="0.3">
      <c r="A740">
        <f>'Daily Analysis'!E740</f>
        <v>41.151114653219295</v>
      </c>
      <c r="B740">
        <f>'Daily Analysis'!D740</f>
        <v>1808</v>
      </c>
    </row>
    <row r="741" spans="1:2" x14ac:dyDescent="0.3">
      <c r="A741">
        <f>'Daily Analysis'!E741</f>
        <v>41.091882419532723</v>
      </c>
      <c r="B741">
        <f>'Daily Analysis'!D741</f>
        <v>2594</v>
      </c>
    </row>
    <row r="742" spans="1:2" x14ac:dyDescent="0.3">
      <c r="A742">
        <f>'Daily Analysis'!E742</f>
        <v>41.120848563509526</v>
      </c>
      <c r="B742">
        <f>'Daily Analysis'!D742</f>
        <v>3274</v>
      </c>
    </row>
    <row r="743" spans="1:2" x14ac:dyDescent="0.3">
      <c r="A743">
        <f>'Daily Analysis'!E743</f>
        <v>41.12988357857234</v>
      </c>
      <c r="B743">
        <f>'Daily Analysis'!D743</f>
        <v>2207</v>
      </c>
    </row>
    <row r="744" spans="1:2" x14ac:dyDescent="0.3">
      <c r="A744">
        <f>'Daily Analysis'!E744</f>
        <v>41.157364606448425</v>
      </c>
      <c r="B744">
        <f>'Daily Analysis'!D744</f>
        <v>2949</v>
      </c>
    </row>
    <row r="745" spans="1:2" x14ac:dyDescent="0.3">
      <c r="A745">
        <f>'Daily Analysis'!E745</f>
        <v>41.144210634662464</v>
      </c>
      <c r="B745">
        <f>'Daily Analysis'!D745</f>
        <v>2417</v>
      </c>
    </row>
    <row r="746" spans="1:2" x14ac:dyDescent="0.3">
      <c r="A746">
        <f>'Daily Analysis'!E746</f>
        <v>41.111646551137696</v>
      </c>
      <c r="B746">
        <f>'Daily Analysis'!D746</f>
        <v>1644</v>
      </c>
    </row>
    <row r="747" spans="1:2" x14ac:dyDescent="0.3">
      <c r="A747">
        <f>'Daily Analysis'!E747</f>
        <v>41.151391086331131</v>
      </c>
      <c r="B747">
        <f>'Daily Analysis'!D747</f>
        <v>1499</v>
      </c>
    </row>
    <row r="748" spans="1:2" x14ac:dyDescent="0.3">
      <c r="A748">
        <f>'Daily Analysis'!E748</f>
        <v>41.120320666618397</v>
      </c>
      <c r="B748">
        <f>'Daily Analysis'!D748</f>
        <v>3648</v>
      </c>
    </row>
    <row r="749" spans="1:2" x14ac:dyDescent="0.3">
      <c r="A749">
        <f>'Daily Analysis'!E749</f>
        <v>41.119379511071131</v>
      </c>
      <c r="B749">
        <f>'Daily Analysis'!D749</f>
        <v>4652</v>
      </c>
    </row>
    <row r="750" spans="1:2" x14ac:dyDescent="0.3">
      <c r="A750">
        <f>'Daily Analysis'!E750</f>
        <v>41.116989714448998</v>
      </c>
      <c r="B750">
        <f>'Daily Analysis'!D750</f>
        <v>2252</v>
      </c>
    </row>
    <row r="751" spans="1:2" x14ac:dyDescent="0.3">
      <c r="A751">
        <f>'Daily Analysis'!E751</f>
        <v>41.131546155485431</v>
      </c>
      <c r="B751">
        <f>'Daily Analysis'!D751</f>
        <v>2357</v>
      </c>
    </row>
    <row r="752" spans="1:2" x14ac:dyDescent="0.3">
      <c r="A752">
        <f>'Daily Analysis'!E752</f>
        <v>41.115390379294752</v>
      </c>
      <c r="B752">
        <f>'Daily Analysis'!D752</f>
        <v>1715</v>
      </c>
    </row>
    <row r="753" spans="1:2" x14ac:dyDescent="0.3">
      <c r="A753">
        <f>'Daily Analysis'!E753</f>
        <v>33.415094235594928</v>
      </c>
      <c r="B753">
        <f>'Daily Analysis'!D753</f>
        <v>4776</v>
      </c>
    </row>
    <row r="754" spans="1:2" x14ac:dyDescent="0.3">
      <c r="A754">
        <f>'Daily Analysis'!E754</f>
        <v>41.183214628870012</v>
      </c>
      <c r="B754">
        <f>'Daily Analysis'!D754</f>
        <v>1628</v>
      </c>
    </row>
    <row r="755" spans="1:2" x14ac:dyDescent="0.3">
      <c r="A755">
        <f>'Daily Analysis'!E755</f>
        <v>34.197955264302088</v>
      </c>
      <c r="B755">
        <f>'Daily Analysis'!D755</f>
        <v>7806</v>
      </c>
    </row>
    <row r="756" spans="1:2" x14ac:dyDescent="0.3">
      <c r="A756">
        <f>'Daily Analysis'!E756</f>
        <v>34.23151191879716</v>
      </c>
      <c r="B756">
        <f>'Daily Analysis'!D756</f>
        <v>9210</v>
      </c>
    </row>
    <row r="757" spans="1:2" x14ac:dyDescent="0.3">
      <c r="A757">
        <f>'Daily Analysis'!E757</f>
        <v>34.276929790596462</v>
      </c>
      <c r="B757">
        <f>'Daily Analysis'!D757</f>
        <v>4351</v>
      </c>
    </row>
    <row r="758" spans="1:2" x14ac:dyDescent="0.3">
      <c r="A758">
        <f>'Daily Analysis'!E758</f>
        <v>34.273819401365081</v>
      </c>
      <c r="B758">
        <f>'Daily Analysis'!D758</f>
        <v>6278</v>
      </c>
    </row>
    <row r="759" spans="1:2" x14ac:dyDescent="0.3">
      <c r="A759">
        <f>'Daily Analysis'!E759</f>
        <v>34.24531013971442</v>
      </c>
      <c r="B759">
        <f>'Daily Analysis'!D759</f>
        <v>5992</v>
      </c>
    </row>
    <row r="760" spans="1:2" x14ac:dyDescent="0.3">
      <c r="A760">
        <f>'Daily Analysis'!E760</f>
        <v>34.230207251188347</v>
      </c>
      <c r="B760">
        <f>'Daily Analysis'!D760</f>
        <v>6265</v>
      </c>
    </row>
    <row r="761" spans="1:2" x14ac:dyDescent="0.3">
      <c r="A761">
        <f>'Daily Analysis'!E761</f>
        <v>34.207229347202095</v>
      </c>
      <c r="B761">
        <f>'Daily Analysis'!D761</f>
        <v>5723</v>
      </c>
    </row>
    <row r="762" spans="1:2" x14ac:dyDescent="0.3">
      <c r="A762">
        <f>'Daily Analysis'!E762</f>
        <v>33.444061282595612</v>
      </c>
      <c r="B762">
        <f>'Daily Analysis'!D762</f>
        <v>11900</v>
      </c>
    </row>
    <row r="763" spans="1:2" x14ac:dyDescent="0.3">
      <c r="A763">
        <f>'Daily Analysis'!E763</f>
        <v>33.405220166374939</v>
      </c>
      <c r="B763">
        <f>'Daily Analysis'!D763</f>
        <v>15345</v>
      </c>
    </row>
    <row r="764" spans="1:2" x14ac:dyDescent="0.3">
      <c r="A764">
        <f>'Daily Analysis'!E764</f>
        <v>33.425910642018607</v>
      </c>
      <c r="B764">
        <f>'Daily Analysis'!D764</f>
        <v>6525</v>
      </c>
    </row>
    <row r="765" spans="1:2" x14ac:dyDescent="0.3">
      <c r="A765">
        <f>'Daily Analysis'!E765</f>
        <v>33.389573218434208</v>
      </c>
      <c r="B765">
        <f>'Daily Analysis'!D765</f>
        <v>10153</v>
      </c>
    </row>
    <row r="766" spans="1:2" x14ac:dyDescent="0.3">
      <c r="A766">
        <f>'Daily Analysis'!E766</f>
        <v>34.267665023110325</v>
      </c>
      <c r="B766">
        <f>'Daily Analysis'!D766</f>
        <v>8116</v>
      </c>
    </row>
    <row r="767" spans="1:2" x14ac:dyDescent="0.3">
      <c r="A767">
        <f>'Daily Analysis'!E767</f>
        <v>34.253021344706106</v>
      </c>
      <c r="B767">
        <f>'Daily Analysis'!D767</f>
        <v>7712</v>
      </c>
    </row>
    <row r="768" spans="1:2" x14ac:dyDescent="0.3">
      <c r="A768">
        <f>'Daily Analysis'!E768</f>
        <v>34.342443782003613</v>
      </c>
      <c r="B768">
        <f>'Daily Analysis'!D768</f>
        <v>5759</v>
      </c>
    </row>
    <row r="769" spans="1:2" x14ac:dyDescent="0.3">
      <c r="A769">
        <f>'Daily Analysis'!E769</f>
        <v>34.285760331222704</v>
      </c>
      <c r="B769">
        <f>'Daily Analysis'!D769</f>
        <v>9501</v>
      </c>
    </row>
    <row r="770" spans="1:2" x14ac:dyDescent="0.3">
      <c r="A770">
        <f>'Daily Analysis'!E770</f>
        <v>34.276935091071429</v>
      </c>
      <c r="B770">
        <f>'Daily Analysis'!D770</f>
        <v>10840</v>
      </c>
    </row>
    <row r="771" spans="1:2" x14ac:dyDescent="0.3">
      <c r="A771">
        <f>'Daily Analysis'!E771</f>
        <v>34.305694015687045</v>
      </c>
      <c r="B771">
        <f>'Daily Analysis'!D771</f>
        <v>5089</v>
      </c>
    </row>
    <row r="772" spans="1:2" x14ac:dyDescent="0.3">
      <c r="A772">
        <f>'Daily Analysis'!E772</f>
        <v>34.251580321887843</v>
      </c>
      <c r="B772">
        <f>'Daily Analysis'!D772</f>
        <v>6087</v>
      </c>
    </row>
    <row r="773" spans="1:2" x14ac:dyDescent="0.3">
      <c r="A773">
        <f>'Daily Analysis'!E773</f>
        <v>41.15692482593284</v>
      </c>
      <c r="B773">
        <f>'Daily Analysis'!D773</f>
        <v>2053</v>
      </c>
    </row>
    <row r="774" spans="1:2" x14ac:dyDescent="0.3">
      <c r="A774">
        <f>'Daily Analysis'!E774</f>
        <v>42.006164400098299</v>
      </c>
      <c r="B774">
        <f>'Daily Analysis'!D774</f>
        <v>1825</v>
      </c>
    </row>
    <row r="775" spans="1:2" x14ac:dyDescent="0.3">
      <c r="A775">
        <f>'Daily Analysis'!E775</f>
        <v>41.99012489148182</v>
      </c>
      <c r="B775">
        <f>'Daily Analysis'!D775</f>
        <v>1525</v>
      </c>
    </row>
    <row r="776" spans="1:2" x14ac:dyDescent="0.3">
      <c r="A776">
        <f>'Daily Analysis'!E776</f>
        <v>42.021449708714066</v>
      </c>
      <c r="B776">
        <f>'Daily Analysis'!D776</f>
        <v>3542</v>
      </c>
    </row>
    <row r="777" spans="1:2" x14ac:dyDescent="0.3">
      <c r="A777">
        <f>'Daily Analysis'!E777</f>
        <v>42.032036036424827</v>
      </c>
      <c r="B777">
        <f>'Daily Analysis'!D777</f>
        <v>4105</v>
      </c>
    </row>
    <row r="778" spans="1:2" x14ac:dyDescent="0.3">
      <c r="A778">
        <f>'Daily Analysis'!E778</f>
        <v>42.020851481431968</v>
      </c>
      <c r="B778">
        <f>'Daily Analysis'!D778</f>
        <v>2094</v>
      </c>
    </row>
    <row r="779" spans="1:2" x14ac:dyDescent="0.3">
      <c r="A779">
        <f>'Daily Analysis'!E779</f>
        <v>41.988225017152246</v>
      </c>
      <c r="B779">
        <f>'Daily Analysis'!D779</f>
        <v>2940</v>
      </c>
    </row>
    <row r="780" spans="1:2" x14ac:dyDescent="0.3">
      <c r="A780">
        <f>'Daily Analysis'!E780</f>
        <v>42.012325841210973</v>
      </c>
      <c r="B780">
        <f>'Daily Analysis'!D780</f>
        <v>1841</v>
      </c>
    </row>
    <row r="781" spans="1:2" x14ac:dyDescent="0.3">
      <c r="A781">
        <f>'Daily Analysis'!E781</f>
        <v>35.098923577344934</v>
      </c>
      <c r="B781">
        <f>'Daily Analysis'!D781</f>
        <v>4529</v>
      </c>
    </row>
    <row r="782" spans="1:2" x14ac:dyDescent="0.3">
      <c r="A782">
        <f>'Daily Analysis'!E782</f>
        <v>41.977123735186758</v>
      </c>
      <c r="B782">
        <f>'Daily Analysis'!D782</f>
        <v>1658</v>
      </c>
    </row>
    <row r="783" spans="1:2" x14ac:dyDescent="0.3">
      <c r="A783">
        <f>'Daily Analysis'!E783</f>
        <v>41.98792038500526</v>
      </c>
      <c r="B783">
        <f>'Daily Analysis'!D783</f>
        <v>3841</v>
      </c>
    </row>
    <row r="784" spans="1:2" x14ac:dyDescent="0.3">
      <c r="A784">
        <f>'Daily Analysis'!E784</f>
        <v>35.120418660084503</v>
      </c>
      <c r="B784">
        <f>'Daily Analysis'!D784</f>
        <v>9260</v>
      </c>
    </row>
    <row r="785" spans="1:2" x14ac:dyDescent="0.3">
      <c r="A785">
        <f>'Daily Analysis'!E785</f>
        <v>42.009226969002633</v>
      </c>
      <c r="B785">
        <f>'Daily Analysis'!D785</f>
        <v>2308</v>
      </c>
    </row>
    <row r="786" spans="1:2" x14ac:dyDescent="0.3">
      <c r="A786">
        <f>'Daily Analysis'!E786</f>
        <v>42.02390389113846</v>
      </c>
      <c r="B786">
        <f>'Daily Analysis'!D786</f>
        <v>2028</v>
      </c>
    </row>
    <row r="787" spans="1:2" x14ac:dyDescent="0.3">
      <c r="A787">
        <f>'Daily Analysis'!E787</f>
        <v>41.977616327086764</v>
      </c>
      <c r="B787">
        <f>'Daily Analysis'!D787</f>
        <v>1301</v>
      </c>
    </row>
    <row r="788" spans="1:2" x14ac:dyDescent="0.3">
      <c r="A788">
        <f>'Daily Analysis'!E788</f>
        <v>36.841668496305758</v>
      </c>
      <c r="B788">
        <f>'Daily Analysis'!D788</f>
        <v>2213</v>
      </c>
    </row>
    <row r="789" spans="1:2" x14ac:dyDescent="0.3">
      <c r="A789">
        <f>'Daily Analysis'!E789</f>
        <v>36.545761271613898</v>
      </c>
      <c r="B789">
        <f>'Daily Analysis'!D789</f>
        <v>4404</v>
      </c>
    </row>
    <row r="790" spans="1:2" x14ac:dyDescent="0.3">
      <c r="A790">
        <f>'Daily Analysis'!E790</f>
        <v>38.244427034941261</v>
      </c>
      <c r="B790">
        <f>'Daily Analysis'!D790</f>
        <v>4935</v>
      </c>
    </row>
    <row r="791" spans="1:2" x14ac:dyDescent="0.3">
      <c r="A791">
        <f>'Daily Analysis'!E791</f>
        <v>38.500892827076839</v>
      </c>
      <c r="B791">
        <f>'Daily Analysis'!D791</f>
        <v>5609</v>
      </c>
    </row>
    <row r="792" spans="1:2" x14ac:dyDescent="0.3">
      <c r="A792">
        <f>'Daily Analysis'!E792</f>
        <v>39.106562716089975</v>
      </c>
      <c r="B792">
        <f>'Daily Analysis'!D792</f>
        <v>3452</v>
      </c>
    </row>
    <row r="793" spans="1:2" x14ac:dyDescent="0.3">
      <c r="A793">
        <f>'Daily Analysis'!E793</f>
        <v>38.191891813575545</v>
      </c>
      <c r="B793">
        <f>'Daily Analysis'!D793</f>
        <v>4270</v>
      </c>
    </row>
    <row r="794" spans="1:2" x14ac:dyDescent="0.3">
      <c r="A794">
        <f>'Daily Analysis'!E794</f>
        <v>38.319278256373465</v>
      </c>
      <c r="B794">
        <f>'Daily Analysis'!D794</f>
        <v>4719</v>
      </c>
    </row>
    <row r="795" spans="1:2" x14ac:dyDescent="0.3">
      <c r="A795">
        <f>'Daily Analysis'!E795</f>
        <v>38.462407367887309</v>
      </c>
      <c r="B795">
        <f>'Daily Analysis'!D795</f>
        <v>4451</v>
      </c>
    </row>
    <row r="796" spans="1:2" x14ac:dyDescent="0.3">
      <c r="A796">
        <f>'Daily Analysis'!E796</f>
        <v>38.560954377625983</v>
      </c>
      <c r="B796">
        <f>'Daily Analysis'!D796</f>
        <v>3364</v>
      </c>
    </row>
    <row r="797" spans="1:2" x14ac:dyDescent="0.3">
      <c r="A797">
        <f>'Daily Analysis'!E797</f>
        <v>38.779711348052544</v>
      </c>
      <c r="B797">
        <f>'Daily Analysis'!D797</f>
        <v>3665</v>
      </c>
    </row>
    <row r="798" spans="1:2" x14ac:dyDescent="0.3">
      <c r="A798">
        <f>'Daily Analysis'!E798</f>
        <v>39.11658727033366</v>
      </c>
      <c r="B798">
        <f>'Daily Analysis'!D798</f>
        <v>3889</v>
      </c>
    </row>
    <row r="799" spans="1:2" x14ac:dyDescent="0.3">
      <c r="A799">
        <f>'Daily Analysis'!E799</f>
        <v>39.390428811410352</v>
      </c>
      <c r="B799">
        <f>'Daily Analysis'!D799</f>
        <v>1882</v>
      </c>
    </row>
    <row r="800" spans="1:2" x14ac:dyDescent="0.3">
      <c r="A800">
        <f>'Daily Analysis'!E800</f>
        <v>37.897309192394708</v>
      </c>
      <c r="B800">
        <f>'Daily Analysis'!D800</f>
        <v>2405</v>
      </c>
    </row>
    <row r="801" spans="1:2" x14ac:dyDescent="0.3">
      <c r="A801">
        <f>'Daily Analysis'!E801</f>
        <v>38.381796676058975</v>
      </c>
      <c r="B801">
        <f>'Daily Analysis'!D801</f>
        <v>1577</v>
      </c>
    </row>
    <row r="802" spans="1:2" x14ac:dyDescent="0.3">
      <c r="A802">
        <f>'Daily Analysis'!E802</f>
        <v>41.994085006659624</v>
      </c>
      <c r="B802">
        <f>'Daily Analysis'!D802</f>
        <v>913</v>
      </c>
    </row>
    <row r="803" spans="1:2" x14ac:dyDescent="0.3">
      <c r="A803">
        <f>'Daily Analysis'!E803</f>
        <v>41.987675092500282</v>
      </c>
      <c r="B803">
        <f>'Daily Analysis'!D803</f>
        <v>892</v>
      </c>
    </row>
    <row r="804" spans="1:2" x14ac:dyDescent="0.3">
      <c r="A804">
        <f>'Daily Analysis'!E804</f>
        <v>42.046924535239562</v>
      </c>
      <c r="B804">
        <f>'Daily Analysis'!D804</f>
        <v>1855</v>
      </c>
    </row>
    <row r="805" spans="1:2" x14ac:dyDescent="0.3">
      <c r="A805">
        <f>'Daily Analysis'!E805</f>
        <v>42.04126656722682</v>
      </c>
      <c r="B805">
        <f>'Daily Analysis'!D805</f>
        <v>1897</v>
      </c>
    </row>
    <row r="806" spans="1:2" x14ac:dyDescent="0.3">
      <c r="A806">
        <f>'Daily Analysis'!E806</f>
        <v>42.078809155787368</v>
      </c>
      <c r="B806">
        <f>'Daily Analysis'!D806</f>
        <v>883</v>
      </c>
    </row>
    <row r="807" spans="1:2" x14ac:dyDescent="0.3">
      <c r="A807">
        <f>'Daily Analysis'!E807</f>
        <v>42.060236428039438</v>
      </c>
      <c r="B807">
        <f>'Daily Analysis'!D807</f>
        <v>1071</v>
      </c>
    </row>
    <row r="808" spans="1:2" x14ac:dyDescent="0.3">
      <c r="A808">
        <f>'Daily Analysis'!E808</f>
        <v>42.037373301363822</v>
      </c>
      <c r="B808">
        <f>'Daily Analysis'!D808</f>
        <v>1320</v>
      </c>
    </row>
    <row r="809" spans="1:2" x14ac:dyDescent="0.3">
      <c r="A809">
        <f>'Daily Analysis'!E809</f>
        <v>42.01936124172542</v>
      </c>
      <c r="B809">
        <f>'Daily Analysis'!D809</f>
        <v>997</v>
      </c>
    </row>
    <row r="810" spans="1:2" x14ac:dyDescent="0.3">
      <c r="A810">
        <f>'Daily Analysis'!E810</f>
        <v>42.042232790342879</v>
      </c>
      <c r="B810">
        <f>'Daily Analysis'!D810</f>
        <v>817</v>
      </c>
    </row>
    <row r="811" spans="1:2" x14ac:dyDescent="0.3">
      <c r="A811">
        <f>'Daily Analysis'!E811</f>
        <v>41.948998508539397</v>
      </c>
      <c r="B811">
        <f>'Daily Analysis'!D811</f>
        <v>1866</v>
      </c>
    </row>
    <row r="812" spans="1:2" x14ac:dyDescent="0.3">
      <c r="A812">
        <f>'Daily Analysis'!E812</f>
        <v>41.995206992346809</v>
      </c>
      <c r="B812">
        <f>'Daily Analysis'!D812</f>
        <v>2211</v>
      </c>
    </row>
    <row r="813" spans="1:2" x14ac:dyDescent="0.3">
      <c r="A813">
        <f>'Daily Analysis'!E813</f>
        <v>42.059654369839144</v>
      </c>
      <c r="B813">
        <f>'Daily Analysis'!D813</f>
        <v>1304</v>
      </c>
    </row>
    <row r="814" spans="1:2" x14ac:dyDescent="0.3">
      <c r="A814">
        <f>'Daily Analysis'!E814</f>
        <v>42.027821436903103</v>
      </c>
      <c r="B814">
        <f>'Daily Analysis'!D814</f>
        <v>1143</v>
      </c>
    </row>
    <row r="815" spans="1:2" x14ac:dyDescent="0.3">
      <c r="A815">
        <f>'Daily Analysis'!E815</f>
        <v>41.898107604678962</v>
      </c>
      <c r="B815">
        <f>'Daily Analysis'!D815</f>
        <v>1573</v>
      </c>
    </row>
    <row r="816" spans="1:2" x14ac:dyDescent="0.3">
      <c r="A816">
        <f>'Daily Analysis'!E816</f>
        <v>41.099298450784389</v>
      </c>
      <c r="B816">
        <f>'Daily Analysis'!D816</f>
        <v>2065</v>
      </c>
    </row>
    <row r="817" spans="1:2" x14ac:dyDescent="0.3">
      <c r="A817">
        <f>'Daily Analysis'!E817</f>
        <v>39.839026363282315</v>
      </c>
      <c r="B817">
        <f>'Daily Analysis'!D817</f>
        <v>6588</v>
      </c>
    </row>
    <row r="818" spans="1:2" x14ac:dyDescent="0.3">
      <c r="A818">
        <f>'Daily Analysis'!E818</f>
        <v>40.36171231940444</v>
      </c>
      <c r="B818">
        <f>'Daily Analysis'!D818</f>
        <v>5652</v>
      </c>
    </row>
    <row r="819" spans="1:2" x14ac:dyDescent="0.3">
      <c r="A819">
        <f>'Daily Analysis'!E819</f>
        <v>39.70984453914852</v>
      </c>
      <c r="B819">
        <f>'Daily Analysis'!D819</f>
        <v>4103</v>
      </c>
    </row>
    <row r="820" spans="1:2" x14ac:dyDescent="0.3">
      <c r="A820">
        <f>'Daily Analysis'!E820</f>
        <v>39.808889621296132</v>
      </c>
      <c r="B820">
        <f>'Daily Analysis'!D820</f>
        <v>1466</v>
      </c>
    </row>
    <row r="821" spans="1:2" x14ac:dyDescent="0.3">
      <c r="A821">
        <f>'Daily Analysis'!E821</f>
        <v>39.595435670952433</v>
      </c>
      <c r="B821">
        <f>'Daily Analysis'!D821</f>
        <v>2162</v>
      </c>
    </row>
    <row r="822" spans="1:2" x14ac:dyDescent="0.3">
      <c r="A822">
        <f>'Daily Analysis'!E822</f>
        <v>39.367245634398742</v>
      </c>
      <c r="B822">
        <f>'Daily Analysis'!D822</f>
        <v>2155</v>
      </c>
    </row>
    <row r="823" spans="1:2" x14ac:dyDescent="0.3">
      <c r="A823">
        <f>'Daily Analysis'!E823</f>
        <v>36.832138726529493</v>
      </c>
      <c r="B823">
        <f>'Daily Analysis'!D823</f>
        <v>1746</v>
      </c>
    </row>
    <row r="824" spans="1:2" x14ac:dyDescent="0.3">
      <c r="A824">
        <f>'Daily Analysis'!E824</f>
        <v>36.907283489855821</v>
      </c>
      <c r="B824">
        <f>'Daily Analysis'!D824</f>
        <v>3554</v>
      </c>
    </row>
    <row r="825" spans="1:2" x14ac:dyDescent="0.3">
      <c r="A825">
        <f>'Daily Analysis'!E825</f>
        <v>36.996211075742679</v>
      </c>
      <c r="B825">
        <f>'Daily Analysis'!D825</f>
        <v>6282</v>
      </c>
    </row>
    <row r="826" spans="1:2" x14ac:dyDescent="0.3">
      <c r="A826">
        <f>'Daily Analysis'!E826</f>
        <v>37.237326004395875</v>
      </c>
      <c r="B826">
        <f>'Daily Analysis'!D826</f>
        <v>5259</v>
      </c>
    </row>
    <row r="827" spans="1:2" x14ac:dyDescent="0.3">
      <c r="A827">
        <f>'Daily Analysis'!E827</f>
        <v>37.087713773156125</v>
      </c>
      <c r="B827">
        <f>'Daily Analysis'!D827</f>
        <v>2446</v>
      </c>
    </row>
    <row r="828" spans="1:2" x14ac:dyDescent="0.3">
      <c r="A828">
        <f>'Daily Analysis'!E828</f>
        <v>39.353668043998923</v>
      </c>
      <c r="B828">
        <f>'Daily Analysis'!D828</f>
        <v>3345</v>
      </c>
    </row>
    <row r="829" spans="1:2" x14ac:dyDescent="0.3">
      <c r="A829">
        <f>'Daily Analysis'!E829</f>
        <v>39.995543270990922</v>
      </c>
      <c r="B829">
        <f>'Daily Analysis'!D829</f>
        <v>2048</v>
      </c>
    </row>
    <row r="830" spans="1:2" x14ac:dyDescent="0.3">
      <c r="A830">
        <f>'Daily Analysis'!E830</f>
        <v>42.073605919961544</v>
      </c>
      <c r="B830">
        <f>'Daily Analysis'!D830</f>
        <v>1303</v>
      </c>
    </row>
    <row r="831" spans="1:2" x14ac:dyDescent="0.3">
      <c r="A831">
        <f>'Daily Analysis'!E831</f>
        <v>35.262954773275865</v>
      </c>
      <c r="B831">
        <f>'Daily Analysis'!D831</f>
        <v>4413</v>
      </c>
    </row>
    <row r="832" spans="1:2" x14ac:dyDescent="0.3">
      <c r="A832">
        <f>'Daily Analysis'!E832</f>
        <v>35.239777659507602</v>
      </c>
      <c r="B832">
        <f>'Daily Analysis'!D832</f>
        <v>7494</v>
      </c>
    </row>
    <row r="833" spans="1:2" x14ac:dyDescent="0.3">
      <c r="A833">
        <f>'Daily Analysis'!E833</f>
        <v>35.249586138884567</v>
      </c>
      <c r="B833">
        <f>'Daily Analysis'!D833</f>
        <v>7738</v>
      </c>
    </row>
    <row r="834" spans="1:2" x14ac:dyDescent="0.3">
      <c r="A834">
        <f>'Daily Analysis'!E834</f>
        <v>35.391963461277385</v>
      </c>
      <c r="B834">
        <f>'Daily Analysis'!D834</f>
        <v>2958</v>
      </c>
    </row>
    <row r="835" spans="1:2" x14ac:dyDescent="0.3">
      <c r="A835">
        <f>'Daily Analysis'!E835</f>
        <v>35.327389424663721</v>
      </c>
      <c r="B835">
        <f>'Daily Analysis'!D835</f>
        <v>3713</v>
      </c>
    </row>
    <row r="836" spans="1:2" x14ac:dyDescent="0.3">
      <c r="A836">
        <f>'Daily Analysis'!E836</f>
        <v>35.153963869973971</v>
      </c>
      <c r="B836">
        <f>'Daily Analysis'!D836</f>
        <v>3504</v>
      </c>
    </row>
    <row r="837" spans="1:2" x14ac:dyDescent="0.3">
      <c r="A837">
        <f>'Daily Analysis'!E837</f>
        <v>35.209690540941935</v>
      </c>
      <c r="B837">
        <f>'Daily Analysis'!D837</f>
        <v>3534</v>
      </c>
    </row>
    <row r="838" spans="1:2" x14ac:dyDescent="0.3">
      <c r="A838">
        <f>'Daily Analysis'!E838</f>
        <v>35.2459978245762</v>
      </c>
      <c r="B838">
        <f>'Daily Analysis'!D838</f>
        <v>4601</v>
      </c>
    </row>
    <row r="839" spans="1:2" x14ac:dyDescent="0.3">
      <c r="A839">
        <f>'Daily Analysis'!E839</f>
        <v>35.245597136866984</v>
      </c>
      <c r="B839">
        <f>'Daily Analysis'!D839</f>
        <v>10045</v>
      </c>
    </row>
    <row r="840" spans="1:2" x14ac:dyDescent="0.3">
      <c r="A840">
        <f>'Daily Analysis'!E840</f>
        <v>35.195383442206079</v>
      </c>
      <c r="B840">
        <f>'Daily Analysis'!D840</f>
        <v>9301</v>
      </c>
    </row>
    <row r="841" spans="1:2" x14ac:dyDescent="0.3">
      <c r="A841">
        <f>'Daily Analysis'!E841</f>
        <v>35.230718907279588</v>
      </c>
      <c r="B841">
        <f>'Daily Analysis'!D841</f>
        <v>4678</v>
      </c>
    </row>
    <row r="842" spans="1:2" x14ac:dyDescent="0.3">
      <c r="A842">
        <f>'Daily Analysis'!E842</f>
        <v>35.202094622430181</v>
      </c>
      <c r="B842">
        <f>'Daily Analysis'!D842</f>
        <v>4294</v>
      </c>
    </row>
    <row r="843" spans="1:2" x14ac:dyDescent="0.3">
      <c r="A843">
        <f>'Daily Analysis'!E843</f>
        <v>35.1902208811807</v>
      </c>
      <c r="B843">
        <f>'Daily Analysis'!D843</f>
        <v>3606</v>
      </c>
    </row>
    <row r="844" spans="1:2" x14ac:dyDescent="0.3">
      <c r="A844">
        <f>'Daily Analysis'!E844</f>
        <v>34.393436508648222</v>
      </c>
      <c r="B844">
        <f>'Daily Analysis'!D844</f>
        <v>4838</v>
      </c>
    </row>
    <row r="845" spans="1:2" x14ac:dyDescent="0.3">
      <c r="A845">
        <f>'Daily Analysis'!E845</f>
        <v>34.146592344322627</v>
      </c>
      <c r="B845">
        <f>'Daily Analysis'!D845</f>
        <v>4914</v>
      </c>
    </row>
    <row r="846" spans="1:2" x14ac:dyDescent="0.3">
      <c r="A846">
        <f>'Daily Analysis'!E846</f>
        <v>34.194762586351573</v>
      </c>
      <c r="B846">
        <f>'Daily Analysis'!D846</f>
        <v>10269</v>
      </c>
    </row>
    <row r="847" spans="1:2" x14ac:dyDescent="0.3">
      <c r="A847">
        <f>'Daily Analysis'!E847</f>
        <v>34.159196375711993</v>
      </c>
      <c r="B847">
        <f>'Daily Analysis'!D847</f>
        <v>12317</v>
      </c>
    </row>
    <row r="848" spans="1:2" x14ac:dyDescent="0.3">
      <c r="A848">
        <f>'Daily Analysis'!E848</f>
        <v>34.140134015484833</v>
      </c>
      <c r="B848">
        <f>'Daily Analysis'!D848</f>
        <v>5453</v>
      </c>
    </row>
    <row r="849" spans="1:2" x14ac:dyDescent="0.3">
      <c r="A849">
        <f>'Daily Analysis'!E849</f>
        <v>34.108726212586966</v>
      </c>
      <c r="B849">
        <f>'Daily Analysis'!D849</f>
        <v>7372</v>
      </c>
    </row>
    <row r="850" spans="1:2" x14ac:dyDescent="0.3">
      <c r="A850">
        <f>'Daily Analysis'!E850</f>
        <v>34.13978939797417</v>
      </c>
      <c r="B850">
        <f>'Daily Analysis'!D850</f>
        <v>8211</v>
      </c>
    </row>
    <row r="851" spans="1:2" x14ac:dyDescent="0.3">
      <c r="A851">
        <f>'Daily Analysis'!E851</f>
        <v>34.135801929172793</v>
      </c>
      <c r="B851">
        <f>'Daily Analysis'!D851</f>
        <v>9182</v>
      </c>
    </row>
    <row r="852" spans="1:2" x14ac:dyDescent="0.3">
      <c r="A852">
        <f>'Daily Analysis'!E852</f>
        <v>34.218697218210067</v>
      </c>
      <c r="B852">
        <f>'Daily Analysis'!D852</f>
        <v>7520</v>
      </c>
    </row>
    <row r="853" spans="1:2" x14ac:dyDescent="0.3">
      <c r="A853">
        <f>'Daily Analysis'!E853</f>
        <v>34.198208546522743</v>
      </c>
      <c r="B853">
        <f>'Daily Analysis'!D853</f>
        <v>13321</v>
      </c>
    </row>
    <row r="854" spans="1:2" x14ac:dyDescent="0.3">
      <c r="A854">
        <f>'Daily Analysis'!E854</f>
        <v>34.213885676766552</v>
      </c>
      <c r="B854">
        <f>'Daily Analysis'!D854</f>
        <v>16276</v>
      </c>
    </row>
    <row r="855" spans="1:2" x14ac:dyDescent="0.3">
      <c r="A855">
        <f>'Daily Analysis'!E855</f>
        <v>34.160189153069588</v>
      </c>
      <c r="B855">
        <f>'Daily Analysis'!D855</f>
        <v>10388</v>
      </c>
    </row>
    <row r="856" spans="1:2" x14ac:dyDescent="0.3">
      <c r="A856">
        <f>'Daily Analysis'!E856</f>
        <v>34.138898680883443</v>
      </c>
      <c r="B856">
        <f>'Daily Analysis'!D856</f>
        <v>8298</v>
      </c>
    </row>
    <row r="857" spans="1:2" x14ac:dyDescent="0.3">
      <c r="A857">
        <f>'Daily Analysis'!E857</f>
        <v>34.128791323703773</v>
      </c>
      <c r="B857">
        <f>'Daily Analysis'!D857</f>
        <v>8717</v>
      </c>
    </row>
    <row r="858" spans="1:2" x14ac:dyDescent="0.3">
      <c r="A858">
        <f>'Daily Analysis'!E858</f>
        <v>34.190397869741716</v>
      </c>
      <c r="B858">
        <f>'Daily Analysis'!D858</f>
        <v>8364</v>
      </c>
    </row>
    <row r="859" spans="1:2" x14ac:dyDescent="0.3">
      <c r="A859">
        <f>'Daily Analysis'!E859</f>
        <v>34.14848344894714</v>
      </c>
      <c r="B859">
        <f>'Daily Analysis'!D859</f>
        <v>6968</v>
      </c>
    </row>
    <row r="860" spans="1:2" x14ac:dyDescent="0.3">
      <c r="A860">
        <f>'Daily Analysis'!E860</f>
        <v>34.177429646531586</v>
      </c>
      <c r="B860">
        <f>'Daily Analysis'!D860</f>
        <v>9973</v>
      </c>
    </row>
    <row r="861" spans="1:2" x14ac:dyDescent="0.3">
      <c r="A861">
        <f>'Daily Analysis'!E861</f>
        <v>34.162422021783698</v>
      </c>
      <c r="B861">
        <f>'Daily Analysis'!D861</f>
        <v>11363</v>
      </c>
    </row>
    <row r="862" spans="1:2" x14ac:dyDescent="0.3">
      <c r="A862">
        <f>'Daily Analysis'!E862</f>
        <v>34.162735409731276</v>
      </c>
      <c r="B862">
        <f>'Daily Analysis'!D862</f>
        <v>4074</v>
      </c>
    </row>
    <row r="863" spans="1:2" x14ac:dyDescent="0.3">
      <c r="A863">
        <f>'Daily Analysis'!E863</f>
        <v>42.05212352581983</v>
      </c>
      <c r="B863">
        <f>'Daily Analysis'!D863</f>
        <v>1579</v>
      </c>
    </row>
    <row r="864" spans="1:2" x14ac:dyDescent="0.3">
      <c r="A864">
        <f>'Daily Analysis'!E864</f>
        <v>42.050713049025831</v>
      </c>
      <c r="B864">
        <f>'Daily Analysis'!D864</f>
        <v>1016</v>
      </c>
    </row>
    <row r="865" spans="1:2" x14ac:dyDescent="0.3">
      <c r="A865">
        <f>'Daily Analysis'!E865</f>
        <v>42.084614760973857</v>
      </c>
      <c r="B865">
        <f>'Daily Analysis'!D865</f>
        <v>832</v>
      </c>
    </row>
    <row r="866" spans="1:2" x14ac:dyDescent="0.3">
      <c r="A866">
        <f>'Daily Analysis'!E866</f>
        <v>42.056269909799255</v>
      </c>
      <c r="B866">
        <f>'Daily Analysis'!D866</f>
        <v>647</v>
      </c>
    </row>
    <row r="867" spans="1:2" x14ac:dyDescent="0.3">
      <c r="A867">
        <f>'Daily Analysis'!E867</f>
        <v>42.065378422365335</v>
      </c>
      <c r="B867">
        <f>'Daily Analysis'!D867</f>
        <v>1898</v>
      </c>
    </row>
    <row r="868" spans="1:2" x14ac:dyDescent="0.3">
      <c r="A868">
        <f>'Daily Analysis'!E868</f>
        <v>42.062441760351433</v>
      </c>
      <c r="B868">
        <f>'Daily Analysis'!D868</f>
        <v>1961</v>
      </c>
    </row>
    <row r="869" spans="1:2" x14ac:dyDescent="0.3">
      <c r="A869">
        <f>'Daily Analysis'!E869</f>
        <v>42.072906320612752</v>
      </c>
      <c r="B869">
        <f>'Daily Analysis'!D869</f>
        <v>1224</v>
      </c>
    </row>
    <row r="870" spans="1:2" x14ac:dyDescent="0.3">
      <c r="A870">
        <f>'Daily Analysis'!E870</f>
        <v>42.072456199019008</v>
      </c>
      <c r="B870">
        <f>'Daily Analysis'!D870</f>
        <v>1019</v>
      </c>
    </row>
    <row r="871" spans="1:2" x14ac:dyDescent="0.3">
      <c r="A871">
        <f>'Daily Analysis'!E871</f>
        <v>42.047999034903491</v>
      </c>
      <c r="B871">
        <f>'Daily Analysis'!D871</f>
        <v>930</v>
      </c>
    </row>
    <row r="872" spans="1:2" x14ac:dyDescent="0.3">
      <c r="A872">
        <f>'Daily Analysis'!E872</f>
        <v>42.062041571772909</v>
      </c>
      <c r="B872">
        <f>'Daily Analysis'!D872</f>
        <v>818</v>
      </c>
    </row>
    <row r="873" spans="1:2" x14ac:dyDescent="0.3">
      <c r="A873">
        <f>'Daily Analysis'!E873</f>
        <v>42.052997396318304</v>
      </c>
      <c r="B873">
        <f>'Daily Analysis'!D873</f>
        <v>937</v>
      </c>
    </row>
    <row r="874" spans="1:2" x14ac:dyDescent="0.3">
      <c r="A874">
        <f>'Daily Analysis'!E874</f>
        <v>42.063815127601409</v>
      </c>
      <c r="B874">
        <f>'Daily Analysis'!D874</f>
        <v>2302</v>
      </c>
    </row>
    <row r="875" spans="1:2" x14ac:dyDescent="0.3">
      <c r="A875">
        <f>'Daily Analysis'!E875</f>
        <v>42.056874565098731</v>
      </c>
      <c r="B875">
        <f>'Daily Analysis'!D875</f>
        <v>2363</v>
      </c>
    </row>
    <row r="876" spans="1:2" x14ac:dyDescent="0.3">
      <c r="A876">
        <f>'Daily Analysis'!E876</f>
        <v>42.057422465259044</v>
      </c>
      <c r="B876">
        <f>'Daily Analysis'!D876</f>
        <v>1466</v>
      </c>
    </row>
    <row r="877" spans="1:2" x14ac:dyDescent="0.3">
      <c r="A877">
        <f>'Daily Analysis'!E877</f>
        <v>42.070290368357369</v>
      </c>
      <c r="B877">
        <f>'Daily Analysis'!D877</f>
        <v>1644</v>
      </c>
    </row>
    <row r="878" spans="1:2" x14ac:dyDescent="0.3">
      <c r="A878">
        <f>'Daily Analysis'!E878</f>
        <v>35.084635552453349</v>
      </c>
      <c r="B878">
        <f>'Daily Analysis'!D878</f>
        <v>3224</v>
      </c>
    </row>
    <row r="879" spans="1:2" x14ac:dyDescent="0.3">
      <c r="A879">
        <f>'Daily Analysis'!E879</f>
        <v>34.319034422833617</v>
      </c>
      <c r="B879">
        <f>'Daily Analysis'!D879</f>
        <v>7392</v>
      </c>
    </row>
    <row r="880" spans="1:2" x14ac:dyDescent="0.3">
      <c r="A880">
        <f>'Daily Analysis'!E880</f>
        <v>34.262836745525611</v>
      </c>
      <c r="B880">
        <f>'Daily Analysis'!D880</f>
        <v>6138</v>
      </c>
    </row>
    <row r="881" spans="1:2" x14ac:dyDescent="0.3">
      <c r="A881">
        <f>'Daily Analysis'!E881</f>
        <v>34.270277136665143</v>
      </c>
      <c r="B881">
        <f>'Daily Analysis'!D881</f>
        <v>10624</v>
      </c>
    </row>
    <row r="882" spans="1:2" x14ac:dyDescent="0.3">
      <c r="A882">
        <f>'Daily Analysis'!E882</f>
        <v>34.295113845946979</v>
      </c>
      <c r="B882">
        <f>'Daily Analysis'!D882</f>
        <v>11590</v>
      </c>
    </row>
    <row r="883" spans="1:2" x14ac:dyDescent="0.3">
      <c r="A883">
        <f>'Daily Analysis'!E883</f>
        <v>34.238660304976072</v>
      </c>
      <c r="B883">
        <f>'Daily Analysis'!D883</f>
        <v>5959</v>
      </c>
    </row>
    <row r="884" spans="1:2" x14ac:dyDescent="0.3">
      <c r="A884">
        <f>'Daily Analysis'!E884</f>
        <v>34.230969717604275</v>
      </c>
      <c r="B884">
        <f>'Daily Analysis'!D884</f>
        <v>5048</v>
      </c>
    </row>
    <row r="885" spans="1:2" x14ac:dyDescent="0.3">
      <c r="A885">
        <f>'Daily Analysis'!E885</f>
        <v>34.337132605434221</v>
      </c>
      <c r="B885">
        <f>'Daily Analysis'!D885</f>
        <v>7542</v>
      </c>
    </row>
    <row r="886" spans="1:2" x14ac:dyDescent="0.3">
      <c r="A886">
        <f>'Daily Analysis'!E886</f>
        <v>34.270938818136848</v>
      </c>
      <c r="B886">
        <f>'Daily Analysis'!D886</f>
        <v>10761</v>
      </c>
    </row>
    <row r="887" spans="1:2" x14ac:dyDescent="0.3">
      <c r="A887">
        <f>'Daily Analysis'!E887</f>
        <v>34.245244651384979</v>
      </c>
      <c r="B887">
        <f>'Daily Analysis'!D887</f>
        <v>8120</v>
      </c>
    </row>
    <row r="888" spans="1:2" x14ac:dyDescent="0.3">
      <c r="A888">
        <f>'Daily Analysis'!E888</f>
        <v>34.320793138695571</v>
      </c>
      <c r="B888">
        <f>'Daily Analysis'!D888</f>
        <v>10896</v>
      </c>
    </row>
    <row r="889" spans="1:2" x14ac:dyDescent="0.3">
      <c r="A889">
        <f>'Daily Analysis'!E889</f>
        <v>34.28767293949646</v>
      </c>
      <c r="B889">
        <f>'Daily Analysis'!D889</f>
        <v>11726</v>
      </c>
    </row>
    <row r="890" spans="1:2" x14ac:dyDescent="0.3">
      <c r="A890">
        <f>'Daily Analysis'!E890</f>
        <v>34.24662114796341</v>
      </c>
      <c r="B890">
        <f>'Daily Analysis'!D890</f>
        <v>6007</v>
      </c>
    </row>
    <row r="891" spans="1:2" x14ac:dyDescent="0.3">
      <c r="A891">
        <f>'Daily Analysis'!E891</f>
        <v>34.257849590064879</v>
      </c>
      <c r="B891">
        <f>'Daily Analysis'!D891</f>
        <v>5185</v>
      </c>
    </row>
    <row r="892" spans="1:2" x14ac:dyDescent="0.3">
      <c r="A892">
        <f>'Daily Analysis'!E892</f>
        <v>42.054870096859339</v>
      </c>
      <c r="B892">
        <f>'Daily Analysis'!D892</f>
        <v>1675</v>
      </c>
    </row>
    <row r="893" spans="1:2" x14ac:dyDescent="0.3">
      <c r="A893">
        <f>'Daily Analysis'!E893</f>
        <v>34.191783752507909</v>
      </c>
      <c r="B893">
        <f>'Daily Analysis'!D893</f>
        <v>4765</v>
      </c>
    </row>
    <row r="894" spans="1:2" x14ac:dyDescent="0.3">
      <c r="A894">
        <f>'Daily Analysis'!E894</f>
        <v>35.1005635238471</v>
      </c>
      <c r="B894">
        <f>'Daily Analysis'!D894</f>
        <v>3953</v>
      </c>
    </row>
    <row r="895" spans="1:2" x14ac:dyDescent="0.3">
      <c r="A895">
        <f>'Daily Analysis'!E895</f>
        <v>35.112414774755045</v>
      </c>
      <c r="B895">
        <f>'Daily Analysis'!D895</f>
        <v>7190</v>
      </c>
    </row>
    <row r="896" spans="1:2" x14ac:dyDescent="0.3">
      <c r="A896">
        <f>'Daily Analysis'!E896</f>
        <v>34.268141830607092</v>
      </c>
      <c r="B896">
        <f>'Daily Analysis'!D896</f>
        <v>8577</v>
      </c>
    </row>
    <row r="897" spans="1:2" x14ac:dyDescent="0.3">
      <c r="A897">
        <f>'Daily Analysis'!E897</f>
        <v>35.087527727231858</v>
      </c>
      <c r="B897">
        <f>'Daily Analysis'!D897</f>
        <v>3943</v>
      </c>
    </row>
    <row r="898" spans="1:2" x14ac:dyDescent="0.3">
      <c r="A898">
        <f>'Daily Analysis'!E898</f>
        <v>35.086937028377776</v>
      </c>
      <c r="B898">
        <f>'Daily Analysis'!D898</f>
        <v>3707</v>
      </c>
    </row>
    <row r="899" spans="1:2" x14ac:dyDescent="0.3">
      <c r="A899">
        <f>'Daily Analysis'!E899</f>
        <v>35.091244622298426</v>
      </c>
      <c r="B899">
        <f>'Daily Analysis'!D899</f>
        <v>3054</v>
      </c>
    </row>
    <row r="900" spans="1:2" x14ac:dyDescent="0.3">
      <c r="A900">
        <f>'Daily Analysis'!E900</f>
        <v>34.250199426400577</v>
      </c>
      <c r="B900">
        <f>'Daily Analysis'!D900</f>
        <v>6541</v>
      </c>
    </row>
    <row r="901" spans="1:2" x14ac:dyDescent="0.3">
      <c r="A901">
        <f>'Daily Analysis'!E901</f>
        <v>35.122320764088364</v>
      </c>
      <c r="B901">
        <f>'Daily Analysis'!D901</f>
        <v>5749</v>
      </c>
    </row>
    <row r="902" spans="1:2" x14ac:dyDescent="0.3">
      <c r="A902">
        <f>'Daily Analysis'!E902</f>
        <v>35.092623154305947</v>
      </c>
      <c r="B902">
        <f>'Daily Analysis'!D902</f>
        <v>9385</v>
      </c>
    </row>
    <row r="903" spans="1:2" x14ac:dyDescent="0.3">
      <c r="A903">
        <f>'Daily Analysis'!E903</f>
        <v>34.248000135827994</v>
      </c>
      <c r="B903">
        <f>'Daily Analysis'!D903</f>
        <v>9012</v>
      </c>
    </row>
    <row r="904" spans="1:2" x14ac:dyDescent="0.3">
      <c r="A904">
        <f>'Daily Analysis'!E904</f>
        <v>35.10112415251276</v>
      </c>
      <c r="B904">
        <f>'Daily Analysis'!D904</f>
        <v>3831</v>
      </c>
    </row>
    <row r="905" spans="1:2" x14ac:dyDescent="0.3">
      <c r="A905">
        <f>'Daily Analysis'!E905</f>
        <v>35.101225429330341</v>
      </c>
      <c r="B905">
        <f>'Daily Analysis'!D905</f>
        <v>4097</v>
      </c>
    </row>
    <row r="906" spans="1:2" x14ac:dyDescent="0.3">
      <c r="A906">
        <f>'Daily Analysis'!E906</f>
        <v>35.124579953219609</v>
      </c>
      <c r="B906">
        <f>'Daily Analysis'!D906</f>
        <v>3509</v>
      </c>
    </row>
    <row r="907" spans="1:2" x14ac:dyDescent="0.3">
      <c r="A907">
        <f>'Daily Analysis'!E907</f>
        <v>42.043180704995002</v>
      </c>
      <c r="B907">
        <f>'Daily Analysis'!D907</f>
        <v>953</v>
      </c>
    </row>
    <row r="908" spans="1:2" x14ac:dyDescent="0.3">
      <c r="A908">
        <f>'Daily Analysis'!E908</f>
        <v>33.392041059384162</v>
      </c>
      <c r="B908">
        <f>'Daily Analysis'!D908</f>
        <v>4305</v>
      </c>
    </row>
    <row r="909" spans="1:2" x14ac:dyDescent="0.3">
      <c r="A909">
        <f>'Daily Analysis'!E909</f>
        <v>33.419388750721055</v>
      </c>
      <c r="B909">
        <f>'Daily Analysis'!D909</f>
        <v>11667</v>
      </c>
    </row>
    <row r="910" spans="1:2" x14ac:dyDescent="0.3">
      <c r="A910">
        <f>'Daily Analysis'!E910</f>
        <v>33.443107778059478</v>
      </c>
      <c r="B910">
        <f>'Daily Analysis'!D910</f>
        <v>13793</v>
      </c>
    </row>
    <row r="911" spans="1:2" x14ac:dyDescent="0.3">
      <c r="A911">
        <f>'Daily Analysis'!E911</f>
        <v>33.365260777527688</v>
      </c>
      <c r="B911">
        <f>'Daily Analysis'!D911</f>
        <v>6641</v>
      </c>
    </row>
    <row r="912" spans="1:2" x14ac:dyDescent="0.3">
      <c r="A912">
        <f>'Daily Analysis'!E912</f>
        <v>33.412646250048567</v>
      </c>
      <c r="B912">
        <f>'Daily Analysis'!D912</f>
        <v>7593</v>
      </c>
    </row>
    <row r="913" spans="1:2" x14ac:dyDescent="0.3">
      <c r="A913">
        <f>'Daily Analysis'!E913</f>
        <v>33.397049472838177</v>
      </c>
      <c r="B913">
        <f>'Daily Analysis'!D913</f>
        <v>6007</v>
      </c>
    </row>
    <row r="914" spans="1:2" x14ac:dyDescent="0.3">
      <c r="A914">
        <f>'Daily Analysis'!E914</f>
        <v>33.364982373082775</v>
      </c>
      <c r="B914">
        <f>'Daily Analysis'!D914</f>
        <v>6345</v>
      </c>
    </row>
    <row r="915" spans="1:2" x14ac:dyDescent="0.3">
      <c r="A915">
        <f>'Daily Analysis'!E915</f>
        <v>33.336207432751422</v>
      </c>
      <c r="B915">
        <f>'Daily Analysis'!D915</f>
        <v>8482</v>
      </c>
    </row>
    <row r="916" spans="1:2" x14ac:dyDescent="0.3">
      <c r="A916">
        <f>'Daily Analysis'!E916</f>
        <v>33.394461566351225</v>
      </c>
      <c r="B916">
        <f>'Daily Analysis'!D916</f>
        <v>14344</v>
      </c>
    </row>
    <row r="917" spans="1:2" x14ac:dyDescent="0.3">
      <c r="A917">
        <f>'Daily Analysis'!E917</f>
        <v>33.400197351663557</v>
      </c>
      <c r="B917">
        <f>'Daily Analysis'!D917</f>
        <v>13609</v>
      </c>
    </row>
    <row r="918" spans="1:2" x14ac:dyDescent="0.3">
      <c r="A918">
        <f>'Daily Analysis'!E918</f>
        <v>33.363435831736822</v>
      </c>
      <c r="B918">
        <f>'Daily Analysis'!D918</f>
        <v>7259</v>
      </c>
    </row>
    <row r="919" spans="1:2" x14ac:dyDescent="0.3">
      <c r="A919">
        <f>'Daily Analysis'!E919</f>
        <v>33.392442836671677</v>
      </c>
      <c r="B919">
        <f>'Daily Analysis'!D919</f>
        <v>8431</v>
      </c>
    </row>
    <row r="920" spans="1:2" x14ac:dyDescent="0.3">
      <c r="A920">
        <f>'Daily Analysis'!E920</f>
        <v>33.353081972881085</v>
      </c>
      <c r="B920">
        <f>'Daily Analysis'!D920</f>
        <v>6577</v>
      </c>
    </row>
    <row r="921" spans="1:2" x14ac:dyDescent="0.3">
      <c r="A921">
        <f>'Daily Analysis'!E921</f>
        <v>33.454506761979978</v>
      </c>
      <c r="B921">
        <f>'Daily Analysis'!D921</f>
        <v>6098</v>
      </c>
    </row>
    <row r="922" spans="1:2" x14ac:dyDescent="0.3">
      <c r="A922">
        <f>'Daily Analysis'!E922</f>
        <v>42.067151424105056</v>
      </c>
      <c r="B922">
        <f>'Daily Analysis'!D922</f>
        <v>1654</v>
      </c>
    </row>
    <row r="923" spans="1:2" x14ac:dyDescent="0.3">
      <c r="A923">
        <f>'Daily Analysis'!E923</f>
        <v>42.057279319203523</v>
      </c>
      <c r="B923">
        <f>'Daily Analysis'!D923</f>
        <v>2073</v>
      </c>
    </row>
    <row r="924" spans="1:2" x14ac:dyDescent="0.3">
      <c r="A924">
        <f>'Daily Analysis'!E924</f>
        <v>42.063300934441024</v>
      </c>
      <c r="B924">
        <f>'Daily Analysis'!D924</f>
        <v>1871</v>
      </c>
    </row>
    <row r="925" spans="1:2" x14ac:dyDescent="0.3">
      <c r="A925">
        <f>'Daily Analysis'!E925</f>
        <v>42.081986353700181</v>
      </c>
      <c r="B925">
        <f>'Daily Analysis'!D925</f>
        <v>946</v>
      </c>
    </row>
    <row r="926" spans="1:2" x14ac:dyDescent="0.3">
      <c r="A926">
        <f>'Daily Analysis'!E926</f>
        <v>42.054347495587386</v>
      </c>
      <c r="B926">
        <f>'Daily Analysis'!D926</f>
        <v>1090</v>
      </c>
    </row>
    <row r="927" spans="1:2" x14ac:dyDescent="0.3">
      <c r="A927">
        <f>'Daily Analysis'!E927</f>
        <v>42.06822345530864</v>
      </c>
      <c r="B927">
        <f>'Daily Analysis'!D927</f>
        <v>876</v>
      </c>
    </row>
    <row r="928" spans="1:2" x14ac:dyDescent="0.3">
      <c r="A928">
        <f>'Daily Analysis'!E928</f>
        <v>42.057810723759644</v>
      </c>
      <c r="B928">
        <f>'Daily Analysis'!D928</f>
        <v>790</v>
      </c>
    </row>
    <row r="929" spans="1:2" x14ac:dyDescent="0.3">
      <c r="A929">
        <f>'Daily Analysis'!E929</f>
        <v>42.07937960821593</v>
      </c>
      <c r="B929">
        <f>'Daily Analysis'!D929</f>
        <v>723</v>
      </c>
    </row>
    <row r="930" spans="1:2" x14ac:dyDescent="0.3">
      <c r="A930">
        <f>'Daily Analysis'!E930</f>
        <v>42.065778879287514</v>
      </c>
      <c r="B930">
        <f>'Daily Analysis'!D930</f>
        <v>1910</v>
      </c>
    </row>
    <row r="931" spans="1:2" x14ac:dyDescent="0.3">
      <c r="A931">
        <f>'Daily Analysis'!E931</f>
        <v>42.055312721376296</v>
      </c>
      <c r="B931">
        <f>'Daily Analysis'!D931</f>
        <v>2266</v>
      </c>
    </row>
    <row r="932" spans="1:2" x14ac:dyDescent="0.3">
      <c r="A932">
        <f>'Daily Analysis'!E932</f>
        <v>42.044577483924165</v>
      </c>
      <c r="B932">
        <f>'Daily Analysis'!D932</f>
        <v>1078</v>
      </c>
    </row>
    <row r="933" spans="1:2" x14ac:dyDescent="0.3">
      <c r="A933">
        <f>'Daily Analysis'!E933</f>
        <v>42.057146217432958</v>
      </c>
      <c r="B933">
        <f>'Daily Analysis'!D933</f>
        <v>1227</v>
      </c>
    </row>
    <row r="934" spans="1:2" x14ac:dyDescent="0.3">
      <c r="A934">
        <f>'Daily Analysis'!E934</f>
        <v>42.077910035933733</v>
      </c>
      <c r="B934">
        <f>'Daily Analysis'!D934</f>
        <v>900</v>
      </c>
    </row>
    <row r="935" spans="1:2" x14ac:dyDescent="0.3">
      <c r="A935">
        <f>'Daily Analysis'!E935</f>
        <v>42.050713049025831</v>
      </c>
      <c r="B935">
        <f>'Daily Analysis'!D935</f>
        <v>1016</v>
      </c>
    </row>
    <row r="936" spans="1:2" x14ac:dyDescent="0.3">
      <c r="A936">
        <f>'Daily Analysis'!E936</f>
        <v>42.069277284509724</v>
      </c>
      <c r="B936">
        <f>'Daily Analysis'!D936</f>
        <v>836</v>
      </c>
    </row>
    <row r="937" spans="1:2" x14ac:dyDescent="0.3">
      <c r="A937">
        <f>'Daily Analysis'!E937</f>
        <v>42.05516163086633</v>
      </c>
      <c r="B937">
        <f>'Daily Analysis'!D937</f>
        <v>1454</v>
      </c>
    </row>
    <row r="938" spans="1:2" x14ac:dyDescent="0.3">
      <c r="A938">
        <f>'Daily Analysis'!E938</f>
        <v>42.05542332433216</v>
      </c>
      <c r="B938">
        <f>'Daily Analysis'!D938</f>
        <v>1835</v>
      </c>
    </row>
    <row r="939" spans="1:2" x14ac:dyDescent="0.3">
      <c r="A939">
        <f>'Daily Analysis'!E939</f>
        <v>42.05900711138915</v>
      </c>
      <c r="B939">
        <f>'Daily Analysis'!D939</f>
        <v>972</v>
      </c>
    </row>
    <row r="940" spans="1:2" x14ac:dyDescent="0.3">
      <c r="A940">
        <f>'Daily Analysis'!E940</f>
        <v>42.075776378437745</v>
      </c>
      <c r="B940">
        <f>'Daily Analysis'!D940</f>
        <v>1024</v>
      </c>
    </row>
    <row r="941" spans="1:2" x14ac:dyDescent="0.3">
      <c r="A941">
        <f>'Daily Analysis'!E941</f>
        <v>42.045012866005976</v>
      </c>
      <c r="B941">
        <f>'Daily Analysis'!D941</f>
        <v>1044</v>
      </c>
    </row>
    <row r="942" spans="1:2" x14ac:dyDescent="0.3">
      <c r="A942">
        <f>'Daily Analysis'!E942</f>
        <v>42.073698874282762</v>
      </c>
      <c r="B942">
        <f>'Daily Analysis'!D942</f>
        <v>1611</v>
      </c>
    </row>
    <row r="943" spans="1:2" x14ac:dyDescent="0.3">
      <c r="A943">
        <f>'Daily Analysis'!E943</f>
        <v>42.064783749189822</v>
      </c>
      <c r="B943">
        <f>'Daily Analysis'!D943</f>
        <v>1234</v>
      </c>
    </row>
    <row r="944" spans="1:2" x14ac:dyDescent="0.3">
      <c r="A944">
        <f>'Daily Analysis'!E944</f>
        <v>42.064162791888961</v>
      </c>
      <c r="B944">
        <f>'Daily Analysis'!D944</f>
        <v>2223</v>
      </c>
    </row>
    <row r="945" spans="1:2" x14ac:dyDescent="0.3">
      <c r="A945">
        <f>'Daily Analysis'!E945</f>
        <v>42.057166083890131</v>
      </c>
      <c r="B945">
        <f>'Daily Analysis'!D945</f>
        <v>2267</v>
      </c>
    </row>
    <row r="946" spans="1:2" x14ac:dyDescent="0.3">
      <c r="A946">
        <f>'Daily Analysis'!E946</f>
        <v>42.060065251335601</v>
      </c>
      <c r="B946">
        <f>'Daily Analysis'!D946</f>
        <v>1415</v>
      </c>
    </row>
    <row r="947" spans="1:2" x14ac:dyDescent="0.3">
      <c r="A947">
        <f>'Daily Analysis'!E947</f>
        <v>42.07620555565876</v>
      </c>
      <c r="B947">
        <f>'Daily Analysis'!D947</f>
        <v>1548</v>
      </c>
    </row>
    <row r="948" spans="1:2" x14ac:dyDescent="0.3">
      <c r="A948">
        <f>'Daily Analysis'!E948</f>
        <v>42.073409003871284</v>
      </c>
      <c r="B948">
        <f>'Daily Analysis'!D948</f>
        <v>1679</v>
      </c>
    </row>
    <row r="949" spans="1:2" x14ac:dyDescent="0.3">
      <c r="A949">
        <f>'Daily Analysis'!E949</f>
        <v>42.050496076354385</v>
      </c>
      <c r="B949">
        <f>'Daily Analysis'!D949</f>
        <v>1152</v>
      </c>
    </row>
    <row r="950" spans="1:2" x14ac:dyDescent="0.3">
      <c r="A950">
        <f>'Daily Analysis'!E950</f>
        <v>42.04484279463238</v>
      </c>
      <c r="B950">
        <f>'Daily Analysis'!D950</f>
        <v>1101</v>
      </c>
    </row>
    <row r="951" spans="1:2" x14ac:dyDescent="0.3">
      <c r="A951">
        <f>'Daily Analysis'!E951</f>
        <v>42.069383328848588</v>
      </c>
      <c r="B951">
        <f>'Daily Analysis'!D951</f>
        <v>1746</v>
      </c>
    </row>
    <row r="952" spans="1:2" x14ac:dyDescent="0.3">
      <c r="A952">
        <f>'Daily Analysis'!E952</f>
        <v>42.064057620052658</v>
      </c>
      <c r="B952">
        <f>'Daily Analysis'!D952</f>
        <v>1700</v>
      </c>
    </row>
    <row r="953" spans="1:2" x14ac:dyDescent="0.3">
      <c r="A953">
        <f>'Daily Analysis'!E953</f>
        <v>42.050526129860323</v>
      </c>
      <c r="B953">
        <f>'Daily Analysis'!D953</f>
        <v>715</v>
      </c>
    </row>
    <row r="954" spans="1:2" x14ac:dyDescent="0.3">
      <c r="A954">
        <f>'Daily Analysis'!E954</f>
        <v>42.058657640100606</v>
      </c>
      <c r="B954">
        <f>'Daily Analysis'!D954</f>
        <v>897</v>
      </c>
    </row>
    <row r="955" spans="1:2" x14ac:dyDescent="0.3">
      <c r="A955">
        <f>'Daily Analysis'!E955</f>
        <v>42.062339190859824</v>
      </c>
      <c r="B955">
        <f>'Daily Analysis'!D955</f>
        <v>733</v>
      </c>
    </row>
    <row r="956" spans="1:2" x14ac:dyDescent="0.3">
      <c r="A956">
        <f>'Daily Analysis'!E956</f>
        <v>34.285720484624029</v>
      </c>
      <c r="B956">
        <f>'Daily Analysis'!D956</f>
        <v>4282</v>
      </c>
    </row>
    <row r="957" spans="1:2" x14ac:dyDescent="0.3">
      <c r="A957">
        <f>'Daily Analysis'!E957</f>
        <v>34.833390170592033</v>
      </c>
      <c r="B957">
        <f>'Daily Analysis'!D957</f>
        <v>2867</v>
      </c>
    </row>
    <row r="958" spans="1:2" x14ac:dyDescent="0.3">
      <c r="A958">
        <f>'Daily Analysis'!E958</f>
        <v>34.637432223195908</v>
      </c>
      <c r="B958">
        <f>'Daily Analysis'!D958</f>
        <v>6082</v>
      </c>
    </row>
    <row r="959" spans="1:2" x14ac:dyDescent="0.3">
      <c r="A959">
        <f>'Daily Analysis'!E959</f>
        <v>34.264707125607181</v>
      </c>
      <c r="B959">
        <f>'Daily Analysis'!D959</f>
        <v>7771</v>
      </c>
    </row>
    <row r="960" spans="1:2" x14ac:dyDescent="0.3">
      <c r="A960">
        <f>'Daily Analysis'!E960</f>
        <v>34.419474012699972</v>
      </c>
      <c r="B960">
        <f>'Daily Analysis'!D960</f>
        <v>3576</v>
      </c>
    </row>
    <row r="961" spans="1:2" x14ac:dyDescent="0.3">
      <c r="A961">
        <f>'Daily Analysis'!E961</f>
        <v>35.00269407983334</v>
      </c>
      <c r="B961">
        <f>'Daily Analysis'!D961</f>
        <v>4649</v>
      </c>
    </row>
    <row r="962" spans="1:2" x14ac:dyDescent="0.3">
      <c r="A962">
        <f>'Daily Analysis'!E962</f>
        <v>34.739232584508358</v>
      </c>
      <c r="B962">
        <f>'Daily Analysis'!D962</f>
        <v>3302</v>
      </c>
    </row>
    <row r="963" spans="1:2" x14ac:dyDescent="0.3">
      <c r="A963">
        <f>'Daily Analysis'!E963</f>
        <v>34.592451207292534</v>
      </c>
      <c r="B963">
        <f>'Daily Analysis'!D963</f>
        <v>3536</v>
      </c>
    </row>
    <row r="964" spans="1:2" x14ac:dyDescent="0.3">
      <c r="A964">
        <f>'Daily Analysis'!E964</f>
        <v>34.613827111092988</v>
      </c>
      <c r="B964">
        <f>'Daily Analysis'!D964</f>
        <v>3236</v>
      </c>
    </row>
    <row r="965" spans="1:2" x14ac:dyDescent="0.3">
      <c r="A965">
        <f>'Daily Analysis'!E965</f>
        <v>34.586438501441457</v>
      </c>
      <c r="B965">
        <f>'Daily Analysis'!D965</f>
        <v>6646</v>
      </c>
    </row>
    <row r="966" spans="1:2" x14ac:dyDescent="0.3">
      <c r="A966">
        <f>'Daily Analysis'!E966</f>
        <v>34.623441785899544</v>
      </c>
      <c r="B966">
        <f>'Daily Analysis'!D966</f>
        <v>7220</v>
      </c>
    </row>
    <row r="967" spans="1:2" x14ac:dyDescent="0.3">
      <c r="A967">
        <f>'Daily Analysis'!E967</f>
        <v>34.482124587342142</v>
      </c>
      <c r="B967">
        <f>'Daily Analysis'!D967</f>
        <v>3958</v>
      </c>
    </row>
    <row r="968" spans="1:2" x14ac:dyDescent="0.3">
      <c r="A968">
        <f>'Daily Analysis'!E968</f>
        <v>34.686765417846246</v>
      </c>
      <c r="B968">
        <f>'Daily Analysis'!D968</f>
        <v>3672</v>
      </c>
    </row>
    <row r="969" spans="1:2" x14ac:dyDescent="0.3">
      <c r="A969">
        <f>'Daily Analysis'!E969</f>
        <v>42.065437834029225</v>
      </c>
      <c r="B969">
        <f>'Daily Analysis'!D969</f>
        <v>1035</v>
      </c>
    </row>
    <row r="970" spans="1:2" x14ac:dyDescent="0.3">
      <c r="A970">
        <f>'Daily Analysis'!E970</f>
        <v>33.927138142536855</v>
      </c>
      <c r="B970">
        <f>'Daily Analysis'!D970</f>
        <v>3549</v>
      </c>
    </row>
    <row r="971" spans="1:2" x14ac:dyDescent="0.3">
      <c r="A971">
        <f>'Daily Analysis'!E971</f>
        <v>34.056799027350102</v>
      </c>
      <c r="B971">
        <f>'Daily Analysis'!D971</f>
        <v>6647</v>
      </c>
    </row>
    <row r="972" spans="1:2" x14ac:dyDescent="0.3">
      <c r="A972">
        <f>'Daily Analysis'!E972</f>
        <v>34.103772530641464</v>
      </c>
      <c r="B972">
        <f>'Daily Analysis'!D972</f>
        <v>9908</v>
      </c>
    </row>
    <row r="973" spans="1:2" x14ac:dyDescent="0.3">
      <c r="A973">
        <f>'Daily Analysis'!E973</f>
        <v>34.164297133341378</v>
      </c>
      <c r="B973">
        <f>'Daily Analysis'!D973</f>
        <v>10393</v>
      </c>
    </row>
    <row r="974" spans="1:2" x14ac:dyDescent="0.3">
      <c r="A974">
        <f>'Daily Analysis'!E974</f>
        <v>34.145481523862919</v>
      </c>
      <c r="B974">
        <f>'Daily Analysis'!D974</f>
        <v>4507</v>
      </c>
    </row>
    <row r="975" spans="1:2" x14ac:dyDescent="0.3">
      <c r="A975">
        <f>'Daily Analysis'!E975</f>
        <v>34.166468519354687</v>
      </c>
      <c r="B975">
        <f>'Daily Analysis'!D975</f>
        <v>4672</v>
      </c>
    </row>
    <row r="976" spans="1:2" x14ac:dyDescent="0.3">
      <c r="A976">
        <f>'Daily Analysis'!E976</f>
        <v>34.139135319279156</v>
      </c>
      <c r="B976">
        <f>'Daily Analysis'!D976</f>
        <v>3924</v>
      </c>
    </row>
    <row r="977" spans="1:2" x14ac:dyDescent="0.3">
      <c r="A977">
        <f>'Daily Analysis'!E977</f>
        <v>34.158016242624491</v>
      </c>
      <c r="B977">
        <f>'Daily Analysis'!D977</f>
        <v>6918</v>
      </c>
    </row>
    <row r="978" spans="1:2" x14ac:dyDescent="0.3">
      <c r="A978">
        <f>'Daily Analysis'!E978</f>
        <v>34.138270186084561</v>
      </c>
      <c r="B978">
        <f>'Daily Analysis'!D978</f>
        <v>9183</v>
      </c>
    </row>
    <row r="979" spans="1:2" x14ac:dyDescent="0.3">
      <c r="A979">
        <f>'Daily Analysis'!E979</f>
        <v>34.197137740927111</v>
      </c>
      <c r="B979">
        <f>'Daily Analysis'!D979</f>
        <v>10830</v>
      </c>
    </row>
    <row r="980" spans="1:2" x14ac:dyDescent="0.3">
      <c r="A980">
        <f>'Daily Analysis'!E980</f>
        <v>34.1750977215276</v>
      </c>
      <c r="B980">
        <f>'Daily Analysis'!D980</f>
        <v>10800</v>
      </c>
    </row>
    <row r="981" spans="1:2" x14ac:dyDescent="0.3">
      <c r="A981">
        <f>'Daily Analysis'!E981</f>
        <v>34.160160103278088</v>
      </c>
      <c r="B981">
        <f>'Daily Analysis'!D981</f>
        <v>6119</v>
      </c>
    </row>
    <row r="982" spans="1:2" x14ac:dyDescent="0.3">
      <c r="A982">
        <f>'Daily Analysis'!E982</f>
        <v>34.132732502622275</v>
      </c>
      <c r="B982">
        <f>'Daily Analysis'!D982</f>
        <v>6685</v>
      </c>
    </row>
    <row r="983" spans="1:2" x14ac:dyDescent="0.3">
      <c r="A983">
        <f>'Daily Analysis'!E983</f>
        <v>34.187825193443281</v>
      </c>
      <c r="B983">
        <f>'Daily Analysis'!D983</f>
        <v>4519</v>
      </c>
    </row>
    <row r="984" spans="1:2" x14ac:dyDescent="0.3">
      <c r="A984">
        <f>'Daily Analysis'!E984</f>
        <v>42.07004491890558</v>
      </c>
      <c r="B984">
        <f>'Daily Analysis'!D984</f>
        <v>1206</v>
      </c>
    </row>
    <row r="985" spans="1:2" x14ac:dyDescent="0.3">
      <c r="A985">
        <f>'Daily Analysis'!E985</f>
        <v>42.072059510699951</v>
      </c>
      <c r="B985">
        <f>'Daily Analysis'!D985</f>
        <v>1029</v>
      </c>
    </row>
    <row r="986" spans="1:2" x14ac:dyDescent="0.3">
      <c r="A986">
        <f>'Daily Analysis'!E986</f>
        <v>40.342158892871232</v>
      </c>
      <c r="B986">
        <f>'Daily Analysis'!D986</f>
        <v>1917</v>
      </c>
    </row>
    <row r="987" spans="1:2" x14ac:dyDescent="0.3">
      <c r="A987">
        <f>'Daily Analysis'!E987</f>
        <v>40.355898904048345</v>
      </c>
      <c r="B987">
        <f>'Daily Analysis'!D987</f>
        <v>2108</v>
      </c>
    </row>
    <row r="988" spans="1:2" x14ac:dyDescent="0.3">
      <c r="A988">
        <f>'Daily Analysis'!E988</f>
        <v>40.323423703856513</v>
      </c>
      <c r="B988">
        <f>'Daily Analysis'!D988</f>
        <v>1211</v>
      </c>
    </row>
    <row r="989" spans="1:2" x14ac:dyDescent="0.3">
      <c r="A989">
        <f>'Daily Analysis'!E989</f>
        <v>40.337069850193743</v>
      </c>
      <c r="B989">
        <f>'Daily Analysis'!D989</f>
        <v>1291</v>
      </c>
    </row>
    <row r="990" spans="1:2" x14ac:dyDescent="0.3">
      <c r="A990">
        <f>'Daily Analysis'!E990</f>
        <v>40.297650671112756</v>
      </c>
      <c r="B990">
        <f>'Daily Analysis'!D990</f>
        <v>755</v>
      </c>
    </row>
    <row r="991" spans="1:2" x14ac:dyDescent="0.3">
      <c r="A991">
        <f>'Daily Analysis'!E991</f>
        <v>40.344710679143702</v>
      </c>
      <c r="B991">
        <f>'Daily Analysis'!D991</f>
        <v>508</v>
      </c>
    </row>
    <row r="992" spans="1:2" x14ac:dyDescent="0.3">
      <c r="A992">
        <f>'Daily Analysis'!E992</f>
        <v>40.33878384269331</v>
      </c>
      <c r="B992">
        <f>'Daily Analysis'!D992</f>
        <v>1010</v>
      </c>
    </row>
    <row r="993" spans="1:2" x14ac:dyDescent="0.3">
      <c r="A993">
        <f>'Daily Analysis'!E993</f>
        <v>40.314389492336716</v>
      </c>
      <c r="B993">
        <f>'Daily Analysis'!D993</f>
        <v>1733</v>
      </c>
    </row>
    <row r="994" spans="1:2" x14ac:dyDescent="0.3">
      <c r="A994">
        <f>'Daily Analysis'!E994</f>
        <v>40.338723228538633</v>
      </c>
      <c r="B994">
        <f>'Daily Analysis'!D994</f>
        <v>2482</v>
      </c>
    </row>
    <row r="995" spans="1:2" x14ac:dyDescent="0.3">
      <c r="A995">
        <f>'Daily Analysis'!E995</f>
        <v>40.344208125854358</v>
      </c>
      <c r="B995">
        <f>'Daily Analysis'!D995</f>
        <v>1235</v>
      </c>
    </row>
    <row r="996" spans="1:2" x14ac:dyDescent="0.3">
      <c r="A996">
        <f>'Daily Analysis'!E996</f>
        <v>40.317283161939613</v>
      </c>
      <c r="B996">
        <f>'Daily Analysis'!D996</f>
        <v>1155</v>
      </c>
    </row>
    <row r="997" spans="1:2" x14ac:dyDescent="0.3">
      <c r="A997">
        <f>'Daily Analysis'!E997</f>
        <v>40.3444317614738</v>
      </c>
      <c r="B997">
        <f>'Daily Analysis'!D997</f>
        <v>940</v>
      </c>
    </row>
    <row r="998" spans="1:2" x14ac:dyDescent="0.3">
      <c r="A998">
        <f>'Daily Analysis'!E998</f>
        <v>40.358430863872073</v>
      </c>
      <c r="B998">
        <f>'Daily Analysis'!D998</f>
        <v>1241</v>
      </c>
    </row>
    <row r="999" spans="1:2" x14ac:dyDescent="0.3">
      <c r="A999">
        <f>'Daily Analysis'!E999</f>
        <v>40.313597957921438</v>
      </c>
      <c r="B999">
        <f>'Daily Analysis'!D999</f>
        <v>1039</v>
      </c>
    </row>
    <row r="1000" spans="1:2" x14ac:dyDescent="0.3">
      <c r="A1000">
        <f>'Daily Analysis'!E1000</f>
        <v>40.334583855161384</v>
      </c>
      <c r="B1000">
        <f>'Daily Analysis'!D1000</f>
        <v>3657</v>
      </c>
    </row>
    <row r="1001" spans="1:2" x14ac:dyDescent="0.3">
      <c r="A1001">
        <f>'Daily Analysis'!E1001</f>
        <v>40.351033486804518</v>
      </c>
      <c r="B1001">
        <f>'Daily Analysis'!D1001</f>
        <v>3758</v>
      </c>
    </row>
    <row r="1002" spans="1:2" x14ac:dyDescent="0.3">
      <c r="A1002">
        <f>'Daily Analysis'!E1002</f>
        <v>40.321256309212309</v>
      </c>
      <c r="B1002">
        <f>'Daily Analysis'!D1002</f>
        <v>1797</v>
      </c>
    </row>
    <row r="1003" spans="1:2" x14ac:dyDescent="0.3">
      <c r="A1003">
        <f>'Daily Analysis'!E1003</f>
        <v>40.308235297674827</v>
      </c>
      <c r="B1003">
        <f>'Daily Analysis'!D1003</f>
        <v>1671</v>
      </c>
    </row>
    <row r="1004" spans="1:2" x14ac:dyDescent="0.3">
      <c r="A1004">
        <f>'Daily Analysis'!E1004</f>
        <v>40.315863767766686</v>
      </c>
      <c r="B1004">
        <f>'Daily Analysis'!D1004</f>
        <v>1462</v>
      </c>
    </row>
    <row r="1005" spans="1:2" x14ac:dyDescent="0.3">
      <c r="A1005">
        <f>'Daily Analysis'!E1005</f>
        <v>37.189617340749301</v>
      </c>
      <c r="B1005">
        <f>'Daily Analysis'!D1005</f>
        <v>1581</v>
      </c>
    </row>
    <row r="1006" spans="1:2" x14ac:dyDescent="0.3">
      <c r="A1006">
        <f>'Daily Analysis'!E1006</f>
        <v>37.170397438979556</v>
      </c>
      <c r="B1006">
        <f>'Daily Analysis'!D1006</f>
        <v>1534</v>
      </c>
    </row>
    <row r="1007" spans="1:2" x14ac:dyDescent="0.3">
      <c r="A1007">
        <f>'Daily Analysis'!E1007</f>
        <v>36.982538567239708</v>
      </c>
      <c r="B1007">
        <f>'Daily Analysis'!D1007</f>
        <v>4216</v>
      </c>
    </row>
    <row r="1008" spans="1:2" x14ac:dyDescent="0.3">
      <c r="A1008">
        <f>'Daily Analysis'!E1008</f>
        <v>37.018659503691438</v>
      </c>
      <c r="B1008">
        <f>'Daily Analysis'!D1008</f>
        <v>5632</v>
      </c>
    </row>
    <row r="1009" spans="1:2" x14ac:dyDescent="0.3">
      <c r="A1009">
        <f>'Daily Analysis'!E1009</f>
        <v>37.371721580932146</v>
      </c>
      <c r="B1009">
        <f>'Daily Analysis'!D1009</f>
        <v>3173</v>
      </c>
    </row>
    <row r="1010" spans="1:2" x14ac:dyDescent="0.3">
      <c r="A1010">
        <f>'Daily Analysis'!E1010</f>
        <v>40.327367548449544</v>
      </c>
      <c r="B1010">
        <f>'Daily Analysis'!D1010</f>
        <v>3540</v>
      </c>
    </row>
    <row r="1011" spans="1:2" x14ac:dyDescent="0.3">
      <c r="A1011">
        <f>'Daily Analysis'!E1011</f>
        <v>40.30913096778611</v>
      </c>
      <c r="B1011">
        <f>'Daily Analysis'!D1011</f>
        <v>2397</v>
      </c>
    </row>
    <row r="1012" spans="1:2" x14ac:dyDescent="0.3">
      <c r="A1012">
        <f>'Daily Analysis'!E1012</f>
        <v>40.338411734263062</v>
      </c>
      <c r="B1012">
        <f>'Daily Analysis'!D1012</f>
        <v>1955</v>
      </c>
    </row>
    <row r="1013" spans="1:2" x14ac:dyDescent="0.3">
      <c r="A1013">
        <f>'Daily Analysis'!E1013</f>
        <v>40.390502524637725</v>
      </c>
      <c r="B1013">
        <f>'Daily Analysis'!D1013</f>
        <v>1740</v>
      </c>
    </row>
    <row r="1014" spans="1:2" x14ac:dyDescent="0.3">
      <c r="A1014">
        <f>'Daily Analysis'!E1014</f>
        <v>40.325764196329757</v>
      </c>
      <c r="B1014">
        <f>'Daily Analysis'!D1014</f>
        <v>2176</v>
      </c>
    </row>
    <row r="1015" spans="1:2" x14ac:dyDescent="0.3">
      <c r="A1015">
        <f>'Daily Analysis'!E1015</f>
        <v>40.321211462975555</v>
      </c>
      <c r="B1015">
        <f>'Daily Analysis'!D1015</f>
        <v>2283</v>
      </c>
    </row>
    <row r="1016" spans="1:2" x14ac:dyDescent="0.3">
      <c r="A1016">
        <f>'Daily Analysis'!E1016</f>
        <v>40.304815612858263</v>
      </c>
      <c r="B1016">
        <f>'Daily Analysis'!D1016</f>
        <v>1284</v>
      </c>
    </row>
    <row r="1017" spans="1:2" x14ac:dyDescent="0.3">
      <c r="A1017">
        <f>'Daily Analysis'!E1017</f>
        <v>40.328569432981091</v>
      </c>
      <c r="B1017">
        <f>'Daily Analysis'!D1017</f>
        <v>1263</v>
      </c>
    </row>
    <row r="1018" spans="1:2" x14ac:dyDescent="0.3">
      <c r="A1018">
        <f>'Daily Analysis'!E1018</f>
        <v>40.305730884676606</v>
      </c>
      <c r="B1018">
        <f>'Daily Analysis'!D1018</f>
        <v>896</v>
      </c>
    </row>
    <row r="1019" spans="1:2" x14ac:dyDescent="0.3">
      <c r="A1019">
        <f>'Daily Analysis'!E1019</f>
        <v>40.394999694238436</v>
      </c>
      <c r="B1019">
        <f>'Daily Analysis'!D1019</f>
        <v>768</v>
      </c>
    </row>
    <row r="1020" spans="1:2" x14ac:dyDescent="0.3">
      <c r="A1020">
        <f>'Daily Analysis'!E1020</f>
        <v>42.86797030836852</v>
      </c>
      <c r="B1020">
        <f>'Daily Analysis'!D1020</f>
        <v>521</v>
      </c>
    </row>
    <row r="1021" spans="1:2" x14ac:dyDescent="0.3">
      <c r="A1021">
        <f>'Daily Analysis'!E1021</f>
        <v>42.917755744864188</v>
      </c>
      <c r="B1021">
        <f>'Daily Analysis'!D1021</f>
        <v>1618</v>
      </c>
    </row>
    <row r="1022" spans="1:2" x14ac:dyDescent="0.3">
      <c r="A1022">
        <f>'Daily Analysis'!E1022</f>
        <v>42.924559753829335</v>
      </c>
      <c r="B1022">
        <f>'Daily Analysis'!D1022</f>
        <v>2147</v>
      </c>
    </row>
    <row r="1023" spans="1:2" x14ac:dyDescent="0.3">
      <c r="A1023">
        <f>'Daily Analysis'!E1023</f>
        <v>42.918567680711789</v>
      </c>
      <c r="B1023">
        <f>'Daily Analysis'!D1023</f>
        <v>1335</v>
      </c>
    </row>
    <row r="1024" spans="1:2" x14ac:dyDescent="0.3">
      <c r="A1024">
        <f>'Daily Analysis'!E1024</f>
        <v>42.931637589211896</v>
      </c>
      <c r="B1024">
        <f>'Daily Analysis'!D1024</f>
        <v>1332</v>
      </c>
    </row>
    <row r="1025" spans="1:2" x14ac:dyDescent="0.3">
      <c r="A1025">
        <f>'Daily Analysis'!E1025</f>
        <v>42.925685824873838</v>
      </c>
      <c r="B1025">
        <f>'Daily Analysis'!D1025</f>
        <v>954</v>
      </c>
    </row>
    <row r="1026" spans="1:2" x14ac:dyDescent="0.3">
      <c r="A1026">
        <f>'Daily Analysis'!E1026</f>
        <v>42.956040244344088</v>
      </c>
      <c r="B1026">
        <f>'Daily Analysis'!D1026</f>
        <v>877</v>
      </c>
    </row>
    <row r="1027" spans="1:2" x14ac:dyDescent="0.3">
      <c r="A1027">
        <f>'Daily Analysis'!E1027</f>
        <v>42.657988432185022</v>
      </c>
      <c r="B1027">
        <f>'Daily Analysis'!D1027</f>
        <v>906</v>
      </c>
    </row>
    <row r="1028" spans="1:2" x14ac:dyDescent="0.3">
      <c r="A1028">
        <f>'Daily Analysis'!E1028</f>
        <v>42.694773398886987</v>
      </c>
      <c r="B1028">
        <f>'Daily Analysis'!D1028</f>
        <v>2249</v>
      </c>
    </row>
    <row r="1029" spans="1:2" x14ac:dyDescent="0.3">
      <c r="A1029">
        <f>'Daily Analysis'!E1029</f>
        <v>42.743767863419336</v>
      </c>
      <c r="B1029">
        <f>'Daily Analysis'!D1029</f>
        <v>2472</v>
      </c>
    </row>
    <row r="1030" spans="1:2" x14ac:dyDescent="0.3">
      <c r="A1030">
        <f>'Daily Analysis'!E1030</f>
        <v>42.764440247527446</v>
      </c>
      <c r="B1030">
        <f>'Daily Analysis'!D1030</f>
        <v>1280</v>
      </c>
    </row>
    <row r="1031" spans="1:2" x14ac:dyDescent="0.3">
      <c r="A1031">
        <f>'Daily Analysis'!E1031</f>
        <v>42.693163309856004</v>
      </c>
      <c r="B1031">
        <f>'Daily Analysis'!D1031</f>
        <v>940</v>
      </c>
    </row>
    <row r="1032" spans="1:2" x14ac:dyDescent="0.3">
      <c r="A1032">
        <f>'Daily Analysis'!E1032</f>
        <v>42.668479955409317</v>
      </c>
      <c r="B1032">
        <f>'Daily Analysis'!D1032</f>
        <v>1650</v>
      </c>
    </row>
    <row r="1033" spans="1:2" x14ac:dyDescent="0.3">
      <c r="A1033">
        <f>'Daily Analysis'!E1033</f>
        <v>42.605140217287151</v>
      </c>
      <c r="B1033">
        <f>'Daily Analysis'!D1033</f>
        <v>1467</v>
      </c>
    </row>
    <row r="1034" spans="1:2" x14ac:dyDescent="0.3">
      <c r="A1034">
        <f>'Daily Analysis'!E1034</f>
        <v>42.701048751233095</v>
      </c>
      <c r="B1034">
        <f>'Daily Analysis'!D1034</f>
        <v>1257</v>
      </c>
    </row>
    <row r="1035" spans="1:2" x14ac:dyDescent="0.3">
      <c r="A1035">
        <f>'Daily Analysis'!E1035</f>
        <v>42.66375342284703</v>
      </c>
      <c r="B1035">
        <f>'Daily Analysis'!D1035</f>
        <v>2405</v>
      </c>
    </row>
    <row r="1036" spans="1:2" x14ac:dyDescent="0.3">
      <c r="A1036">
        <f>'Daily Analysis'!E1036</f>
        <v>42.672637578418815</v>
      </c>
      <c r="B1036">
        <f>'Daily Analysis'!D1036</f>
        <v>2929</v>
      </c>
    </row>
    <row r="1037" spans="1:2" x14ac:dyDescent="0.3">
      <c r="A1037">
        <f>'Daily Analysis'!E1037</f>
        <v>42.680807515123497</v>
      </c>
      <c r="B1037">
        <f>'Daily Analysis'!D1037</f>
        <v>1582</v>
      </c>
    </row>
    <row r="1038" spans="1:2" x14ac:dyDescent="0.3">
      <c r="A1038">
        <f>'Daily Analysis'!E1038</f>
        <v>42.721535088371184</v>
      </c>
      <c r="B1038">
        <f>'Daily Analysis'!D1038</f>
        <v>1639</v>
      </c>
    </row>
    <row r="1039" spans="1:2" x14ac:dyDescent="0.3">
      <c r="A1039">
        <f>'Daily Analysis'!E1039</f>
        <v>42.73112426085406</v>
      </c>
      <c r="B1039">
        <f>'Daily Analysis'!D1039</f>
        <v>2971</v>
      </c>
    </row>
    <row r="1040" spans="1:2" x14ac:dyDescent="0.3">
      <c r="A1040">
        <f>'Daily Analysis'!E1040</f>
        <v>42.713768411139</v>
      </c>
      <c r="B1040">
        <f>'Daily Analysis'!D1040</f>
        <v>2284</v>
      </c>
    </row>
    <row r="1041" spans="1:2" x14ac:dyDescent="0.3">
      <c r="A1041">
        <f>'Daily Analysis'!E1041</f>
        <v>42.823923155556749</v>
      </c>
      <c r="B1041">
        <f>'Daily Analysis'!D1041</f>
        <v>2266</v>
      </c>
    </row>
    <row r="1042" spans="1:2" x14ac:dyDescent="0.3">
      <c r="A1042">
        <f>'Daily Analysis'!E1042</f>
        <v>42.749940407043191</v>
      </c>
      <c r="B1042">
        <f>'Daily Analysis'!D1042</f>
        <v>3938</v>
      </c>
    </row>
    <row r="1043" spans="1:2" x14ac:dyDescent="0.3">
      <c r="A1043">
        <f>'Daily Analysis'!E1043</f>
        <v>42.800301266553454</v>
      </c>
      <c r="B1043">
        <f>'Daily Analysis'!D1043</f>
        <v>4720</v>
      </c>
    </row>
    <row r="1044" spans="1:2" x14ac:dyDescent="0.3">
      <c r="A1044">
        <f>'Daily Analysis'!E1044</f>
        <v>42.750886895397009</v>
      </c>
      <c r="B1044">
        <f>'Daily Analysis'!D1044</f>
        <v>2537</v>
      </c>
    </row>
    <row r="1045" spans="1:2" x14ac:dyDescent="0.3">
      <c r="A1045">
        <f>'Daily Analysis'!E1045</f>
        <v>42.936427721195194</v>
      </c>
      <c r="B1045">
        <f>'Daily Analysis'!D1045</f>
        <v>2621</v>
      </c>
    </row>
    <row r="1046" spans="1:2" x14ac:dyDescent="0.3">
      <c r="A1046">
        <f>'Daily Analysis'!E1046</f>
        <v>42.921798372008453</v>
      </c>
      <c r="B1046">
        <f>'Daily Analysis'!D1046</f>
        <v>2341</v>
      </c>
    </row>
    <row r="1047" spans="1:2" x14ac:dyDescent="0.3">
      <c r="A1047">
        <f>'Daily Analysis'!E1047</f>
        <v>42.9509146093692</v>
      </c>
      <c r="B1047">
        <f>'Daily Analysis'!D1047</f>
        <v>1901</v>
      </c>
    </row>
    <row r="1048" spans="1:2" x14ac:dyDescent="0.3">
      <c r="A1048">
        <f>'Daily Analysis'!E1048</f>
        <v>42.934671455126349</v>
      </c>
      <c r="B1048">
        <f>'Daily Analysis'!D1048</f>
        <v>1666</v>
      </c>
    </row>
    <row r="1049" spans="1:2" x14ac:dyDescent="0.3">
      <c r="A1049">
        <f>'Daily Analysis'!E1049</f>
        <v>42.93986169025478</v>
      </c>
      <c r="B1049">
        <f>'Daily Analysis'!D1049</f>
        <v>3748</v>
      </c>
    </row>
    <row r="1050" spans="1:2" x14ac:dyDescent="0.3">
      <c r="A1050">
        <f>'Daily Analysis'!E1050</f>
        <v>42.934906229811318</v>
      </c>
      <c r="B1050">
        <f>'Daily Analysis'!D1050</f>
        <v>3843</v>
      </c>
    </row>
    <row r="1051" spans="1:2" x14ac:dyDescent="0.3">
      <c r="A1051">
        <f>'Daily Analysis'!E1051</f>
        <v>42.940281914685144</v>
      </c>
      <c r="B1051">
        <f>'Daily Analysis'!D1051</f>
        <v>2281</v>
      </c>
    </row>
    <row r="1052" spans="1:2" x14ac:dyDescent="0.3">
      <c r="A1052">
        <f>'Daily Analysis'!E1052</f>
        <v>42.929742758739657</v>
      </c>
      <c r="B1052">
        <f>'Daily Analysis'!D1052</f>
        <v>2046</v>
      </c>
    </row>
    <row r="1053" spans="1:2" x14ac:dyDescent="0.3">
      <c r="A1053">
        <f>'Daily Analysis'!E1053</f>
        <v>43.791441987652462</v>
      </c>
      <c r="B1053">
        <f>'Daily Analysis'!D1053</f>
        <v>2181</v>
      </c>
    </row>
    <row r="1054" spans="1:2" x14ac:dyDescent="0.3">
      <c r="A1054">
        <f>'Daily Analysis'!E1054</f>
        <v>43.805996531616287</v>
      </c>
      <c r="B1054">
        <f>'Daily Analysis'!D1054</f>
        <v>1763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Dashboard1</vt:lpstr>
      <vt:lpstr>Pivot Monthly analysis</vt:lpstr>
      <vt:lpstr>pivot</vt:lpstr>
      <vt:lpstr>sales master pivot</vt:lpstr>
      <vt:lpstr>Sales Master</vt:lpstr>
      <vt:lpstr>Sheet1</vt:lpstr>
      <vt:lpstr>Pivot Daily Analysis</vt:lpstr>
      <vt:lpstr>Daily Sales Analysis pivot</vt:lpstr>
      <vt:lpstr>Daily Analysis</vt:lpstr>
      <vt:lpstr>Monthly Analysis</vt:lpstr>
      <vt:lpstr>Sheet4</vt:lpstr>
      <vt:lpstr>Price vs Quantity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Treasury National Office</cp:lastModifiedBy>
  <dcterms:created xsi:type="dcterms:W3CDTF">2026-08-30T16:44:13Z</dcterms:created>
  <dcterms:modified xsi:type="dcterms:W3CDTF">2026-10-05T08:33:02Z</dcterms:modified>
</cp:coreProperties>
</file>